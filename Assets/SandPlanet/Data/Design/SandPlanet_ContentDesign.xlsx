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drawings/charts/chart4.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charts/chart5.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drawings/charts/chart6.xml" ContentType="application/vnd.openxmlformats-officedocument.drawingml.chart+xml"/>
  <Override PartName="/xl/worksheets/sheet12.xml" ContentType="application/vnd.openxmlformats-officedocument.spreadsheetml.worksheet+xml"/>
  <Override PartName="/xl/drawings/drawing5.xml" ContentType="application/vnd.openxmlformats-officedocument.drawing+xml"/>
  <Override PartName="/xl/drawings/charts/chart7.xml" ContentType="application/vnd.openxmlformats-officedocument.drawingml.chart+xml"/>
  <Override PartName="/xl/worksheets/sheet13.xml" ContentType="application/vnd.openxmlformats-officedocument.spreadsheetml.worksheet+xml"/>
  <Override PartName="/xl/drawings/drawing6.xml" ContentType="application/vnd.openxmlformats-officedocument.drawing+xml"/>
  <Override PartName="/xl/drawings/charts/chart8.xml" ContentType="application/vnd.openxmlformats-officedocument.drawingml.chart+xml"/>
  <Override PartName="/xl/worksheets/sheet14.xml" ContentType="application/vnd.openxmlformats-officedocument.spreadsheetml.worksheet+xml"/>
  <Override PartName="/xl/drawings/drawing7.xml" ContentType="application/vnd.openxmlformats-officedocument.drawing+xml"/>
  <Override PartName="/xl/drawings/charts/chart9.xml" ContentType="application/vnd.openxmlformats-officedocument.drawingml.chart+xml"/>
  <Override PartName="/xl/worksheets/sheet15.xml" ContentType="application/vnd.openxmlformats-officedocument.spreadsheetml.worksheet+xml"/>
  <Override PartName="/xl/drawings/drawing8.xml" ContentType="application/vnd.openxmlformats-officedocument.drawing+xml"/>
  <Override PartName="/xl/drawings/charts/chart10.xml" ContentType="application/vnd.openxmlformats-officedocument.drawingml.chart+xml"/>
  <Override PartName="/xl/worksheets/sheet16.xml" ContentType="application/vnd.openxmlformats-officedocument.spreadsheetml.worksheet+xml"/>
  <Override PartName="/xl/drawings/drawing9.xml" ContentType="application/vnd.openxmlformats-officedocument.drawing+xml"/>
  <Override PartName="/xl/drawings/charts/chart11.xml" ContentType="application/vnd.openxmlformats-officedocument.drawingml.chart+xml"/>
  <Override PartName="/xl/worksheets/sheet17.xml" ContentType="application/vnd.openxmlformats-officedocument.spreadsheetml.worksheet+xml"/>
  <Override PartName="/xl/drawings/drawing10.xml" ContentType="application/vnd.openxmlformats-officedocument.drawing+xml"/>
  <Override PartName="/xl/drawings/charts/chart12.xml" ContentType="application/vnd.openxmlformats-officedocument.drawingml.chart+xml"/>
  <Override PartName="/xl/worksheets/sheet18.xml" ContentType="application/vnd.openxmlformats-officedocument.spreadsheetml.worksheet+xml"/>
  <Override PartName="/xl/drawings/drawing11.xml" ContentType="application/vnd.openxmlformats-officedocument.drawing+xml"/>
  <Override PartName="/xl/drawings/charts/chart13.xml" ContentType="application/vnd.openxmlformats-officedocument.drawingml.chart+xml"/>
  <Override PartName="/xl/worksheets/sheet19.xml" ContentType="application/vnd.openxmlformats-officedocument.spreadsheetml.worksheet+xml"/>
  <Override PartName="/xl/drawings/drawing12.xml" ContentType="application/vnd.openxmlformats-officedocument.drawing+xml"/>
  <Override PartName="/xl/drawings/charts/chart14.xml" ContentType="application/vnd.openxmlformats-officedocument.drawingml.chart+xml"/>
  <Override PartName="/xl/worksheets/sheet20.xml" ContentType="application/vnd.openxmlformats-officedocument.spreadsheetml.worksheet+xml"/>
  <Override PartName="/xl/drawings/drawing13.xml" ContentType="application/vnd.openxmlformats-officedocument.drawing+xml"/>
  <Override PartName="/xl/drawings/charts/chart15.xml" ContentType="application/vnd.openxmlformats-officedocument.drawingml.chart+xml"/>
  <Override PartName="/xl/worksheets/sheet21.xml" ContentType="application/vnd.openxmlformats-officedocument.spreadsheetml.worksheet+xml"/>
  <Override PartName="/xl/drawings/drawing14.xml" ContentType="application/vnd.openxmlformats-officedocument.drawing+xml"/>
  <Override PartName="/xl/drawings/charts/chart16.xml" ContentType="application/vnd.openxmlformats-officedocument.drawingml.chart+xml"/>
  <Override PartName="/xl/worksheets/sheet22.xml" ContentType="application/vnd.openxmlformats-officedocument.spreadsheetml.worksheet+xml"/>
  <Override PartName="/xl/drawings/drawing15.xml" ContentType="application/vnd.openxmlformats-officedocument.drawing+xml"/>
  <Override PartName="/xl/drawings/charts/chart17.xml" ContentType="application/vnd.openxmlformats-officedocument.drawingml.chart+xml"/>
  <Override PartName="/xl/worksheets/sheet23.xml" ContentType="application/vnd.openxmlformats-officedocument.spreadsheetml.worksheet+xml"/>
  <Override PartName="/xl/drawings/drawing16.xml" ContentType="application/vnd.openxmlformats-officedocument.drawing+xml"/>
  <Override PartName="/xl/drawings/charts/chart18.xml" ContentType="application/vnd.openxmlformats-officedocument.drawingml.chart+xml"/>
  <Override PartName="/xl/worksheets/sheet24.xml" ContentType="application/vnd.openxmlformats-officedocument.spreadsheetml.worksheet+xml"/>
  <Override PartName="/xl/drawings/drawing17.xml" ContentType="application/vnd.openxmlformats-officedocument.drawing+xml"/>
  <Override PartName="/xl/drawings/charts/chart19.xml" ContentType="application/vnd.openxmlformats-officedocument.drawingml.chart+xml"/>
  <Override PartName="/xl/worksheets/sheet25.xml" ContentType="application/vnd.openxmlformats-officedocument.spreadsheetml.worksheet+xml"/>
  <Override PartName="/xl/drawings/drawing18.xml" ContentType="application/vnd.openxmlformats-officedocument.drawing+xml"/>
  <Override PartName="/xl/drawings/charts/chart20.xml" ContentType="application/vnd.openxmlformats-officedocument.drawingml.char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da132eb33c42f9" /></Relationships>
</file>

<file path=xl/workbook.xml><?xml version="1.0" encoding="utf-8"?>
<x:workbook xmlns:x="http://schemas.openxmlformats.org/spreadsheetml/2006/main">
  <x:sheets>
    <x:sheet xmlns:r="http://schemas.openxmlformats.org/officeDocument/2006/relationships" name="01_DayFlow" sheetId="1" r:id="Rb243b1750d744e46"/>
    <x:sheet xmlns:r="http://schemas.openxmlformats.org/officeDocument/2006/relationships" name="02_Characters" sheetId="2" r:id="R227f6fef819f4431"/>
    <x:sheet xmlns:r="http://schemas.openxmlformats.org/officeDocument/2006/relationships" name="03_Endings" sheetId="3" r:id="R502256674d0f4873"/>
    <x:sheet xmlns:r="http://schemas.openxmlformats.org/officeDocument/2006/relationships" name="04_Systems" sheetId="4" r:id="R65717ee10bd847f3"/>
    <x:sheet xmlns:r="http://schemas.openxmlformats.org/officeDocument/2006/relationships" name="05_TBD" sheetId="5" r:id="Rfe2272589d7a4edf"/>
    <x:sheet xmlns:r="http://schemas.openxmlformats.org/officeDocument/2006/relationships" name="06_ActionBudget" sheetId="6" r:id="Rdfb85e9a43414ca4"/>
    <x:sheet xmlns:r="http://schemas.openxmlformats.org/officeDocument/2006/relationships" name="07_RouteSimulation" sheetId="7" r:id="Re3477f17cc314f18"/>
    <x:sheet xmlns:r="http://schemas.openxmlformats.org/officeDocument/2006/relationships" name="08_ShipDesign" sheetId="8" r:id="Rdc28c08301ea4cba"/>
    <x:sheet xmlns:r="http://schemas.openxmlformats.org/officeDocument/2006/relationships" name="09_StatGrowth" sheetId="9" r:id="R4bb6c18773f64ffa"/>
    <x:sheet xmlns:r="http://schemas.openxmlformats.org/officeDocument/2006/relationships" name="10_EmergencyDesign" sheetId="10" r:id="R2fbad6e3a27348ce"/>
    <x:sheet xmlns:r="http://schemas.openxmlformats.org/officeDocument/2006/relationships" name="11_EmergencySchedule" sheetId="11" r:id="Rbff8113caf2d4dcb"/>
    <x:sheet xmlns:r="http://schemas.openxmlformats.org/officeDocument/2006/relationships" name="12_W3BuildSimulation" sheetId="12" r:id="R1f947dfc38464da6"/>
    <x:sheet xmlns:r="http://schemas.openxmlformats.org/officeDocument/2006/relationships" name="13_FacilityTransition" sheetId="13" r:id="R1c37e35e9401406a"/>
    <x:sheet xmlns:r="http://schemas.openxmlformats.org/officeDocument/2006/relationships" name="14_W3FullFacilitySim" sheetId="14" r:id="R18561e4ea03f439f"/>
    <x:sheet xmlns:r="http://schemas.openxmlformats.org/officeDocument/2006/relationships" name="15_W3BossRebalance" sheetId="15" r:id="R782e4103533d42e7"/>
    <x:sheet xmlns:r="http://schemas.openxmlformats.org/officeDocument/2006/relationships" name="16_FacilityCrisisGrammar" sheetId="16" r:id="R01770475073e4181"/>
    <x:sheet xmlns:r="http://schemas.openxmlformats.org/officeDocument/2006/relationships" name="17_CharacterFinals" sheetId="17" r:id="R6a648861097241ea"/>
    <x:sheet xmlns:r="http://schemas.openxmlformats.org/officeDocument/2006/relationships" name="18_EndingEvaluator" sheetId="18" r:id="Rfa4e659eafef43d0"/>
    <x:sheet xmlns:r="http://schemas.openxmlformats.org/officeDocument/2006/relationships" name="19_W2ReverseDesign" sheetId="19" r:id="Rf276bd18684b4469"/>
    <x:sheet xmlns:r="http://schemas.openxmlformats.org/officeDocument/2006/relationships" name="20_W1ReverseAudit" sheetId="20" r:id="Rf4537a55d7b74dcc"/>
    <x:sheet xmlns:r="http://schemas.openxmlformats.org/officeDocument/2006/relationships" name="21_IntegratedRouteSim" sheetId="21" r:id="R1063402ceb5040e5"/>
    <x:sheet xmlns:r="http://schemas.openxmlformats.org/officeDocument/2006/relationships" name="22_BalancePatch_v1.1" sheetId="22" r:id="Re332dd1ad51146ec"/>
    <x:sheet xmlns:r="http://schemas.openxmlformats.org/officeDocument/2006/relationships" name="23_ReSim_v1.1" sheetId="23" r:id="R0ba6ad7990a94a97"/>
    <x:sheet xmlns:r="http://schemas.openxmlformats.org/officeDocument/2006/relationships" name="24_Normal23_XPPlan" sheetId="24" r:id="Rae2897b956e64c3a"/>
    <x:sheet xmlns:r="http://schemas.openxmlformats.org/officeDocument/2006/relationships" name="25_NarrativeContentPass" sheetId="25" r:id="R3446a293f9ef4970"/>
    <x:sheet xmlns:r="http://schemas.openxmlformats.org/officeDocument/2006/relationships" name="26_W1_NarrativeAuthoring" sheetId="26" r:id="Rfb187f95db3644aa"/>
    <x:sheet xmlns:r="http://schemas.openxmlformats.org/officeDocument/2006/relationships" name="27_W1_FocusResearch" sheetId="27" r:id="R475e12873f3f4a4a"/>
    <x:sheet xmlns:r="http://schemas.openxmlformats.org/officeDocument/2006/relationships" name="28_W2_NarrativeAuthoring" sheetId="28" r:id="Raa6661dd84b845f3"/>
    <x:sheet xmlns:r="http://schemas.openxmlformats.org/officeDocument/2006/relationships" name="29_W3_NarrativeAuthoring" sheetId="29" r:id="R12e90e265b384d11"/>
    <x:sheet xmlns:r="http://schemas.openxmlformats.org/officeDocument/2006/relationships" name="30_EndingNarrative" sheetId="30" r:id="Rd3a71c4af1934f64"/>
    <x:sheet xmlns:r="http://schemas.openxmlformats.org/officeDocument/2006/relationships" name="31_CanonSync_v3.1" sheetId="31" r:id="R180d5e354cef425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quot;h&quot;"/>
  </x:numFmts>
  <x:fonts count="20">
    <x:font>
      <x:sz val="11"/>
      <x:name val="Carlito"/>
    </x:font>
    <x:font>
      <x:b/>
      <x:sz val="14"/>
      <x:color rgb="FFFFFFFF"/>
      <x:name val="Carlito"/>
    </x:font>
    <x:font>
      <x:b/>
      <x:sz val="11"/>
      <x:color rgb="FFFFFFFF"/>
      <x:name val="Carlito"/>
    </x:font>
    <x:font>
      <x:b/>
      <x:sz val="16"/>
      <x:color rgb="FFFFFFFF"/>
      <x:name val="Carlito"/>
    </x:font>
    <x:font>
      <x:i/>
      <x:sz val="11"/>
      <x:color rgb="FF1F1F1F"/>
      <x:name val="Carlito"/>
    </x:font>
    <x:font>
      <x:sz val="9"/>
      <x:name val="Carlito"/>
    </x:font>
    <x:font>
      <x:b/>
      <x:sz val="13"/>
      <x:color rgb="FFFFFFFF"/>
      <x:name val="Carlito"/>
    </x:font>
    <x:font>
      <x:i/>
      <x:sz val="11"/>
      <x:name val="Carlito"/>
    </x:font>
    <x:font>
      <x:b/>
      <x:sz val="11"/>
      <x:name val="Carlito"/>
    </x:font>
    <x:font>
      <x:b/>
      <x:sz val="10"/>
      <x:color rgb="FF1F2937"/>
      <x:name val="Carlito"/>
    </x:font>
    <x:font>
      <x:sz val="10"/>
      <x:color rgb="FF1F2937"/>
      <x:name val="Carlito"/>
    </x:font>
    <x:font>
      <x:b/>
      <x:sz val="15"/>
      <x:color rgb="FFFFFFFF"/>
      <x:name val="Carlito"/>
    </x:font>
    <x:font>
      <x:b/>
      <x:i/>
      <x:sz val="10"/>
      <x:color rgb="FF5F6B7A"/>
      <x:name val="Carlito"/>
    </x:font>
    <x:font>
      <x:i/>
      <x:sz val="10"/>
      <x:color rgb="FF5F6B7A"/>
      <x:name val="Carlito"/>
    </x:font>
    <x:font>
      <x:b/>
      <x:sz val="10"/>
      <x:color rgb="FFFFFFFF"/>
      <x:name val="Carlito"/>
    </x:font>
    <x:font>
      <x:i/>
      <x:sz val="10"/>
      <x:color rgb="FF1F2937"/>
      <x:name val="Carlito"/>
    </x:font>
    <x:font>
      <x:b/>
      <x:sz val="9"/>
      <x:color rgb="FF1F2937"/>
      <x:name val="Carlito"/>
    </x:font>
    <x:font>
      <x:sz val="9"/>
      <x:color rgb="FF1F2937"/>
      <x:name val="Carlito"/>
    </x:font>
    <x:font>
      <x:i/>
      <x:sz val="9"/>
      <x:color rgb="FF1F2937"/>
      <x:name val="Carlito"/>
    </x:font>
    <x:font>
      <x:b/>
      <x:i/>
      <x:sz val="10"/>
      <x:color rgb="FF1F2937"/>
      <x:name val="Carlito"/>
    </x:font>
  </x:fonts>
  <x:fills count="174">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D9EAF7"/>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FFF2CC"/>
      </x:patternFill>
    </x:fill>
    <x:fill>
      <x:patternFill patternType="solid">
        <x:fgColor rgb="FFF5F9FD"/>
      </x:patternFill>
    </x:fill>
    <x:fill>
      <x:patternFill patternType="solid">
        <x:fgColor rgb="FF1F4E78"/>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F5F9FD"/>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5B9BD5"/>
      </x:patternFill>
    </x:fill>
    <x:fill>
      <x:patternFill patternType="solid">
        <x:fgColor rgb="FFF5F9FD"/>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F5F9FD"/>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1F4E78"/>
      </x:patternFill>
    </x:fill>
    <x:fill>
      <x:patternFill patternType="solid">
        <x:fgColor rgb="FFF5F9FD"/>
      </x:patternFill>
    </x:fill>
    <x:fill>
      <x:patternFill patternType="solid">
        <x:fgColor rgb="FF5B9BD5"/>
      </x:patternFill>
    </x:fill>
    <x:fill>
      <x:patternFill patternType="solid">
        <x:fgColor rgb="FF17365D"/>
      </x:patternFill>
    </x:fill>
    <x:fill>
      <x:patternFill patternType="solid">
        <x:fgColor rgb="FFF4F8FC"/>
      </x:patternFill>
    </x:fill>
    <x:fill>
      <x:patternFill patternType="solid">
        <x:fgColor rgb="FF5B9BD5"/>
      </x:patternFill>
    </x:fill>
    <x:fill>
      <x:patternFill patternType="solid">
        <x:fgColor rgb="FF17365D"/>
      </x:patternFill>
    </x:fill>
    <x:fill>
      <x:patternFill patternType="solid">
        <x:fgColor rgb="FFF4F8FC"/>
      </x:patternFill>
    </x:fill>
    <x:fill>
      <x:patternFill patternType="solid">
        <x:fgColor rgb="FF5B9BD5"/>
      </x:patternFill>
    </x:fill>
    <x:fill>
      <x:patternFill patternType="solid">
        <x:fgColor rgb="FF244A73"/>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FFFFFF"/>
      </x:patternFill>
    </x:fill>
    <x:fill>
      <x:patternFill patternType="solid">
        <x:fgColor rgb="FF17365D"/>
      </x:patternFill>
    </x:fill>
    <x:fill>
      <x:patternFill patternType="solid">
        <x:fgColor rgb="FFF4F8FC"/>
      </x:patternFill>
    </x:fill>
    <x:fill>
      <x:patternFill patternType="solid">
        <x:fgColor rgb="FF5B9BD5"/>
      </x:patternFill>
    </x:fill>
    <x:fill>
      <x:patternFill patternType="solid">
        <x:fgColor rgb="FFFFFFFF"/>
      </x:patternFill>
    </x:fill>
    <x:fill>
      <x:patternFill patternType="solid">
        <x:fgColor rgb="FF17365D"/>
      </x:patternFill>
    </x:fill>
    <x:fill>
      <x:patternFill patternType="solid">
        <x:fgColor rgb="FFF4F8FC"/>
      </x:patternFill>
    </x:fill>
    <x:fill>
      <x:patternFill patternType="solid">
        <x:fgColor rgb="FF5B9BD5"/>
      </x:patternFill>
    </x:fill>
    <x:fill>
      <x:patternFill patternType="solid">
        <x:fgColor rgb="FF244A73"/>
      </x:patternFill>
    </x:fill>
    <x:fill>
      <x:patternFill patternType="solid">
        <x:fgColor rgb="FFFFFFFF"/>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FFFFFF"/>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FFFFFF"/>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FFFFFF"/>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5B9BD5"/>
      </x:patternFill>
    </x:fill>
    <x:fill>
      <x:patternFill patternType="solid">
        <x:fgColor rgb="FF17365D"/>
      </x:patternFill>
    </x:fill>
    <x:fill>
      <x:patternFill patternType="solid">
        <x:fgColor rgb="FF244A73"/>
      </x:patternFill>
    </x:fill>
    <x:fill>
      <x:patternFill patternType="solid">
        <x:fgColor rgb="FF17365D"/>
      </x:patternFill>
    </x:fill>
    <x:fill>
      <x:patternFill patternType="solid">
        <x:fgColor rgb="FFF4F8FC"/>
      </x:patternFill>
    </x:fill>
    <x:fill>
      <x:patternFill patternType="solid">
        <x:fgColor rgb="FF244A73"/>
      </x:patternFill>
    </x:fill>
    <x:fill>
      <x:patternFill patternType="solid">
        <x:fgColor rgb="FF244A73"/>
      </x:patternFill>
    </x:fill>
    <x:fill>
      <x:patternFill patternType="solid">
        <x:fgColor rgb="FF5B9BD5"/>
      </x:patternFill>
    </x:fill>
    <x:fill>
      <x:patternFill patternType="solid">
        <x:fgColor rgb="FF17365D"/>
      </x:patternFill>
    </x:fill>
    <x:fill>
      <x:patternFill patternType="solid">
        <x:fgColor rgb="FF2F75B5"/>
      </x:patternFill>
    </x:fill>
    <x:fill>
      <x:patternFill patternType="solid">
        <x:fgColor rgb="FF5B9BD5"/>
      </x:patternFill>
    </x:fill>
  </x:fills>
  <x:borders count="2">
    <x:border/>
    <x:border/>
  </x:borders>
  <x:cellStyleXfs count="1">
    <x:xf numFmtId="0" fontId="0" fillId="0" borderId="0"/>
  </x:cellStyleXfs>
  <x:cellXfs count="10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0" fillId="0" xfId="0" applyNumberFormat="1" applyFont="1" applyFill="1" applyBorder="0"/>
    <x:xf numFmtId="0" fontId="0" fillId="0" xfId="0" applyNumberFormat="1" applyFont="1" applyFill="1" applyBorder="0" applyAlignment="1">
      <x:alignment vertical="center"/>
    </x:xf>
    <x:xf numFmtId="0" fontId="0" fillId="0" xfId="0" applyNumberFormat="1" applyFont="1" applyFill="1" applyBorder="0" applyAlignment="1">
      <x:alignment horizontal="center" vertical="center"/>
    </x:xf>
    <x:xf numFmtId="200" fontId="0" fillId="0" xfId="0" applyNumberFormat="1" applyFont="1" applyFill="1" applyBorder="0" applyAlignment="1">
      <x:alignment vertical="center"/>
    </x:xf>
    <x:xf numFmtId="201" fontId="0" fillId="0" xfId="0" applyNumberFormat="1" applyFont="1" applyFill="1" applyBorder="0" applyAlignment="1">
      <x:alignmen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0" xfId="0" applyNumberFormat="1" applyFont="1" applyFill="1" applyBorder="0" applyAlignment="1">
      <x:alignment wrapText="1"/>
    </x:xf>
    <x:xf numFmtId="0" fontId="0" fillId="0" xfId="0" applyNumberFormat="1" applyFont="1" applyFill="1" applyBorder="0" applyAlignment="1">
      <x:alignment vertical="top" wrapText="1"/>
    </x:xf>
    <x:xf numFmtId="0" fontId="0" fillId="0" xfId="0" applyNumberFormat="1" applyFont="1" applyFill="1" applyBorder="0" applyAlignment="1">
      <x:alignment horizontal="center" vertical="top" wrapText="1"/>
    </x:xf>
    <x:xf numFmtId="200" fontId="0" fillId="0" xfId="0" applyNumberFormat="1" applyFont="1" applyFill="1" applyBorder="0" applyAlignment="1">
      <x:alignment horizontal="center" vertical="top"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200" fontId="0" fillId="0" xfId="0" applyNumberFormat="1" applyFont="1" applyFill="1" applyBorder="0" applyAlignment="1">
      <x:alignment vertical="top" wrapText="1"/>
    </x:xf>
    <x:xf numFmtId="0" fontId="6" fillId="8" borderId="0" xfId="0" applyNumberFormat="1" applyFont="1" applyFill="1" applyBorder="1"/>
    <x:xf numFmtId="0" fontId="2" fillId="9" borderId="0" xfId="0" applyNumberFormat="1" applyFont="1" applyFill="1" applyBorder="1" applyAlignment="1">
      <x:alignment horizontal="center"/>
    </x:xf>
    <x:xf numFmtId="0" fontId="0" fillId="0" xfId="0" applyNumberFormat="1" applyFont="1" applyFill="1" applyBorder="0" applyAlignment="1">
      <x:alignment horizontal="center"/>
    </x:xf>
    <x:xf numFmtId="200" fontId="0" fillId="0" xfId="0" applyNumberFormat="1" applyFont="1" applyFill="1" applyBorder="0" applyAlignment="1">
      <x:alignment horizontal="center"/>
    </x:xf>
    <x:xf numFmtId="201" fontId="0" fillId="0" xfId="0" applyNumberFormat="1" applyFont="1" applyFill="1" applyBorder="0" applyAlignment="1">
      <x:alignment horizontal="center"/>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6" fillId="2"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6" fillId="11" borderId="0" xfId="0" applyNumberFormat="1" applyFont="1" applyFill="1" applyBorder="1"/>
    <x:xf numFmtId="200" fontId="0" fillId="0" xfId="0" applyNumberFormat="1" applyFont="1" applyFill="1" applyBorder="0" applyAlignment="1">
      <x:alignment horizontal="center" vertical="center"/>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5" fillId="7" borderId="0" xfId="0" applyNumberFormat="1" applyFont="1" applyFill="1" applyBorder="1" applyAlignment="1">
      <x:alignment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vertical="center"/>
    </x:xf>
    <x:xf numFmtId="0" fontId="0" fillId="15" borderId="0" xfId="0" applyNumberFormat="1" applyFont="1" applyFill="1" applyBorder="1"/>
    <x:xf numFmtId="0" fontId="7" fillId="15" borderId="0" xfId="0" applyNumberFormat="1" applyFont="1" applyFill="1" applyBorder="1"/>
    <x:xf numFmtId="0" fontId="7" fillId="15" borderId="0" xfId="0" applyNumberFormat="1" applyFont="1" applyFill="1" applyBorder="1" applyAlignment="1">
      <x:alignment wrapText="1"/>
    </x:xf>
    <x:xf numFmtId="0" fontId="2" fillId="14" borderId="0" xfId="0" applyNumberFormat="1" applyFont="1" applyFill="1" applyBorder="1"/>
    <x:xf numFmtId="0" fontId="0" fillId="16" xfId="0" applyNumberFormat="1" applyFont="1" applyFill="1" applyBorder="0" applyAlignment="1">
      <x:alignment vertical="top" wrapText="1"/>
    </x:xf>
    <x:xf numFmtId="0" fontId="2" fillId="16" xfId="0" applyNumberFormat="1" applyFont="1" applyFill="1" applyBorder="0" applyAlignment="1">
      <x:alignment vertical="top" wrapText="1"/>
    </x:xf>
    <x:xf numFmtId="0" fontId="2" fillId="16" xfId="0" applyNumberFormat="1" applyFont="1" applyFill="1" applyBorder="0" applyAlignment="1">
      <x:alignment horizontal="center" vertical="top" wrapText="1"/>
    </x:xf>
    <x:xf numFmtId="0" fontId="6" fillId="14" borderId="0" xfId="0" applyNumberFormat="1" applyFont="1" applyFill="1" applyBorder="1"/>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8" fillId="17" borderId="0" xfId="0" applyNumberFormat="1" applyFont="1" applyFill="1" applyBorder="1"/>
    <x:xf numFmtId="0" fontId="8" fillId="17" xfId="0" applyNumberFormat="1" applyFont="1" applyFill="1" applyBorder="0"/>
    <x:xf numFmtId="0" fontId="8" fillId="17" xfId="0" applyNumberFormat="1" applyFont="1" applyFill="1" applyBorder="0" applyAlignment="1">
      <x:alignment wrapText="1"/>
    </x:xf>
    <x:xf numFmtId="0" fontId="8" fillId="17" xfId="0" applyNumberFormat="1" applyFont="1" applyFill="1" applyBorder="0" applyAlignment="1">
      <x:alignment vertical="top" wrapText="1"/>
    </x:xf>
    <x:xf numFmtId="200" fontId="8" fillId="17" xfId="0" applyNumberFormat="1" applyFont="1" applyFill="1" applyBorder="0" applyAlignment="1">
      <x:alignment vertical="top" wrapText="1"/>
    </x:xf>
    <x:xf numFmtId="200" fontId="8" fillId="17" xfId="0" applyNumberFormat="1" applyFont="1" applyFill="1" applyBorder="0" applyAlignment="1">
      <x:alignment horizontal="center" vertical="top" wrapText="1"/>
    </x:xf>
    <x:xf numFmtId="0" fontId="0" fillId="0" xfId="0" applyNumberFormat="1" applyFont="1" applyFill="1" applyBorder="0" applyAlignment="1">
      <x:alignment horizontal="left" vertical="top" wrapText="1"/>
    </x:xf>
    <x:xf numFmtId="0" fontId="8" fillId="17" xfId="0" applyNumberFormat="1" applyFont="1" applyFill="1" applyBorder="0" applyAlignment="1">
      <x:alignment horizontal="left" vertical="top" wrapText="1"/>
    </x:xf>
    <x:xf numFmtId="0" fontId="7" fillId="5" borderId="0" xfId="0" applyNumberFormat="1" applyFont="1" applyFill="1" applyBorder="1"/>
    <x:xf numFmtId="0" fontId="7" fillId="5" borderId="0" xfId="0" applyNumberFormat="1" applyFont="1" applyFill="1" applyBorder="1" applyAlignment="1">
      <x:alignment wrapText="1"/>
    </x:xf>
    <x:xf numFmtId="0" fontId="2" fillId="2" borderId="0" xfId="0" applyNumberFormat="1" applyFont="1" applyFill="1" applyBorder="1"/>
    <x:xf numFmtId="0" fontId="0" fillId="3" xfId="0" applyNumberFormat="1" applyFont="1" applyFill="1" applyBorder="0" applyAlignment="1">
      <x:alignment vertical="top" wrapText="1"/>
    </x:xf>
    <x:xf numFmtId="0" fontId="2" fillId="3" xfId="0" applyNumberFormat="1" applyFont="1" applyFill="1" applyBorder="0" applyAlignment="1">
      <x:alignment vertical="top" wrapText="1"/>
    </x:xf>
    <x:xf numFmtId="0" fontId="2" fillId="3" xfId="0" applyNumberFormat="1" applyFont="1" applyFill="1" applyBorder="0" applyAlignment="1">
      <x:alignment horizontal="center" vertical="top" wrapText="1"/>
    </x:xf>
    <x:xf numFmtId="0" fontId="0" fillId="18" borderId="0" xfId="0" applyNumberFormat="1" applyFont="1" applyFill="1" applyBorder="1"/>
    <x:xf numFmtId="0" fontId="3" fillId="18" borderId="0" xfId="0" applyNumberFormat="1" applyFont="1" applyFill="1" applyBorder="1"/>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wrapText="1"/>
    </x:xf>
    <x:xf numFmtId="0" fontId="2" fillId="18" borderId="0" xfId="0" applyNumberFormat="1" applyFont="1" applyFill="1" applyBorder="1"/>
    <x:xf numFmtId="0" fontId="0" fillId="20" xfId="0" applyNumberFormat="1" applyFont="1" applyFill="1" applyBorder="0" applyAlignment="1">
      <x:alignment wrapText="1"/>
    </x:xf>
    <x:xf numFmtId="0" fontId="2" fillId="20" xfId="0" applyNumberFormat="1" applyFont="1" applyFill="1" applyBorder="0" applyAlignment="1">
      <x:alignment wrapText="1"/>
    </x:xf>
    <x:xf numFmtId="0" fontId="2" fillId="20" xfId="0" applyNumberFormat="1" applyFont="1" applyFill="1" applyBorder="0" applyAlignment="1">
      <x:alignment horizontal="center" wrapText="1"/>
    </x:xf>
    <x:xf numFmtId="0" fontId="0" fillId="20" xfId="0" applyNumberFormat="1" applyFont="1" applyFill="1" applyBorder="0" applyAlignment="1">
      <x:alignment vertical="top" wrapText="1"/>
    </x:xf>
    <x:xf numFmtId="0" fontId="2" fillId="20" xfId="0" applyNumberFormat="1" applyFont="1" applyFill="1" applyBorder="0" applyAlignment="1">
      <x:alignment vertical="top" wrapText="1"/>
    </x:xf>
    <x:xf numFmtId="0" fontId="2" fillId="20" xfId="0" applyNumberFormat="1" applyFont="1" applyFill="1" applyBorder="0" applyAlignment="1">
      <x:alignment horizontal="center" vertical="top" wrapText="1"/>
    </x:xf>
    <x:xf numFmtId="0" fontId="0" fillId="21" xfId="0" applyNumberFormat="1" applyFont="1" applyFill="1" applyBorder="0" applyAlignment="1">
      <x:alignment wrapText="1"/>
    </x:xf>
    <x:xf numFmtId="0" fontId="8" fillId="21" xfId="0" applyNumberFormat="1" applyFont="1" applyFill="1" applyBorder="0" applyAlignment="1">
      <x:alignment wrapText="1"/>
    </x:xf>
    <x:xf numFmtId="0" fontId="0" fillId="3" xfId="0" applyNumberFormat="1" applyFont="1" applyFill="1" applyBorder="0" applyAlignment="1">
      <x:alignment wrapText="1"/>
    </x:xf>
    <x:xf numFmtId="0" fontId="2" fillId="3" xfId="0" applyNumberFormat="1" applyFont="1" applyFill="1" applyBorder="0" applyAlignment="1">
      <x:alignment wrapText="1"/>
    </x:xf>
    <x:xf numFmtId="0" fontId="2" fillId="3" xfId="0" applyNumberFormat="1" applyFont="1" applyFill="1" applyBorder="0" applyAlignment="1">
      <x:alignment horizontal="center" wrapText="1"/>
    </x:xf>
    <x:xf numFmtId="0" fontId="0" fillId="17" xfId="0" applyNumberFormat="1" applyFont="1" applyFill="1" applyBorder="0" applyAlignment="1">
      <x:alignment wrapText="1"/>
    </x:xf>
    <x:xf numFmtId="0" fontId="0" fillId="22" borderId="0" xfId="0" applyNumberFormat="1" applyFont="1" applyFill="1" applyBorder="1"/>
    <x:xf numFmtId="0" fontId="8" fillId="22" borderId="0" xfId="0" applyNumberFormat="1" applyFont="1" applyFill="1" applyBorder="1"/>
    <x:xf numFmtId="0" fontId="0" fillId="23" borderId="0" xfId="0" applyNumberFormat="1" applyFont="1" applyFill="1" applyBorder="1"/>
    <x:xf numFmtId="0" fontId="3" fillId="23" borderId="0" xfId="0" applyNumberFormat="1" applyFont="1" applyFill="1" applyBorder="1"/>
    <x:xf numFmtId="0" fontId="0" fillId="24" borderId="0" xfId="0" applyNumberFormat="1" applyFont="1" applyFill="1" applyBorder="1"/>
    <x:xf numFmtId="0" fontId="7" fillId="24" borderId="0" xfId="0" applyNumberFormat="1" applyFont="1" applyFill="1" applyBorder="1"/>
    <x:xf numFmtId="0" fontId="7" fillId="24" borderId="0" xfId="0" applyNumberFormat="1" applyFont="1" applyFill="1" applyBorder="1" applyAlignment="1">
      <x:alignment wrapText="1"/>
    </x:xf>
    <x:xf numFmtId="0" fontId="2" fillId="23" borderId="0" xfId="0" applyNumberFormat="1" applyFont="1" applyFill="1" applyBorder="1"/>
    <x:xf numFmtId="0" fontId="0" fillId="25" xfId="0" applyNumberFormat="1" applyFont="1" applyFill="1" applyBorder="0" applyAlignment="1">
      <x:alignment wrapText="1"/>
    </x:xf>
    <x:xf numFmtId="0" fontId="2" fillId="25" xfId="0" applyNumberFormat="1" applyFont="1" applyFill="1" applyBorder="0" applyAlignment="1">
      <x:alignment wrapText="1"/>
    </x:xf>
    <x:xf numFmtId="0" fontId="2" fillId="25" xfId="0" applyNumberFormat="1" applyFont="1" applyFill="1" applyBorder="0" applyAlignment="1">
      <x:alignment horizontal="center" wrapText="1"/>
    </x:xf>
    <x:xf numFmtId="0" fontId="0" fillId="26" borderId="0" xfId="0" applyNumberFormat="1" applyFont="1" applyFill="1" applyBorder="1"/>
    <x:xf numFmtId="0" fontId="0" fillId="26" borderId="0" xfId="0" applyNumberFormat="1" applyFont="1" applyFill="1" applyBorder="1" applyAlignment="1">
      <x:alignment wrapText="1"/>
    </x:xf>
    <x:xf numFmtId="0" fontId="2" fillId="23" xfId="0" applyNumberFormat="1" applyFont="1" applyFill="1" applyBorder="0"/>
    <x:xf numFmtId="0" fontId="2" fillId="23" xfId="0" applyNumberFormat="1" applyFont="1" applyFill="1" applyBorder="0" applyAlignment="1">
      <x:alignment wrapText="1"/>
    </x:xf>
    <x:xf numFmtId="0" fontId="0" fillId="25" xfId="0" applyNumberFormat="1" applyFont="1" applyFill="1" applyBorder="0"/>
    <x:xf numFmtId="0" fontId="2" fillId="25" xfId="0" applyNumberFormat="1" applyFont="1" applyFill="1" applyBorder="0"/>
    <x:xf numFmtId="0" fontId="0" fillId="7" borderId="0" xfId="0" applyNumberFormat="1" applyFont="1" applyFill="1" applyBorder="1" applyAlignment="1">
      <x:alignment wrapText="1"/>
    </x:xf>
    <x:xf numFmtId="0" fontId="2" fillId="2" xfId="0" applyNumberFormat="1" applyFont="1" applyFill="1" applyBorder="0"/>
    <x:xf numFmtId="0" fontId="2" fillId="2" xfId="0" applyNumberFormat="1" applyFont="1" applyFill="1" applyBorder="0" applyAlignment="1">
      <x:alignment wrapText="1"/>
    </x:xf>
    <x:xf numFmtId="0" fontId="0" fillId="3" xfId="0" applyNumberFormat="1" applyFont="1" applyFill="1" applyBorder="0"/>
    <x:xf numFmtId="0" fontId="2" fillId="3" xfId="0" applyNumberFormat="1" applyFont="1" applyFill="1" applyBorder="0"/>
    <x:xf numFmtId="0" fontId="0" fillId="27" borderId="0" xfId="0" applyNumberFormat="1" applyFont="1" applyFill="1" applyBorder="1"/>
    <x:xf numFmtId="0" fontId="2" fillId="27" borderId="0" xfId="0" applyNumberFormat="1" applyFont="1" applyFill="1" applyBorder="1"/>
    <x:xf numFmtId="0" fontId="0" fillId="28" xfId="0" applyNumberFormat="1" applyFont="1" applyFill="1" applyBorder="0" applyAlignment="1">
      <x:alignment wrapText="1"/>
    </x:xf>
    <x:xf numFmtId="0" fontId="8" fillId="28" xfId="0" applyNumberFormat="1" applyFont="1" applyFill="1" applyBorder="0" applyAlignment="1">
      <x:alignment wrapText="1"/>
    </x:xf>
    <x:xf numFmtId="0" fontId="0" fillId="29" borderId="0" xfId="0" applyNumberFormat="1" applyFont="1" applyFill="1" applyBorder="1"/>
    <x:xf numFmtId="0" fontId="3" fillId="29" borderId="0" xfId="0" applyNumberFormat="1" applyFont="1" applyFill="1" applyBorder="1"/>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wrapText="1"/>
    </x:xf>
    <x:xf numFmtId="0" fontId="2" fillId="29" borderId="0" xfId="0" applyNumberFormat="1" applyFont="1" applyFill="1" applyBorder="1"/>
    <x:xf numFmtId="0" fontId="0" fillId="31" xfId="0" applyNumberFormat="1" applyFont="1" applyFill="1" applyBorder="0" applyAlignment="1">
      <x:alignment vertical="top" wrapText="1"/>
    </x:xf>
    <x:xf numFmtId="0" fontId="2" fillId="31" xfId="0" applyNumberFormat="1" applyFont="1" applyFill="1" applyBorder="0" applyAlignment="1">
      <x:alignment vertical="top" wrapText="1"/>
    </x:xf>
    <x:xf numFmtId="0" fontId="2" fillId="31" xfId="0" applyNumberFormat="1" applyFont="1" applyFill="1" applyBorder="0" applyAlignment="1">
      <x:alignment horizontal="center" vertical="top" wrapText="1"/>
    </x:xf>
    <x:xf numFmtId="0" fontId="0" fillId="32" borderId="0" xfId="0" applyNumberFormat="1" applyFont="1" applyFill="1" applyBorder="1"/>
    <x:xf numFmtId="0" fontId="0" fillId="32" borderId="0" xfId="0" applyNumberFormat="1" applyFont="1" applyFill="1" applyBorder="1" applyAlignment="1">
      <x:alignment wrapText="1"/>
    </x:xf>
    <x:xf numFmtId="0" fontId="0" fillId="31" xfId="0" applyNumberFormat="1" applyFont="1" applyFill="1" applyBorder="0" applyAlignment="1">
      <x:alignment wrapText="1"/>
    </x:xf>
    <x:xf numFmtId="0" fontId="2" fillId="31" xfId="0" applyNumberFormat="1" applyFont="1" applyFill="1" applyBorder="0" applyAlignment="1">
      <x:alignment wrapText="1"/>
    </x:xf>
    <x:xf numFmtId="0" fontId="0" fillId="32" xfId="0" applyNumberFormat="1" applyFont="1" applyFill="1" applyBorder="0" applyAlignment="1">
      <x:alignment wrapText="1"/>
    </x:xf>
    <x:xf numFmtId="0" fontId="2" fillId="30" borderId="0" xfId="0" applyNumberFormat="1" applyFont="1" applyFill="1" applyBorder="1"/>
    <x:xf numFmtId="0" fontId="0" fillId="30" borderId="0" xfId="0" applyNumberFormat="1" applyFont="1" applyFill="1" applyBorder="1" applyAlignment="1">
      <x:alignment wrapText="1"/>
    </x:xf>
    <x:xf numFmtId="0" fontId="2" fillId="30" borderId="0" xfId="0" applyNumberFormat="1" applyFont="1" applyFill="1" applyBorder="1" applyAlignment="1">
      <x:alignment wrapText="1"/>
    </x:xf>
    <x:xf numFmtId="0" fontId="0" fillId="7" xfId="0" applyNumberFormat="1" applyFont="1" applyFill="1" applyBorder="0" applyAlignment="1">
      <x:alignment wrapText="1"/>
    </x:xf>
    <x:xf numFmtId="0" fontId="2" fillId="5" borderId="0" xfId="0" applyNumberFormat="1" applyFont="1" applyFill="1" applyBorder="1"/>
    <x:xf numFmtId="0" fontId="0" fillId="5" borderId="0" xfId="0" applyNumberFormat="1" applyFont="1" applyFill="1" applyBorder="1" applyAlignment="1">
      <x:alignment wrapText="1"/>
    </x:xf>
    <x:xf numFmtId="0" fontId="2" fillId="5" borderId="0" xfId="0" applyNumberFormat="1" applyFont="1" applyFill="1" applyBorder="1" applyAlignment="1">
      <x:alignment wrapText="1"/>
    </x:xf>
    <x:xf numFmtId="0" fontId="0" fillId="33" borderId="0" xfId="0" applyNumberFormat="1" applyFont="1" applyFill="1" applyBorder="1"/>
    <x:xf numFmtId="0" fontId="6" fillId="33" borderId="0" xfId="0" applyNumberFormat="1" applyFont="1" applyFill="1" applyBorder="1"/>
    <x:xf numFmtId="0" fontId="0" fillId="34" xfId="0" applyNumberFormat="1" applyFont="1" applyFill="1" applyBorder="0" applyAlignment="1">
      <x:alignment vertical="top" wrapText="1"/>
    </x:xf>
    <x:xf numFmtId="0" fontId="2" fillId="34" xfId="0" applyNumberFormat="1" applyFont="1" applyFill="1" applyBorder="0" applyAlignment="1">
      <x:alignment vertical="top" wrapText="1"/>
    </x:xf>
    <x:xf numFmtId="0" fontId="2" fillId="34" xfId="0" applyNumberFormat="1" applyFont="1" applyFill="1" applyBorder="0" applyAlignment="1">
      <x:alignment horizontal="center" vertical="top" wrapText="1"/>
    </x:xf>
    <x:xf numFmtId="0" fontId="2" fillId="33" borderId="0" xfId="0" applyNumberFormat="1" applyFont="1" applyFill="1" applyBorder="1"/>
    <x:xf numFmtId="0" fontId="0" fillId="35" borderId="0" xfId="0" applyNumberFormat="1" applyFont="1" applyFill="1" applyBorder="1"/>
    <x:xf numFmtId="0" fontId="0" fillId="35" borderId="0" xfId="0" applyNumberFormat="1" applyFont="1" applyFill="1" applyBorder="1" applyAlignment="1">
      <x:alignment wrapText="1"/>
    </x:xf>
    <x:xf numFmtId="0" fontId="2" fillId="33" xfId="0" applyNumberFormat="1" applyFont="1" applyFill="1" applyBorder="0"/>
    <x:xf numFmtId="0" fontId="2" fillId="33" xfId="0" applyNumberFormat="1" applyFont="1" applyFill="1" applyBorder="0" applyAlignment="1">
      <x:alignment wrapText="1"/>
    </x:xf>
    <x:xf numFmtId="0" fontId="0" fillId="34" xfId="0" applyNumberFormat="1" applyFont="1" applyFill="1" applyBorder="0" applyAlignment="1">
      <x:alignment wrapText="1"/>
    </x:xf>
    <x:xf numFmtId="0" fontId="2" fillId="34" xfId="0" applyNumberFormat="1" applyFont="1" applyFill="1" applyBorder="0" applyAlignment="1">
      <x:alignment wrapText="1"/>
    </x:xf>
    <x:xf numFmtId="0" fontId="2" fillId="34" xfId="0" applyNumberFormat="1" applyFont="1" applyFill="1" applyBorder="0" applyAlignment="1">
      <x:alignment horizontal="center" wrapText="1"/>
    </x:xf>
    <x:xf numFmtId="0" fontId="0" fillId="34" xfId="0" applyNumberFormat="1" applyFont="1" applyFill="1" applyBorder="0"/>
    <x:xf numFmtId="0" fontId="2" fillId="34" xfId="0" applyNumberFormat="1" applyFont="1" applyFill="1" applyBorder="0"/>
    <x:xf numFmtId="0" fontId="0" fillId="35" xfId="0" applyNumberFormat="1" applyFont="1" applyFill="1" applyBorder="0"/>
    <x:xf numFmtId="0" fontId="0" fillId="7" xfId="0" applyNumberFormat="1" applyFont="1" applyFill="1" applyBorder="0"/>
    <x:xf numFmtId="0" fontId="0" fillId="36" borderId="0" xfId="0" applyNumberFormat="1" applyFont="1" applyFill="1" applyBorder="1"/>
    <x:xf numFmtId="0" fontId="6" fillId="36" borderId="0" xfId="0" applyNumberFormat="1" applyFont="1" applyFill="1" applyBorder="1"/>
    <x:xf numFmtId="0" fontId="0" fillId="37" xfId="0" applyNumberFormat="1" applyFont="1" applyFill="1" applyBorder="0" applyAlignment="1">
      <x:alignment vertical="top" wrapText="1"/>
    </x:xf>
    <x:xf numFmtId="0" fontId="2" fillId="37" xfId="0" applyNumberFormat="1" applyFont="1" applyFill="1" applyBorder="0" applyAlignment="1">
      <x:alignment vertical="top" wrapText="1"/>
    </x:xf>
    <x:xf numFmtId="0" fontId="2" fillId="37" xfId="0" applyNumberFormat="1" applyFont="1" applyFill="1" applyBorder="0" applyAlignment="1">
      <x:alignment horizontal="center" vertical="top" wrapText="1"/>
    </x:xf>
    <x:xf numFmtId="0" fontId="2" fillId="36" borderId="0" xfId="0" applyNumberFormat="1" applyFont="1" applyFill="1" applyBorder="1"/>
    <x:xf numFmtId="0" fontId="0" fillId="38" borderId="0" xfId="0" applyNumberFormat="1" applyFont="1" applyFill="1" applyBorder="1"/>
    <x:xf numFmtId="0" fontId="0" fillId="38" borderId="0" xfId="0" applyNumberFormat="1" applyFont="1" applyFill="1" applyBorder="1" applyAlignment="1">
      <x:alignment wrapText="1"/>
    </x:xf>
    <x:xf numFmtId="0" fontId="0" fillId="39" borderId="0" xfId="0" applyNumberFormat="1" applyFont="1" applyFill="1" applyBorder="1"/>
    <x:xf numFmtId="0" fontId="0" fillId="39" borderId="0" xfId="0" applyNumberFormat="1" applyFont="1" applyFill="1" applyBorder="1" applyAlignment="1">
      <x:alignment wrapText="1"/>
    </x:xf>
    <x:xf numFmtId="0" fontId="2" fillId="36" xfId="0" applyNumberFormat="1" applyFont="1" applyFill="1" applyBorder="0"/>
    <x:xf numFmtId="0" fontId="2" fillId="36" xfId="0" applyNumberFormat="1" applyFont="1" applyFill="1" applyBorder="0" applyAlignment="1">
      <x:alignment wrapText="1"/>
    </x:xf>
    <x:xf numFmtId="0" fontId="0" fillId="37" xfId="0" applyNumberFormat="1" applyFont="1" applyFill="1" applyBorder="0" applyAlignment="1">
      <x:alignment wrapText="1"/>
    </x:xf>
    <x:xf numFmtId="0" fontId="2" fillId="37" xfId="0" applyNumberFormat="1" applyFont="1" applyFill="1" applyBorder="0" applyAlignment="1">
      <x:alignment wrapText="1"/>
    </x:xf>
    <x:xf numFmtId="0" fontId="0" fillId="37" xfId="0" applyNumberFormat="1" applyFont="1" applyFill="1" applyBorder="0"/>
    <x:xf numFmtId="0" fontId="2" fillId="37" xfId="0" applyNumberFormat="1" applyFont="1" applyFill="1" applyBorder="0"/>
    <x:xf numFmtId="0" fontId="0" fillId="38" xfId="0" applyNumberFormat="1" applyFont="1" applyFill="1" applyBorder="0"/>
    <x:xf numFmtId="0" fontId="0" fillId="40" borderId="0" xfId="0" applyNumberFormat="1" applyFont="1" applyFill="1" applyBorder="1"/>
    <x:xf numFmtId="0" fontId="6" fillId="40" borderId="0" xfId="0" applyNumberFormat="1" applyFont="1" applyFill="1" applyBorder="1"/>
    <x:xf numFmtId="0" fontId="0" fillId="41" xfId="0" applyNumberFormat="1" applyFont="1" applyFill="1" applyBorder="0" applyAlignment="1">
      <x:alignment vertical="top" wrapText="1"/>
    </x:xf>
    <x:xf numFmtId="0" fontId="2" fillId="41" xfId="0" applyNumberFormat="1" applyFont="1" applyFill="1" applyBorder="0" applyAlignment="1">
      <x:alignment vertical="top" wrapText="1"/>
    </x:xf>
    <x:xf numFmtId="0" fontId="2" fillId="41" xfId="0" applyNumberFormat="1" applyFont="1" applyFill="1" applyBorder="0" applyAlignment="1">
      <x:alignment horizontal="center" vertical="top" wrapText="1"/>
    </x:xf>
    <x:xf numFmtId="0" fontId="2" fillId="40" borderId="0" xfId="0" applyNumberFormat="1" applyFont="1" applyFill="1" applyBorder="1"/>
    <x:xf numFmtId="0" fontId="0" fillId="42" borderId="0" xfId="0" applyNumberFormat="1" applyFont="1" applyFill="1" applyBorder="1"/>
    <x:xf numFmtId="0" fontId="0" fillId="42" borderId="0" xfId="0" applyNumberFormat="1" applyFont="1" applyFill="1" applyBorder="1" applyAlignment="1">
      <x:alignment wrapText="1"/>
    </x:xf>
    <x:xf numFmtId="0" fontId="0" fillId="41" xfId="0" applyNumberFormat="1" applyFont="1" applyFill="1" applyBorder="0" applyAlignment="1">
      <x:alignment wrapText="1"/>
    </x:xf>
    <x:xf numFmtId="0" fontId="2" fillId="41" xfId="0" applyNumberFormat="1" applyFont="1" applyFill="1" applyBorder="0" applyAlignment="1">
      <x:alignment wrapText="1"/>
    </x:xf>
    <x:xf numFmtId="0" fontId="2" fillId="40" xfId="0" applyNumberFormat="1" applyFont="1" applyFill="1" applyBorder="0"/>
    <x:xf numFmtId="0" fontId="0" fillId="41" xfId="0" applyNumberFormat="1" applyFont="1" applyFill="1" applyBorder="0"/>
    <x:xf numFmtId="0" fontId="2" fillId="41" xfId="0" applyNumberFormat="1" applyFont="1" applyFill="1" applyBorder="0"/>
    <x:xf numFmtId="0" fontId="2" fillId="42" xfId="0" applyNumberFormat="1" applyFont="1" applyFill="1" applyBorder="0"/>
    <x:xf numFmtId="0" fontId="0" fillId="42" xfId="0" applyNumberFormat="1" applyFont="1" applyFill="1" applyBorder="0"/>
    <x:xf numFmtId="0" fontId="2" fillId="40" xfId="0" applyNumberFormat="1" applyFont="1" applyFill="1" applyBorder="0" applyAlignment="1">
      <x:alignment wrapText="1"/>
    </x:xf>
    <x:xf numFmtId="0" fontId="2" fillId="7" xfId="0" applyNumberFormat="1" applyFont="1" applyFill="1" applyBorder="0"/>
    <x:xf numFmtId="0" fontId="0" fillId="43" borderId="0" xfId="0" applyNumberFormat="1" applyFont="1" applyFill="1" applyBorder="1"/>
    <x:xf numFmtId="0" fontId="6" fillId="43" borderId="0" xfId="0" applyNumberFormat="1" applyFont="1" applyFill="1" applyBorder="1"/>
    <x:xf numFmtId="0" fontId="0" fillId="44" xfId="0" applyNumberFormat="1" applyFont="1" applyFill="1" applyBorder="0" applyAlignment="1">
      <x:alignment vertical="top" wrapText="1"/>
    </x:xf>
    <x:xf numFmtId="0" fontId="2" fillId="44" xfId="0" applyNumberFormat="1" applyFont="1" applyFill="1" applyBorder="0" applyAlignment="1">
      <x:alignment vertical="top" wrapText="1"/>
    </x:xf>
    <x:xf numFmtId="0" fontId="2" fillId="44" xfId="0" applyNumberFormat="1" applyFont="1" applyFill="1" applyBorder="0" applyAlignment="1">
      <x:alignment horizontal="center" vertical="top" wrapText="1"/>
    </x:xf>
    <x:xf numFmtId="0" fontId="2" fillId="43" borderId="0" xfId="0" applyNumberFormat="1" applyFont="1" applyFill="1" applyBorder="1"/>
    <x:xf numFmtId="0" fontId="0" fillId="44" xfId="0" applyNumberFormat="1" applyFont="1" applyFill="1" applyBorder="0" applyAlignment="1">
      <x:alignment wrapText="1"/>
    </x:xf>
    <x:xf numFmtId="0" fontId="2" fillId="44" xfId="0" applyNumberFormat="1" applyFont="1" applyFill="1" applyBorder="0" applyAlignment="1">
      <x:alignment wrapText="1"/>
    </x:xf>
    <x:xf numFmtId="0" fontId="2" fillId="44" xfId="0" applyNumberFormat="1" applyFont="1" applyFill="1" applyBorder="0" applyAlignment="1">
      <x:alignment horizontal="center" wrapText="1"/>
    </x:xf>
    <x:xf numFmtId="0" fontId="0" fillId="45" borderId="0" xfId="0" applyNumberFormat="1" applyFont="1" applyFill="1" applyBorder="1"/>
    <x:xf numFmtId="0" fontId="0" fillId="45" borderId="0" xfId="0" applyNumberFormat="1" applyFont="1" applyFill="1" applyBorder="1" applyAlignment="1">
      <x:alignment wrapText="1"/>
    </x:xf>
    <x:xf numFmtId="0" fontId="0" fillId="46" borderId="0" xfId="0" applyNumberFormat="1" applyFont="1" applyFill="1" applyBorder="1"/>
    <x:xf numFmtId="0" fontId="0" fillId="46" borderId="0" xfId="0" applyNumberFormat="1" applyFont="1" applyFill="1" applyBorder="1" applyAlignment="1">
      <x:alignment wrapText="1"/>
    </x:xf>
    <x:xf numFmtId="0" fontId="2" fillId="43" xfId="0" applyNumberFormat="1" applyFont="1" applyFill="1" applyBorder="0"/>
    <x:xf numFmtId="0" fontId="2" fillId="43" xfId="0" applyNumberFormat="1" applyFont="1" applyFill="1" applyBorder="0" applyAlignment="1">
      <x:alignment wrapText="1"/>
    </x:xf>
    <x:xf numFmtId="0" fontId="0" fillId="47" borderId="0" xfId="0" applyNumberFormat="1" applyFont="1" applyFill="1" applyBorder="1"/>
    <x:xf numFmtId="0" fontId="3" fillId="47" borderId="0" xfId="0" applyNumberFormat="1" applyFont="1" applyFill="1" applyBorder="1"/>
    <x:xf numFmtId="0" fontId="0" fillId="48" borderId="0" xfId="0" applyNumberFormat="1" applyFont="1" applyFill="1" applyBorder="1"/>
    <x:xf numFmtId="0" fontId="7" fillId="48" borderId="0" xfId="0" applyNumberFormat="1" applyFont="1" applyFill="1" applyBorder="1"/>
    <x:xf numFmtId="0" fontId="7" fillId="48" borderId="0" xfId="0" applyNumberFormat="1" applyFont="1" applyFill="1" applyBorder="1" applyAlignment="1">
      <x:alignment wrapText="1"/>
    </x:xf>
    <x:xf numFmtId="0" fontId="2" fillId="47" borderId="0" xfId="0" applyNumberFormat="1" applyFont="1" applyFill="1" applyBorder="1"/>
    <x:xf numFmtId="0" fontId="0" fillId="49" xfId="0" applyNumberFormat="1" applyFont="1" applyFill="1" applyBorder="0" applyAlignment="1">
      <x:alignment vertical="top" wrapText="1"/>
    </x:xf>
    <x:xf numFmtId="0" fontId="2" fillId="49" xfId="0" applyNumberFormat="1" applyFont="1" applyFill="1" applyBorder="0" applyAlignment="1">
      <x:alignment vertical="top" wrapText="1"/>
    </x:xf>
    <x:xf numFmtId="0" fontId="2" fillId="49" xfId="0" applyNumberFormat="1" applyFont="1" applyFill="1" applyBorder="0" applyAlignment="1">
      <x:alignment horizontal="center" vertical="top" wrapText="1"/>
    </x:xf>
    <x:xf numFmtId="0" fontId="0" fillId="49" xfId="0" applyNumberFormat="1" applyFont="1" applyFill="1" applyBorder="0"/>
    <x:xf numFmtId="0" fontId="2" fillId="49" xfId="0" applyNumberFormat="1" applyFont="1" applyFill="1" applyBorder="0"/>
    <x:xf numFmtId="0" fontId="0" fillId="49" xfId="0" applyNumberFormat="1" applyFont="1" applyFill="1" applyBorder="0" applyAlignment="1">
      <x:alignment wrapText="1"/>
    </x:xf>
    <x:xf numFmtId="0" fontId="2" fillId="49" xfId="0" applyNumberFormat="1" applyFont="1" applyFill="1" applyBorder="0" applyAlignment="1">
      <x:alignment wrapText="1"/>
    </x:xf>
    <x:xf numFmtId="0" fontId="0" fillId="50" borderId="0" xfId="0" applyNumberFormat="1" applyFont="1" applyFill="1" applyBorder="1"/>
    <x:xf numFmtId="0" fontId="0" fillId="50" borderId="0" xfId="0" applyNumberFormat="1" applyFont="1" applyFill="1" applyBorder="1" applyAlignment="1">
      <x:alignment wrapText="1"/>
    </x:xf>
    <x:xf numFmtId="0" fontId="0" fillId="51" borderId="0" xfId="0" applyNumberFormat="1" applyFont="1" applyFill="1" applyBorder="1"/>
    <x:xf numFmtId="0" fontId="8" fillId="51" borderId="0" xfId="0" applyNumberFormat="1" applyFont="1" applyFill="1" applyBorder="1"/>
    <x:xf numFmtId="202" fontId="0" fillId="0" xfId="0" applyNumberFormat="1" applyFont="1" applyFill="1" applyBorder="0" applyAlignment="1">
      <x:alignment vertical="top" wrapText="1"/>
    </x:xf>
    <x:xf numFmtId="202" fontId="0" fillId="0" xfId="0" applyNumberFormat="1" applyFont="1" applyFill="1" applyBorder="0"/>
    <x:xf numFmtId="0" fontId="2" fillId="52" borderId="0" xfId="0" applyNumberFormat="1" applyFont="1" applyFill="1" applyBorder="1"/>
    <x:xf numFmtId="0" fontId="2" fillId="53" xfId="0" applyNumberFormat="1" applyFont="1" applyFill="1" applyBorder="0" applyAlignment="1">
      <x:alignment horizontal="center" vertical="top" wrapText="1"/>
    </x:xf>
    <x:xf numFmtId="0" fontId="0" fillId="53" xfId="0" applyNumberFormat="1" applyFont="1" applyFill="1" applyBorder="0" applyAlignment="1">
      <x:alignment vertical="top" wrapText="1"/>
    </x:xf>
    <x:xf numFmtId="0" fontId="2" fillId="53" xfId="0" applyNumberFormat="1" applyFont="1" applyFill="1" applyBorder="0" applyAlignment="1">
      <x:alignment vertical="top" wrapText="1"/>
    </x:xf>
    <x:xf numFmtId="0" fontId="0" fillId="54" xfId="0" applyNumberFormat="1" applyFont="1" applyFill="1" applyBorder="0" applyAlignment="1">
      <x:alignment vertical="top" wrapText="1"/>
    </x:xf>
    <x:xf numFmtId="202" fontId="0" fillId="54" xfId="0" applyNumberFormat="1" applyFont="1" applyFill="1" applyBorder="0" applyAlignment="1">
      <x:alignment vertical="top" wrapText="1"/>
    </x:xf>
    <x:xf numFmtId="0" fontId="2" fillId="53" xfId="0" applyNumberFormat="1" applyFont="1" applyFill="1" applyBorder="0" applyAlignment="1">
      <x:alignment wrapText="1"/>
    </x:xf>
    <x:xf numFmtId="0" fontId="0" fillId="52" xfId="0" applyNumberFormat="1" applyFont="1" applyFill="1" applyBorder="0" applyAlignment="1">
      <x:alignment wrapText="1"/>
    </x:xf>
    <x:xf numFmtId="0" fontId="0" fillId="52" borderId="0" xfId="0" applyNumberFormat="1" applyFont="1" applyFill="1" applyBorder="1"/>
    <x:xf numFmtId="0" fontId="2" fillId="52" xfId="0" applyNumberFormat="1" applyFont="1" applyFill="1" applyBorder="0" applyAlignment="1">
      <x:alignment wrapText="1"/>
    </x:xf>
    <x:xf numFmtId="0" fontId="0" fillId="53" xfId="0" applyNumberFormat="1" applyFont="1" applyFill="1" applyBorder="0" applyAlignment="1">
      <x:alignment wrapText="1"/>
    </x:xf>
    <x:xf numFmtId="0" fontId="3" fillId="52" borderId="0" xfId="0" applyNumberFormat="1" applyFont="1" applyFill="1" applyBorder="1"/>
    <x:xf numFmtId="0" fontId="0" fillId="54" borderId="0" xfId="0" applyNumberFormat="1" applyFont="1" applyFill="1" applyBorder="1"/>
    <x:xf numFmtId="0" fontId="7" fillId="54" borderId="0" xfId="0" applyNumberFormat="1" applyFont="1" applyFill="1" applyBorder="1"/>
    <x:xf numFmtId="0" fontId="7" fillId="54" borderId="0" xfId="0" applyNumberFormat="1" applyFont="1" applyFill="1" applyBorder="1" applyAlignment="1">
      <x:alignment wrapText="1"/>
    </x:xf>
    <x:xf numFmtId="0" fontId="0" fillId="53" borderId="0" xfId="0" applyNumberFormat="1" applyFont="1" applyFill="1" applyBorder="1"/>
    <x:xf numFmtId="0" fontId="2" fillId="53" borderId="0" xfId="0" applyNumberFormat="1" applyFont="1" applyFill="1" applyBorder="1"/>
    <x:xf numFmtId="0" fontId="2" fillId="53" borderId="0" xfId="0" applyNumberFormat="1" applyFont="1" applyFill="1" applyBorder="1" applyAlignment="1">
      <x:alignment wrapText="1"/>
    </x:xf>
    <x:xf numFmtId="0" fontId="2" fillId="53" borderId="0" xfId="0" applyNumberFormat="1" applyFont="1" applyFill="1" applyBorder="1" applyAlignment="1">
      <x:alignment horizontal="center" wrapText="1"/>
    </x:xf>
    <x:xf numFmtId="0" fontId="8" fillId="54" borderId="0" xfId="0" applyNumberFormat="1" applyFont="1" applyFill="1" applyBorder="1"/>
    <x:xf numFmtId="0" fontId="8" fillId="54" xfId="0" applyNumberFormat="1" applyFont="1" applyFill="1" applyBorder="0"/>
    <x:xf numFmtId="0" fontId="0" fillId="55" borderId="0" xfId="0" applyNumberFormat="1" applyFont="1" applyFill="1" applyBorder="1"/>
    <x:xf numFmtId="0" fontId="0" fillId="55" borderId="0" xfId="0" applyNumberFormat="1" applyFont="1" applyFill="1" applyBorder="1" applyAlignment="1">
      <x:alignment wrapText="1"/>
    </x:xf>
    <x:xf numFmtId="0" fontId="0" fillId="5" xfId="0" applyNumberFormat="1" applyFont="1" applyFill="1" applyBorder="0" applyAlignment="1">
      <x:alignment vertical="top" wrapText="1"/>
    </x:xf>
    <x:xf numFmtId="202" fontId="0" fillId="5" xfId="0" applyNumberFormat="1" applyFont="1" applyFill="1" applyBorder="0" applyAlignment="1">
      <x:alignment vertical="top" wrapText="1"/>
    </x:xf>
    <x:xf numFmtId="0" fontId="0" fillId="2" xfId="0" applyNumberFormat="1" applyFont="1" applyFill="1" applyBorder="0" applyAlignment="1">
      <x:alignment wrapText="1"/>
    </x:xf>
    <x:xf numFmtId="0" fontId="8" fillId="5" borderId="0" xfId="0" applyNumberFormat="1" applyFont="1" applyFill="1" applyBorder="1"/>
    <x:xf numFmtId="0" fontId="8" fillId="5" xfId="0" applyNumberFormat="1" applyFont="1" applyFill="1" applyBorder="0"/>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7" fillId="57" borderId="0" xfId="0" applyNumberFormat="1" applyFont="1" applyFill="1" applyBorder="1"/>
    <x:xf numFmtId="0" fontId="7" fillId="57" borderId="0" xfId="0" applyNumberFormat="1" applyFont="1" applyFill="1" applyBorder="1" applyAlignment="1">
      <x:alignment wrapText="1"/>
    </x:xf>
    <x:xf numFmtId="0" fontId="2" fillId="56" borderId="0" xfId="0" applyNumberFormat="1" applyFont="1" applyFill="1" applyBorder="1"/>
    <x:xf numFmtId="0" fontId="0" fillId="58" xfId="0" applyNumberFormat="1" applyFont="1" applyFill="1" applyBorder="0" applyAlignment="1">
      <x:alignment wrapText="1"/>
    </x:xf>
    <x:xf numFmtId="0" fontId="2" fillId="58" xfId="0" applyNumberFormat="1" applyFont="1" applyFill="1" applyBorder="0" applyAlignment="1">
      <x:alignment wrapText="1"/>
    </x:xf>
    <x:xf numFmtId="0" fontId="0" fillId="58" borderId="0" xfId="0" applyNumberFormat="1" applyFont="1" applyFill="1" applyBorder="1"/>
    <x:xf numFmtId="0" fontId="2" fillId="58" borderId="0" xfId="0" applyNumberFormat="1" applyFont="1" applyFill="1" applyBorder="1"/>
    <x:xf numFmtId="0" fontId="2" fillId="58" borderId="0" xfId="0" applyNumberFormat="1" applyFont="1" applyFill="1" applyBorder="1" applyAlignment="1">
      <x:alignment wrapText="1"/>
    </x:xf>
    <x:xf numFmtId="0" fontId="2" fillId="58" borderId="0" xfId="0" applyNumberFormat="1" applyFont="1" applyFill="1" applyBorder="1" applyAlignment="1">
      <x:alignment horizontal="center" wrapText="1"/>
    </x:xf>
    <x:xf numFmtId="201" fontId="0" fillId="0" xfId="0" applyNumberFormat="1" applyFont="1" applyFill="1" applyBorder="0" applyAlignment="1">
      <x:alignment wrapText="1"/>
    </x:xf>
    <x:xf numFmtId="0" fontId="0" fillId="59" borderId="0" xfId="0" applyNumberFormat="1" applyFont="1" applyFill="1" applyBorder="1"/>
    <x:xf numFmtId="0" fontId="0" fillId="59" borderId="0" xfId="0" applyNumberFormat="1" applyFont="1" applyFill="1" applyBorder="1" applyAlignment="1">
      <x:alignment wrapText="1"/>
    </x:xf>
    <x:xf numFmtId="0" fontId="0" fillId="56" xfId="0" applyNumberFormat="1" applyFont="1" applyFill="1" applyBorder="0" applyAlignment="1">
      <x:alignment wrapText="1"/>
    </x:xf>
    <x:xf numFmtId="0" fontId="2" fillId="56" xfId="0" applyNumberFormat="1" applyFont="1" applyFill="1" applyBorder="0" applyAlignment="1">
      <x:alignment wrapText="1"/>
    </x:xf>
    <x:xf numFmtId="202" fontId="0" fillId="0" borderId="0" xfId="0" applyNumberFormat="1" applyFont="1" applyFill="1" applyBorder="1"/>
    <x:xf numFmtId="0" fontId="2" fillId="58" xfId="0" applyNumberFormat="1" applyFont="1" applyFill="1" applyBorder="0"/>
    <x:xf numFmtId="0" fontId="0" fillId="57" borderId="0" xfId="0" applyNumberFormat="1" applyFont="1" applyFill="1" applyBorder="1" applyAlignment="1">
      <x:alignment wrapText="1"/>
    </x:xf>
    <x:xf numFmtId="0" fontId="0" fillId="60" borderId="0" xfId="0" applyNumberFormat="1" applyFont="1" applyFill="1" applyBorder="1"/>
    <x:xf numFmtId="0" fontId="3" fillId="60" borderId="0" xfId="0" applyNumberFormat="1" applyFont="1" applyFill="1" applyBorder="1"/>
    <x:xf numFmtId="0" fontId="0" fillId="61" borderId="0" xfId="0" applyNumberFormat="1" applyFont="1" applyFill="1" applyBorder="1"/>
    <x:xf numFmtId="0" fontId="7" fillId="61" borderId="0" xfId="0" applyNumberFormat="1" applyFont="1" applyFill="1" applyBorder="1"/>
    <x:xf numFmtId="0" fontId="7" fillId="61" borderId="0" xfId="0" applyNumberFormat="1" applyFont="1" applyFill="1" applyBorder="1" applyAlignment="1">
      <x:alignment wrapText="1"/>
    </x:xf>
    <x:xf numFmtId="0" fontId="2" fillId="60" borderId="0" xfId="0" applyNumberFormat="1" applyFont="1" applyFill="1" applyBorder="1"/>
    <x:xf numFmtId="0" fontId="0" fillId="62" xfId="0" applyNumberFormat="1" applyFont="1" applyFill="1" applyBorder="0" applyAlignment="1">
      <x:alignment wrapText="1"/>
    </x:xf>
    <x:xf numFmtId="0" fontId="2" fillId="62" xfId="0" applyNumberFormat="1" applyFont="1" applyFill="1" applyBorder="0" applyAlignment="1">
      <x:alignment wrapText="1"/>
    </x:xf>
    <x:xf numFmtId="0" fontId="0" fillId="62" borderId="0" xfId="0" applyNumberFormat="1" applyFont="1" applyFill="1" applyBorder="1"/>
    <x:xf numFmtId="0" fontId="2" fillId="62" borderId="0" xfId="0" applyNumberFormat="1" applyFont="1" applyFill="1" applyBorder="1"/>
    <x:xf numFmtId="0" fontId="2" fillId="62" borderId="0" xfId="0" applyNumberFormat="1" applyFont="1" applyFill="1" applyBorder="1" applyAlignment="1">
      <x:alignment wrapText="1"/>
    </x:xf>
    <x:xf numFmtId="0" fontId="2" fillId="62" borderId="0" xfId="0" applyNumberFormat="1" applyFont="1" applyFill="1" applyBorder="1" applyAlignment="1">
      <x:alignment horizontal="center" wrapText="1"/>
    </x:xf>
    <x:xf numFmtId="0" fontId="2" fillId="62" xfId="0" applyNumberFormat="1" applyFont="1" applyFill="1" applyBorder="0" applyAlignment="1">
      <x:alignment horizontal="center" wrapText="1"/>
    </x:xf>
    <x:xf numFmtId="0" fontId="2" fillId="63" xfId="0" applyNumberFormat="1" applyFont="1" applyFill="1" applyBorder="0" applyAlignment="1">
      <x:alignment horizontal="center" vertical="top" wrapText="1"/>
    </x:xf>
    <x:xf numFmtId="0" fontId="2" fillId="64" borderId="0" xfId="0" applyNumberFormat="1" applyFont="1" applyFill="1" applyBorder="1"/>
    <x:xf numFmtId="202" fontId="0" fillId="0" xfId="0" applyNumberFormat="1" applyFont="1" applyFill="1" applyBorder="0" applyAlignment="1">
      <x:alignment wrapText="1"/>
    </x:xf>
    <x:xf numFmtId="0" fontId="2" fillId="63" xfId="0" applyNumberFormat="1" applyFont="1" applyFill="1" applyBorder="0" applyAlignment="1">
      <x:alignment wrapText="1"/>
    </x:xf>
    <x:xf numFmtId="0" fontId="0" fillId="65" borderId="0" xfId="0" applyNumberFormat="1" applyFont="1" applyFill="1" applyBorder="1"/>
    <x:xf numFmtId="0" fontId="0" fillId="65" borderId="0" xfId="0" applyNumberFormat="1" applyFont="1" applyFill="1" applyBorder="1" applyAlignment="1">
      <x:alignment wrapText="1"/>
    </x:xf>
    <x:xf numFmtId="0" fontId="0" fillId="63" xfId="0" applyNumberFormat="1" applyFont="1" applyFill="1" applyBorder="0" applyAlignment="1">
      <x:alignment wrapText="1"/>
    </x:xf>
    <x:xf numFmtId="0" fontId="2" fillId="64" xfId="0" applyNumberFormat="1" applyFont="1" applyFill="1" applyBorder="0"/>
    <x:xf numFmtId="0" fontId="2" fillId="64" xfId="0" applyNumberFormat="1" applyFont="1" applyFill="1" applyBorder="0" applyAlignment="1">
      <x:alignment wrapText="1"/>
    </x:xf>
    <x:xf numFmtId="0" fontId="0" fillId="64" borderId="0" xfId="0" applyNumberFormat="1" applyFont="1" applyFill="1" applyBorder="1"/>
    <x:xf numFmtId="0" fontId="3" fillId="64" borderId="0" xfId="0" applyNumberFormat="1" applyFont="1" applyFill="1" applyBorder="1"/>
    <x:xf numFmtId="0" fontId="0" fillId="66" borderId="0" xfId="0" applyNumberFormat="1" applyFont="1" applyFill="1" applyBorder="1"/>
    <x:xf numFmtId="0" fontId="7" fillId="66" borderId="0" xfId="0" applyNumberFormat="1" applyFont="1" applyFill="1" applyBorder="1"/>
    <x:xf numFmtId="0" fontId="7" fillId="66" borderId="0" xfId="0" applyNumberFormat="1" applyFont="1" applyFill="1" applyBorder="1" applyAlignment="1">
      <x:alignment wrapText="1"/>
    </x:xf>
    <x:xf numFmtId="0" fontId="0" fillId="63" borderId="0" xfId="0" applyNumberFormat="1" applyFont="1" applyFill="1" applyBorder="1"/>
    <x:xf numFmtId="0" fontId="2" fillId="63" borderId="0" xfId="0" applyNumberFormat="1" applyFont="1" applyFill="1" applyBorder="1"/>
    <x:xf numFmtId="0" fontId="2" fillId="63" borderId="0" xfId="0" applyNumberFormat="1" applyFont="1" applyFill="1" applyBorder="1" applyAlignment="1">
      <x:alignment wrapText="1"/>
    </x:xf>
    <x:xf numFmtId="0" fontId="2" fillId="65" borderId="0" xfId="0" applyNumberFormat="1" applyFont="1" applyFill="1" applyBorder="1"/>
    <x:xf numFmtId="0" fontId="2" fillId="65" borderId="0" xfId="0" applyNumberFormat="1" applyFont="1" applyFill="1" applyBorder="1" applyAlignment="1">
      <x:alignment wrapText="1"/>
    </x:xf>
    <x:xf numFmtId="0" fontId="2" fillId="7" borderId="0" xfId="0" applyNumberFormat="1" applyFont="1" applyFill="1" applyBorder="1"/>
    <x:xf numFmtId="0" fontId="2" fillId="7" borderId="0" xfId="0" applyNumberFormat="1" applyFont="1" applyFill="1" applyBorder="1" applyAlignment="1">
      <x:alignment wrapText="1"/>
    </x:xf>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7" fillId="68" borderId="0" xfId="0" applyNumberFormat="1" applyFont="1" applyFill="1" applyBorder="1"/>
    <x:xf numFmtId="0" fontId="7" fillId="68" borderId="0" xfId="0" applyNumberFormat="1" applyFont="1" applyFill="1" applyBorder="1" applyAlignment="1">
      <x:alignment wrapText="1"/>
    </x:xf>
    <x:xf numFmtId="0" fontId="2" fillId="67" borderId="0" xfId="0" applyNumberFormat="1" applyFont="1" applyFill="1" applyBorder="1"/>
    <x:xf numFmtId="0" fontId="0" fillId="69" xfId="0" applyNumberFormat="1" applyFont="1" applyFill="1" applyBorder="0" applyAlignment="1">
      <x:alignment wrapText="1"/>
    </x:xf>
    <x:xf numFmtId="0" fontId="2" fillId="69" xfId="0" applyNumberFormat="1" applyFont="1" applyFill="1" applyBorder="0" applyAlignment="1">
      <x:alignment wrapText="1"/>
    </x:xf>
    <x:xf numFmtId="0" fontId="0" fillId="69" xfId="0" applyNumberFormat="1" applyFont="1" applyFill="1" applyBorder="0" applyAlignment="1">
      <x:alignment vertical="top" wrapText="1"/>
    </x:xf>
    <x:xf numFmtId="0" fontId="2" fillId="69" xfId="0" applyNumberFormat="1" applyFont="1" applyFill="1" applyBorder="0" applyAlignment="1">
      <x:alignment vertical="top" wrapText="1"/>
    </x:xf>
    <x:xf numFmtId="0" fontId="0" fillId="68" borderId="0" xfId="0" applyNumberFormat="1" applyFont="1" applyFill="1" applyBorder="1" applyAlignment="1">
      <x:alignment wrapText="1"/>
    </x:xf>
    <x:xf numFmtId="0" fontId="0" fillId="69" xfId="0" applyNumberFormat="1" applyFont="1" applyFill="1" applyBorder="0"/>
    <x:xf numFmtId="0" fontId="2" fillId="69" xfId="0" applyNumberFormat="1" applyFont="1" applyFill="1" applyBorder="0"/>
    <x:xf numFmtId="0" fontId="0" fillId="70" borderId="0" xfId="0" applyNumberFormat="1" applyFont="1" applyFill="1" applyBorder="1"/>
    <x:xf numFmtId="0" fontId="3" fillId="70" borderId="0" xfId="0" applyNumberFormat="1" applyFont="1" applyFill="1" applyBorder="1"/>
    <x:xf numFmtId="0" fontId="0" fillId="71" borderId="0" xfId="0" applyNumberFormat="1" applyFont="1" applyFill="1" applyBorder="1"/>
    <x:xf numFmtId="0" fontId="7" fillId="71" borderId="0" xfId="0" applyNumberFormat="1" applyFont="1" applyFill="1" applyBorder="1"/>
    <x:xf numFmtId="0" fontId="7" fillId="71" borderId="0" xfId="0" applyNumberFormat="1" applyFont="1" applyFill="1" applyBorder="1" applyAlignment="1">
      <x:alignment wrapText="1"/>
    </x:xf>
    <x:xf numFmtId="0" fontId="2" fillId="70" borderId="0" xfId="0" applyNumberFormat="1" applyFont="1" applyFill="1" applyBorder="1"/>
    <x:xf numFmtId="0" fontId="0" fillId="72" xfId="0" applyNumberFormat="1" applyFont="1" applyFill="1" applyBorder="0" applyAlignment="1">
      <x:alignment wrapText="1"/>
    </x:xf>
    <x:xf numFmtId="0" fontId="2" fillId="72" xfId="0" applyNumberFormat="1" applyFont="1" applyFill="1" applyBorder="0" applyAlignment="1">
      <x:alignment wrapText="1"/>
    </x:xf>
    <x:xf numFmtId="0" fontId="0" fillId="72" xfId="0" applyNumberFormat="1" applyFont="1" applyFill="1" applyBorder="0" applyAlignment="1">
      <x:alignment vertical="top" wrapText="1"/>
    </x:xf>
    <x:xf numFmtId="0" fontId="2" fillId="72" xfId="0" applyNumberFormat="1" applyFont="1" applyFill="1" applyBorder="0" applyAlignment="1">
      <x:alignment vertical="top" wrapText="1"/>
    </x:xf>
    <x:xf numFmtId="0" fontId="0" fillId="73" borderId="0" xfId="0" applyNumberFormat="1" applyFont="1" applyFill="1" applyBorder="1"/>
    <x:xf numFmtId="0" fontId="0" fillId="73" borderId="0" xfId="0" applyNumberFormat="1" applyFont="1" applyFill="1" applyBorder="1" applyAlignment="1">
      <x:alignment wrapText="1"/>
    </x:xf>
    <x:xf numFmtId="0" fontId="0" fillId="72" xfId="0" applyNumberFormat="1" applyFont="1" applyFill="1" applyBorder="0"/>
    <x:xf numFmtId="0" fontId="2" fillId="72" xfId="0" applyNumberFormat="1" applyFont="1" applyFill="1" applyBorder="0"/>
    <x:xf numFmtId="0" fontId="0" fillId="70" xfId="0" applyNumberFormat="1" applyFont="1" applyFill="1" applyBorder="0"/>
    <x:xf numFmtId="0" fontId="2" fillId="70" xfId="0" applyNumberFormat="1" applyFont="1" applyFill="1" applyBorder="0"/>
    <x:xf numFmtId="0" fontId="2" fillId="73" borderId="0" xfId="0" applyNumberFormat="1" applyFont="1" applyFill="1" applyBorder="1"/>
    <x:xf numFmtId="0" fontId="2" fillId="73" borderId="0" xfId="0" applyNumberFormat="1" applyFont="1" applyFill="1" applyBorder="1" applyAlignment="1">
      <x:alignment wrapText="1"/>
    </x:xf>
    <x:xf numFmtId="0" fontId="0" fillId="72" borderId="0" xfId="0" applyNumberFormat="1" applyFont="1" applyFill="1" applyBorder="1"/>
    <x:xf numFmtId="0" fontId="2" fillId="72" borderId="0" xfId="0" applyNumberFormat="1" applyFont="1" applyFill="1" applyBorder="1"/>
    <x:xf numFmtId="0" fontId="2" fillId="72"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xfId="0" applyNumberFormat="1" applyFont="1" applyFill="1" applyBorder="0">
      <x:extLst>
        <x:ext uri="{C7286773-470A-42A8-94C5-96B5CB345126}">
          <xfpb:xfComplement xmlns:xfpb="http://schemas.microsoft.com/office/spreadsheetml/2022/featurepropertybag" i="0"/>
        </x:ext>
      </x:extLst>
    </x:xf>
    <x:xf numFmtId="0" fontId="0" fillId="0" xfId="0" applyNumberFormat="1" applyFont="1" applyFill="1" applyBorder="0" applyAlignment="1">
      <x:alignment wrapText="1"/>
      <x:extLst>
        <x:ext uri="{C7286773-470A-42A8-94C5-96B5CB345126}">
          <xfpb:xfComplement xmlns:xfpb="http://schemas.microsoft.com/office/spreadsheetml/2022/featurepropertybag" i="0"/>
        </x:ext>
      </x:extLst>
    </x:xf>
    <x:xf numFmtId="0" fontId="0" fillId="2" xfId="0" applyNumberFormat="1" applyFont="1" applyFill="1" applyBorder="0"/>
    <x:xf numFmtId="0" fontId="0" fillId="74" borderId="0" xfId="0" applyNumberFormat="1" applyFont="1" applyFill="1" applyBorder="1"/>
    <x:xf numFmtId="0" fontId="3" fillId="74" borderId="0" xfId="0" applyNumberFormat="1" applyFont="1" applyFill="1" applyBorder="1"/>
    <x:xf numFmtId="0" fontId="0" fillId="75" borderId="0" xfId="0" applyNumberFormat="1" applyFont="1" applyFill="1" applyBorder="1"/>
    <x:xf numFmtId="0" fontId="7" fillId="75" borderId="0" xfId="0" applyNumberFormat="1" applyFont="1" applyFill="1" applyBorder="1"/>
    <x:xf numFmtId="0" fontId="7" fillId="75" borderId="0" xfId="0" applyNumberFormat="1" applyFont="1" applyFill="1" applyBorder="1" applyAlignment="1">
      <x:alignment wrapText="1"/>
    </x:xf>
    <x:xf numFmtId="0" fontId="2" fillId="74" borderId="0" xfId="0" applyNumberFormat="1" applyFont="1" applyFill="1" applyBorder="1"/>
    <x:xf numFmtId="0" fontId="0" fillId="76" xfId="0" applyNumberFormat="1" applyFont="1" applyFill="1" applyBorder="0" applyAlignment="1">
      <x:alignment wrapText="1"/>
    </x:xf>
    <x:xf numFmtId="0" fontId="2" fillId="76" xfId="0" applyNumberFormat="1" applyFont="1" applyFill="1" applyBorder="0" applyAlignment="1">
      <x:alignment wrapText="1"/>
    </x:xf>
    <x:xf numFmtId="0" fontId="0" fillId="76" xfId="0" applyNumberFormat="1" applyFont="1" applyFill="1" applyBorder="0" applyAlignment="1">
      <x:alignment vertical="top" wrapText="1"/>
    </x:xf>
    <x:xf numFmtId="0" fontId="2" fillId="76" xfId="0" applyNumberFormat="1" applyFont="1" applyFill="1" applyBorder="0" applyAlignment="1">
      <x:alignment vertical="top" wrapText="1"/>
    </x:xf>
    <x:xf numFmtId="0" fontId="0" fillId="77" borderId="0" xfId="0" applyNumberFormat="1" applyFont="1" applyFill="1" applyBorder="1"/>
    <x:xf numFmtId="0" fontId="0" fillId="77" borderId="0" xfId="0" applyNumberFormat="1" applyFont="1" applyFill="1" applyBorder="1" applyAlignment="1">
      <x:alignment wrapText="1"/>
    </x:xf>
    <x:xf numFmtId="0" fontId="0" fillId="76" borderId="0" xfId="0" applyNumberFormat="1" applyFont="1" applyFill="1" applyBorder="1"/>
    <x:xf numFmtId="0" fontId="2" fillId="76" borderId="0" xfId="0" applyNumberFormat="1" applyFont="1" applyFill="1" applyBorder="1"/>
    <x:xf numFmtId="0" fontId="2" fillId="76" borderId="0" xfId="0" applyNumberFormat="1" applyFont="1" applyFill="1" applyBorder="1" applyAlignment="1">
      <x:alignment wrapText="1"/>
    </x:xf>
    <x:xf numFmtId="0" fontId="8" fillId="75" borderId="0" xfId="0" applyNumberFormat="1" applyFont="1" applyFill="1" applyBorder="1"/>
    <x:xf numFmtId="0" fontId="8" fillId="75" xfId="0" applyNumberFormat="1" applyFont="1" applyFill="1" applyBorder="0"/>
    <x:xf numFmtId="0" fontId="0" fillId="75" borderId="0" xfId="0" applyNumberFormat="1" applyFont="1" applyFill="1" applyBorder="1" applyAlignment="1">
      <x:alignment wrapText="1"/>
    </x:xf>
    <x:xf numFmtId="0" fontId="2" fillId="74" xfId="0" applyNumberFormat="1" applyFont="1" applyFill="1" applyBorder="0" applyAlignment="1">
      <x:alignment wrapText="1"/>
    </x:xf>
    <x:xf numFmtId="0" fontId="0" fillId="78" borderId="0" xfId="0" applyNumberFormat="1" applyFont="1" applyFill="1" applyBorder="1"/>
    <x:xf numFmtId="0" fontId="3" fillId="78" borderId="0" xfId="0" applyNumberFormat="1" applyFont="1" applyFill="1" applyBorder="1"/>
    <x:xf numFmtId="0" fontId="0" fillId="79" borderId="0" xfId="0" applyNumberFormat="1" applyFont="1" applyFill="1" applyBorder="1"/>
    <x:xf numFmtId="0" fontId="7" fillId="79" borderId="0" xfId="0" applyNumberFormat="1" applyFont="1" applyFill="1" applyBorder="1"/>
    <x:xf numFmtId="0" fontId="7" fillId="79" borderId="0" xfId="0" applyNumberFormat="1" applyFont="1" applyFill="1" applyBorder="1" applyAlignment="1">
      <x:alignment wrapText="1"/>
    </x:xf>
    <x:xf numFmtId="0" fontId="2" fillId="78" borderId="0" xfId="0" applyNumberFormat="1" applyFont="1" applyFill="1" applyBorder="1"/>
    <x:xf numFmtId="0" fontId="0" fillId="80" xfId="0" applyNumberFormat="1" applyFont="1" applyFill="1" applyBorder="0" applyAlignment="1">
      <x:alignment wrapText="1"/>
    </x:xf>
    <x:xf numFmtId="0" fontId="2" fillId="80" xfId="0" applyNumberFormat="1" applyFont="1" applyFill="1" applyBorder="0" applyAlignment="1">
      <x:alignment wrapText="1"/>
    </x:xf>
    <x:xf numFmtId="0" fontId="0" fillId="80" xfId="0" applyNumberFormat="1" applyFont="1" applyFill="1" applyBorder="0" applyAlignment="1">
      <x:alignment vertical="top" wrapText="1"/>
    </x:xf>
    <x:xf numFmtId="0" fontId="2" fillId="80" xfId="0" applyNumberFormat="1" applyFont="1" applyFill="1" applyBorder="0" applyAlignment="1">
      <x:alignment vertical="top" wrapText="1"/>
    </x:xf>
    <x:xf numFmtId="0" fontId="0" fillId="81" borderId="0" xfId="0" applyNumberFormat="1" applyFont="1" applyFill="1" applyBorder="1"/>
    <x:xf numFmtId="0" fontId="0" fillId="81" borderId="0" xfId="0" applyNumberFormat="1" applyFont="1" applyFill="1" applyBorder="1" applyAlignment="1">
      <x:alignment wrapText="1"/>
    </x:xf>
    <x:xf numFmtId="0" fontId="0" fillId="80" borderId="0" xfId="0" applyNumberFormat="1" applyFont="1" applyFill="1" applyBorder="1"/>
    <x:xf numFmtId="0" fontId="2" fillId="80" borderId="0" xfId="0" applyNumberFormat="1" applyFont="1" applyFill="1" applyBorder="1"/>
    <x:xf numFmtId="0" fontId="2" fillId="80" borderId="0" xfId="0" applyNumberFormat="1" applyFont="1" applyFill="1" applyBorder="1" applyAlignment="1">
      <x:alignment wrapText="1"/>
    </x:xf>
    <x:xf numFmtId="0" fontId="8" fillId="79" borderId="0" xfId="0" applyNumberFormat="1" applyFont="1" applyFill="1" applyBorder="1"/>
    <x:xf numFmtId="0" fontId="8" fillId="79" xfId="0" applyNumberFormat="1" applyFont="1" applyFill="1" applyBorder="0"/>
    <x:xf numFmtId="0" fontId="2" fillId="78" xfId="0" applyNumberFormat="1" applyFont="1" applyFill="1" applyBorder="0"/>
    <x:xf numFmtId="0" fontId="0" fillId="82" borderId="0" xfId="0" applyNumberFormat="1" applyFont="1" applyFill="1" applyBorder="1"/>
    <x:xf numFmtId="0" fontId="3" fillId="82" borderId="0" xfId="0" applyNumberFormat="1" applyFont="1" applyFill="1" applyBorder="1"/>
    <x:xf numFmtId="0" fontId="0" fillId="83" borderId="0" xfId="0" applyNumberFormat="1" applyFont="1" applyFill="1" applyBorder="1"/>
    <x:xf numFmtId="0" fontId="7" fillId="83" borderId="0" xfId="0" applyNumberFormat="1" applyFont="1" applyFill="1" applyBorder="1"/>
    <x:xf numFmtId="0" fontId="7" fillId="83" borderId="0" xfId="0" applyNumberFormat="1" applyFont="1" applyFill="1" applyBorder="1" applyAlignment="1">
      <x:alignment wrapText="1"/>
    </x:xf>
    <x:xf numFmtId="0" fontId="2" fillId="82" borderId="0" xfId="0" applyNumberFormat="1" applyFont="1" applyFill="1" applyBorder="1"/>
    <x:xf numFmtId="0" fontId="0" fillId="84" xfId="0" applyNumberFormat="1" applyFont="1" applyFill="1" applyBorder="0" applyAlignment="1">
      <x:alignment wrapText="1"/>
    </x:xf>
    <x:xf numFmtId="0" fontId="2" fillId="84" xfId="0" applyNumberFormat="1" applyFont="1" applyFill="1" applyBorder="0" applyAlignment="1">
      <x:alignment wrapText="1"/>
    </x:xf>
    <x:xf numFmtId="0" fontId="0" fillId="84" borderId="0" xfId="0" applyNumberFormat="1" applyFont="1" applyFill="1" applyBorder="1"/>
    <x:xf numFmtId="0" fontId="2" fillId="84" borderId="0" xfId="0" applyNumberFormat="1" applyFont="1" applyFill="1" applyBorder="1"/>
    <x:xf numFmtId="0" fontId="2" fillId="84" borderId="0" xfId="0" applyNumberFormat="1" applyFont="1" applyFill="1" applyBorder="1" applyAlignment="1">
      <x:alignment wrapText="1"/>
    </x:xf>
    <x:xf numFmtId="0" fontId="0" fillId="83" xfId="0" applyNumberFormat="1" applyFont="1" applyFill="1" applyBorder="0" applyAlignment="1">
      <x:alignment vertical="top" wrapText="1"/>
    </x:xf>
    <x:xf numFmtId="0" fontId="8" fillId="83" xfId="0" applyNumberFormat="1" applyFont="1" applyFill="1" applyBorder="0" applyAlignment="1">
      <x:alignment vertical="top" wrapText="1"/>
    </x:xf>
    <x:xf numFmtId="0" fontId="0" fillId="83" borderId="0" xfId="0" applyNumberFormat="1" applyFont="1" applyFill="1" applyBorder="1" applyAlignment="1">
      <x:alignment wrapText="1"/>
    </x:xf>
    <x:xf numFmtId="0" fontId="0" fillId="84" xfId="0" applyNumberFormat="1" applyFont="1" applyFill="1" applyBorder="0" applyAlignment="1">
      <x:alignment vertical="top" wrapText="1"/>
    </x:xf>
    <x:xf numFmtId="0" fontId="2" fillId="84" xfId="0" applyNumberFormat="1" applyFont="1" applyFill="1" applyBorder="0" applyAlignment="1">
      <x:alignment vertical="top" wrapText="1"/>
    </x:xf>
    <x:xf numFmtId="0" fontId="8" fillId="5" xfId="0" applyNumberFormat="1" applyFont="1" applyFill="1" applyBorder="0" applyAlignment="1">
      <x:alignment vertical="top" wrapText="1"/>
    </x:xf>
    <x:xf numFmtId="0" fontId="0" fillId="85" borderId="0" xfId="0" applyNumberFormat="1" applyFont="1" applyFill="1" applyBorder="1"/>
    <x:xf numFmtId="0" fontId="3" fillId="85" borderId="0" xfId="0" applyNumberFormat="1" applyFont="1" applyFill="1" applyBorder="1"/>
    <x:xf numFmtId="0" fontId="0" fillId="86" borderId="0" xfId="0" applyNumberFormat="1" applyFont="1" applyFill="1" applyBorder="1"/>
    <x:xf numFmtId="0" fontId="7" fillId="86" borderId="0" xfId="0" applyNumberFormat="1" applyFont="1" applyFill="1" applyBorder="1"/>
    <x:xf numFmtId="0" fontId="7" fillId="86" borderId="0" xfId="0" applyNumberFormat="1" applyFont="1" applyFill="1" applyBorder="1" applyAlignment="1">
      <x:alignment wrapText="1"/>
    </x:xf>
    <x:xf numFmtId="0" fontId="2" fillId="85" borderId="0" xfId="0" applyNumberFormat="1" applyFont="1" applyFill="1" applyBorder="1"/>
    <x:xf numFmtId="0" fontId="0" fillId="87" xfId="0" applyNumberFormat="1" applyFont="1" applyFill="1" applyBorder="0" applyAlignment="1">
      <x:alignment wrapText="1"/>
    </x:xf>
    <x:xf numFmtId="0" fontId="2" fillId="87" xfId="0" applyNumberFormat="1" applyFont="1" applyFill="1" applyBorder="0" applyAlignment="1">
      <x:alignment wrapText="1"/>
    </x:xf>
    <x:xf numFmtId="0" fontId="0" fillId="87" xfId="0" applyNumberFormat="1" applyFont="1" applyFill="1" applyBorder="0" applyAlignment="1">
      <x:alignment vertical="top" wrapText="1"/>
    </x:xf>
    <x:xf numFmtId="0" fontId="2" fillId="87" xfId="0" applyNumberFormat="1" applyFont="1" applyFill="1" applyBorder="0" applyAlignment="1">
      <x:alignment vertical="top" wrapText="1"/>
    </x:xf>
    <x:xf numFmtId="0" fontId="0" fillId="88" borderId="0" xfId="0" applyNumberFormat="1" applyFont="1" applyFill="1" applyBorder="1"/>
    <x:xf numFmtId="0" fontId="0" fillId="88" borderId="0" xfId="0" applyNumberFormat="1" applyFont="1" applyFill="1" applyBorder="1" applyAlignment="1">
      <x:alignment wrapText="1"/>
    </x:xf>
    <x:xf numFmtId="0" fontId="0" fillId="85" xfId="0" applyNumberFormat="1" applyFont="1" applyFill="1" applyBorder="0" applyAlignment="1">
      <x:alignment wrapText="1"/>
    </x:xf>
    <x:xf numFmtId="0" fontId="2" fillId="85" xfId="0" applyNumberFormat="1" applyFont="1" applyFill="1" applyBorder="0" applyAlignment="1">
      <x:alignment wrapText="1"/>
    </x:xf>
    <x:xf numFmtId="0" fontId="0" fillId="87" xfId="0" applyNumberFormat="1" applyFont="1" applyFill="1" applyBorder="0"/>
    <x:xf numFmtId="0" fontId="2" fillId="87" xfId="0" applyNumberFormat="1" applyFont="1" applyFill="1" applyBorder="0"/>
    <x:xf numFmtId="0" fontId="0" fillId="89" borderId="0" xfId="0" applyNumberFormat="1" applyFont="1" applyFill="1" applyBorder="1"/>
    <x:xf numFmtId="0" fontId="3" fillId="89" borderId="0" xfId="0" applyNumberFormat="1" applyFont="1" applyFill="1" applyBorder="1"/>
    <x:xf numFmtId="0" fontId="0" fillId="90" borderId="0" xfId="0" applyNumberFormat="1" applyFont="1" applyFill="1" applyBorder="1"/>
    <x:xf numFmtId="0" fontId="7" fillId="90" borderId="0" xfId="0" applyNumberFormat="1" applyFont="1" applyFill="1" applyBorder="1"/>
    <x:xf numFmtId="0" fontId="7" fillId="90" borderId="0" xfId="0" applyNumberFormat="1" applyFont="1" applyFill="1" applyBorder="1" applyAlignment="1">
      <x:alignment wrapText="1"/>
    </x:xf>
    <x:xf numFmtId="0" fontId="2" fillId="89" borderId="0" xfId="0" applyNumberFormat="1" applyFont="1" applyFill="1" applyBorder="1"/>
    <x:xf numFmtId="0" fontId="0" fillId="91" xfId="0" applyNumberFormat="1" applyFont="1" applyFill="1" applyBorder="0" applyAlignment="1">
      <x:alignment wrapText="1"/>
    </x:xf>
    <x:xf numFmtId="0" fontId="2" fillId="91" xfId="0" applyNumberFormat="1" applyFont="1" applyFill="1" applyBorder="0" applyAlignment="1">
      <x:alignment wrapText="1"/>
    </x:xf>
    <x:xf numFmtId="0" fontId="0" fillId="91" borderId="0" xfId="0" applyNumberFormat="1" applyFont="1" applyFill="1" applyBorder="1"/>
    <x:xf numFmtId="0" fontId="2" fillId="91" borderId="0" xfId="0" applyNumberFormat="1" applyFont="1" applyFill="1" applyBorder="1"/>
    <x:xf numFmtId="0" fontId="2" fillId="91" borderId="0" xfId="0" applyNumberFormat="1" applyFont="1" applyFill="1" applyBorder="1" applyAlignment="1">
      <x:alignment wrapText="1"/>
    </x:xf>
    <x:xf numFmtId="0" fontId="8" fillId="90" borderId="0" xfId="0" applyNumberFormat="1" applyFont="1" applyFill="1" applyBorder="1"/>
    <x:xf numFmtId="0" fontId="8" fillId="90" xfId="0" applyNumberFormat="1" applyFont="1" applyFill="1" applyBorder="0"/>
    <x:xf numFmtId="0" fontId="8" fillId="90" xfId="0" applyNumberFormat="1" applyFont="1" applyFill="1" applyBorder="0" applyAlignment="1">
      <x:alignment wrapText="1"/>
    </x:xf>
    <x:xf numFmtId="0" fontId="0" fillId="91" xfId="0" applyNumberFormat="1" applyFont="1" applyFill="1" applyBorder="0" applyAlignment="1">
      <x:alignment vertical="top" wrapText="1"/>
    </x:xf>
    <x:xf numFmtId="0" fontId="2" fillId="91" xfId="0" applyNumberFormat="1" applyFont="1" applyFill="1" applyBorder="0" applyAlignment="1">
      <x:alignment vertical="top" wrapText="1"/>
    </x:xf>
    <x:xf numFmtId="0" fontId="0" fillId="92" borderId="0" xfId="0" applyNumberFormat="1" applyFont="1" applyFill="1" applyBorder="1"/>
    <x:xf numFmtId="0" fontId="0" fillId="92" borderId="0" xfId="0" applyNumberFormat="1" applyFont="1" applyFill="1" applyBorder="1" applyAlignment="1">
      <x:alignment wrapText="1"/>
    </x:xf>
    <x:xf numFmtId="0" fontId="8" fillId="5" xfId="0" applyNumberFormat="1" applyFont="1" applyFill="1" applyBorder="0" applyAlignment="1">
      <x:alignment wrapText="1"/>
    </x:xf>
    <x:xf numFmtId="0" fontId="0" fillId="93" borderId="0" xfId="0" applyNumberFormat="1" applyFont="1" applyFill="1" applyBorder="1"/>
    <x:xf numFmtId="0" fontId="3" fillId="93" borderId="0" xfId="0" applyNumberFormat="1" applyFont="1" applyFill="1" applyBorder="1"/>
    <x:xf numFmtId="0" fontId="0" fillId="94" borderId="0" xfId="0" applyNumberFormat="1" applyFont="1" applyFill="1" applyBorder="1"/>
    <x:xf numFmtId="0" fontId="7" fillId="94" borderId="0" xfId="0" applyNumberFormat="1" applyFont="1" applyFill="1" applyBorder="1"/>
    <x:xf numFmtId="0" fontId="7" fillId="94" borderId="0" xfId="0" applyNumberFormat="1" applyFont="1" applyFill="1" applyBorder="1" applyAlignment="1">
      <x:alignment wrapText="1"/>
    </x:xf>
    <x:xf numFmtId="0" fontId="2" fillId="93" borderId="0" xfId="0" applyNumberFormat="1" applyFont="1" applyFill="1" applyBorder="1"/>
    <x:xf numFmtId="0" fontId="0" fillId="95" xfId="0" applyNumberFormat="1" applyFont="1" applyFill="1" applyBorder="0" applyAlignment="1">
      <x:alignment wrapText="1"/>
    </x:xf>
    <x:xf numFmtId="0" fontId="2" fillId="95" xfId="0" applyNumberFormat="1" applyFont="1" applyFill="1" applyBorder="0" applyAlignment="1">
      <x:alignment wrapText="1"/>
    </x:xf>
    <x:xf numFmtId="0" fontId="0" fillId="95" borderId="0" xfId="0" applyNumberFormat="1" applyFont="1" applyFill="1" applyBorder="1"/>
    <x:xf numFmtId="0" fontId="2" fillId="95" borderId="0" xfId="0" applyNumberFormat="1" applyFont="1" applyFill="1" applyBorder="1"/>
    <x:xf numFmtId="0" fontId="2" fillId="95" borderId="0" xfId="0" applyNumberFormat="1" applyFont="1" applyFill="1" applyBorder="1" applyAlignment="1">
      <x:alignment wrapText="1"/>
    </x:xf>
    <x:xf numFmtId="0" fontId="0" fillId="96" borderId="0" xfId="0" applyNumberFormat="1" applyFont="1" applyFill="1" applyBorder="1"/>
    <x:xf numFmtId="0" fontId="0" fillId="96" borderId="0" xfId="0" applyNumberFormat="1" applyFont="1" applyFill="1" applyBorder="1" applyAlignment="1">
      <x:alignment wrapText="1"/>
    </x:xf>
    <x:xf numFmtId="0" fontId="0" fillId="97" borderId="0" xfId="0" applyNumberFormat="1" applyFont="1" applyFill="1" applyBorder="1"/>
    <x:xf numFmtId="0" fontId="3" fillId="97" borderId="0" xfId="0" applyNumberFormat="1" applyFont="1" applyFill="1" applyBorder="1"/>
    <x:xf numFmtId="0" fontId="0" fillId="98" borderId="0" xfId="0" applyNumberFormat="1" applyFont="1" applyFill="1" applyBorder="1"/>
    <x:xf numFmtId="0" fontId="7" fillId="98" borderId="0" xfId="0" applyNumberFormat="1" applyFont="1" applyFill="1" applyBorder="1"/>
    <x:xf numFmtId="0" fontId="7" fillId="98" borderId="0" xfId="0" applyNumberFormat="1" applyFont="1" applyFill="1" applyBorder="1" applyAlignment="1">
      <x:alignment wrapText="1"/>
    </x:xf>
    <x:xf numFmtId="0" fontId="2" fillId="97" borderId="0" xfId="0" applyNumberFormat="1" applyFont="1" applyFill="1" applyBorder="1"/>
    <x:xf numFmtId="0" fontId="0" fillId="99" xfId="0" applyNumberFormat="1" applyFont="1" applyFill="1" applyBorder="0" applyAlignment="1">
      <x:alignment wrapText="1"/>
    </x:xf>
    <x:xf numFmtId="0" fontId="2" fillId="99" xfId="0" applyNumberFormat="1" applyFont="1" applyFill="1" applyBorder="0" applyAlignment="1">
      <x:alignment wrapText="1"/>
    </x:xf>
    <x:xf numFmtId="0" fontId="0" fillId="99" borderId="0" xfId="0" applyNumberFormat="1" applyFont="1" applyFill="1" applyBorder="1"/>
    <x:xf numFmtId="0" fontId="2" fillId="99" borderId="0" xfId="0" applyNumberFormat="1" applyFont="1" applyFill="1" applyBorder="1"/>
    <x:xf numFmtId="0" fontId="2" fillId="99" borderId="0" xfId="0" applyNumberFormat="1" applyFont="1" applyFill="1" applyBorder="1" applyAlignment="1">
      <x:alignment wrapText="1"/>
    </x:xf>
    <x:xf numFmtId="0" fontId="0" fillId="99" xfId="0" applyNumberFormat="1" applyFont="1" applyFill="1" applyBorder="0" applyAlignment="1">
      <x:alignment vertical="top" wrapText="1"/>
    </x:xf>
    <x:xf numFmtId="0" fontId="2" fillId="99" xfId="0" applyNumberFormat="1" applyFont="1" applyFill="1" applyBorder="0" applyAlignment="1">
      <x:alignment vertical="top" wrapText="1"/>
    </x:xf>
    <x:xf numFmtId="0" fontId="0" fillId="99" xfId="0" applyNumberFormat="1" applyFont="1" applyFill="1" applyBorder="0"/>
    <x:xf numFmtId="0" fontId="2" fillId="99" xfId="0" applyNumberFormat="1" applyFont="1" applyFill="1" applyBorder="0"/>
    <x:xf numFmtId="0" fontId="0" fillId="100" borderId="0" xfId="0" applyNumberFormat="1" applyFont="1" applyFill="1" applyBorder="1"/>
    <x:xf numFmtId="0" fontId="3" fillId="100" borderId="0" xfId="0" applyNumberFormat="1" applyFont="1" applyFill="1" applyBorder="1"/>
    <x:xf numFmtId="0" fontId="0" fillId="101" borderId="0" xfId="0" applyNumberFormat="1" applyFont="1" applyFill="1" applyBorder="1"/>
    <x:xf numFmtId="0" fontId="7" fillId="101" borderId="0" xfId="0" applyNumberFormat="1" applyFont="1" applyFill="1" applyBorder="1"/>
    <x:xf numFmtId="0" fontId="7" fillId="101" borderId="0" xfId="0" applyNumberFormat="1" applyFont="1" applyFill="1" applyBorder="1" applyAlignment="1">
      <x:alignment wrapText="1"/>
    </x:xf>
    <x:xf numFmtId="0" fontId="2" fillId="100" borderId="0" xfId="0" applyNumberFormat="1" applyFont="1" applyFill="1" applyBorder="1"/>
    <x:xf numFmtId="0" fontId="0" fillId="102" xfId="0" applyNumberFormat="1" applyFont="1" applyFill="1" applyBorder="0" applyAlignment="1">
      <x:alignment wrapText="1"/>
    </x:xf>
    <x:xf numFmtId="0" fontId="2" fillId="102" xfId="0" applyNumberFormat="1" applyFont="1" applyFill="1" applyBorder="0" applyAlignment="1">
      <x:alignment wrapText="1"/>
    </x:xf>
    <x:xf numFmtId="0" fontId="0" fillId="102" borderId="0" xfId="0" applyNumberFormat="1" applyFont="1" applyFill="1" applyBorder="1"/>
    <x:xf numFmtId="0" fontId="2" fillId="102" borderId="0" xfId="0" applyNumberFormat="1" applyFont="1" applyFill="1" applyBorder="1"/>
    <x:xf numFmtId="0" fontId="2" fillId="102" borderId="0" xfId="0" applyNumberFormat="1" applyFont="1" applyFill="1" applyBorder="1" applyAlignment="1">
      <x:alignment wrapText="1"/>
    </x:xf>
    <x:xf numFmtId="0" fontId="0" fillId="103" borderId="0" xfId="0" applyNumberFormat="1" applyFont="1" applyFill="1" applyBorder="1"/>
    <x:xf numFmtId="0" fontId="3" fillId="103" borderId="0" xfId="0" applyNumberFormat="1" applyFont="1" applyFill="1" applyBorder="1"/>
    <x:xf numFmtId="0" fontId="0" fillId="104" borderId="0" xfId="0" applyNumberFormat="1" applyFont="1" applyFill="1" applyBorder="1"/>
    <x:xf numFmtId="0" fontId="7" fillId="104" borderId="0" xfId="0" applyNumberFormat="1" applyFont="1" applyFill="1" applyBorder="1"/>
    <x:xf numFmtId="0" fontId="7" fillId="104" borderId="0" xfId="0" applyNumberFormat="1" applyFont="1" applyFill="1" applyBorder="1" applyAlignment="1">
      <x:alignment wrapText="1"/>
    </x:xf>
    <x:xf numFmtId="0" fontId="2" fillId="103" borderId="0" xfId="0" applyNumberFormat="1" applyFont="1" applyFill="1" applyBorder="1"/>
    <x:xf numFmtId="0" fontId="0" fillId="105" xfId="0" applyNumberFormat="1" applyFont="1" applyFill="1" applyBorder="0" applyAlignment="1">
      <x:alignment wrapText="1"/>
    </x:xf>
    <x:xf numFmtId="0" fontId="2" fillId="105" xfId="0" applyNumberFormat="1" applyFont="1" applyFill="1" applyBorder="0" applyAlignment="1">
      <x:alignment wrapText="1"/>
    </x:xf>
    <x:xf numFmtId="0" fontId="0" fillId="105" borderId="0" xfId="0" applyNumberFormat="1" applyFont="1" applyFill="1" applyBorder="1"/>
    <x:xf numFmtId="0" fontId="2" fillId="105" borderId="0" xfId="0" applyNumberFormat="1" applyFont="1" applyFill="1" applyBorder="1"/>
    <x:xf numFmtId="0" fontId="2" fillId="105" borderId="0" xfId="0" applyNumberFormat="1" applyFont="1" applyFill="1" applyBorder="1" applyAlignment="1">
      <x:alignment wrapText="1"/>
    </x:xf>
    <x:xf numFmtId="0" fontId="0" fillId="106" borderId="0" xfId="0" applyNumberFormat="1" applyFont="1" applyFill="1" applyBorder="1"/>
    <x:xf numFmtId="0" fontId="3" fillId="106" borderId="0" xfId="0" applyNumberFormat="1" applyFont="1" applyFill="1" applyBorder="1"/>
    <x:xf numFmtId="0" fontId="0" fillId="107" borderId="0" xfId="0" applyNumberFormat="1" applyFont="1" applyFill="1" applyBorder="1"/>
    <x:xf numFmtId="0" fontId="7" fillId="107" borderId="0" xfId="0" applyNumberFormat="1" applyFont="1" applyFill="1" applyBorder="1"/>
    <x:xf numFmtId="0" fontId="7" fillId="107" borderId="0" xfId="0" applyNumberFormat="1" applyFont="1" applyFill="1" applyBorder="1" applyAlignment="1">
      <x:alignment wrapText="1"/>
    </x:xf>
    <x:xf numFmtId="0" fontId="2" fillId="106" borderId="0" xfId="0" applyNumberFormat="1" applyFont="1" applyFill="1" applyBorder="1"/>
    <x:xf numFmtId="0" fontId="0" fillId="108" xfId="0" applyNumberFormat="1" applyFont="1" applyFill="1" applyBorder="0" applyAlignment="1">
      <x:alignment wrapText="1"/>
    </x:xf>
    <x:xf numFmtId="0" fontId="2" fillId="108" xfId="0" applyNumberFormat="1" applyFont="1" applyFill="1" applyBorder="0" applyAlignment="1">
      <x:alignment wrapText="1"/>
    </x:xf>
    <x:xf numFmtId="0" fontId="0" fillId="108" borderId="0" xfId="0" applyNumberFormat="1" applyFont="1" applyFill="1" applyBorder="1"/>
    <x:xf numFmtId="0" fontId="2" fillId="108" borderId="0" xfId="0" applyNumberFormat="1" applyFont="1" applyFill="1" applyBorder="1"/>
    <x:xf numFmtId="0" fontId="2" fillId="108" borderId="0" xfId="0" applyNumberFormat="1" applyFont="1" applyFill="1" applyBorder="1" applyAlignment="1">
      <x:alignment wrapText="1"/>
    </x:xf>
    <x:xf numFmtId="0" fontId="0" fillId="109" borderId="0" xfId="0" applyNumberFormat="1" applyFont="1" applyFill="1" applyBorder="1"/>
    <x:xf numFmtId="0" fontId="3" fillId="109" borderId="0" xfId="0" applyNumberFormat="1" applyFont="1" applyFill="1" applyBorder="1"/>
    <x:xf numFmtId="0" fontId="0" fillId="110" borderId="0" xfId="0" applyNumberFormat="1" applyFont="1" applyFill="1" applyBorder="1"/>
    <x:xf numFmtId="0" fontId="7" fillId="110" borderId="0" xfId="0" applyNumberFormat="1" applyFont="1" applyFill="1" applyBorder="1"/>
    <x:xf numFmtId="0" fontId="7" fillId="110" borderId="0" xfId="0" applyNumberFormat="1" applyFont="1" applyFill="1" applyBorder="1" applyAlignment="1">
      <x:alignment wrapText="1"/>
    </x:xf>
    <x:xf numFmtId="0" fontId="2" fillId="109" borderId="0" xfId="0" applyNumberFormat="1" applyFont="1" applyFill="1" applyBorder="1"/>
    <x:xf numFmtId="0" fontId="0" fillId="111" xfId="0" applyNumberFormat="1" applyFont="1" applyFill="1" applyBorder="0" applyAlignment="1">
      <x:alignment wrapText="1"/>
    </x:xf>
    <x:xf numFmtId="0" fontId="2" fillId="111" xfId="0" applyNumberFormat="1" applyFont="1" applyFill="1" applyBorder="0" applyAlignment="1">
      <x:alignment wrapText="1"/>
    </x:xf>
    <x:xf numFmtId="0" fontId="0" fillId="111" borderId="0" xfId="0" applyNumberFormat="1" applyFont="1" applyFill="1" applyBorder="1"/>
    <x:xf numFmtId="0" fontId="2" fillId="111" borderId="0" xfId="0" applyNumberFormat="1" applyFont="1" applyFill="1" applyBorder="1"/>
    <x:xf numFmtId="0" fontId="2" fillId="111" borderId="0" xfId="0" applyNumberFormat="1" applyFont="1" applyFill="1" applyBorder="1" applyAlignment="1">
      <x:alignment wrapText="1"/>
    </x:xf>
    <x:xf numFmtId="0" fontId="9" fillId="2" borderId="0" xfId="0" applyNumberFormat="1" applyFont="1" applyFill="1" applyBorder="1" applyAlignment="1">
      <x:alignment wrapText="1"/>
    </x:xf>
    <x:xf numFmtId="0" fontId="10" fillId="0" borderId="0" xfId="0" applyNumberFormat="1" applyFont="1" applyFill="1" applyBorder="1"/>
    <x:xf numFmtId="0" fontId="9" fillId="3" borderId="0" xfId="0" applyNumberFormat="1" applyFont="1" applyFill="1" applyBorder="1" applyAlignment="1">
      <x:alignment wrapText="1"/>
    </x:xf>
    <x:xf numFmtId="0" fontId="10" fillId="0" borderId="0" xfId="0" applyNumberFormat="1" applyFont="1" applyFill="1" applyBorder="1" applyAlignment="1">
      <x:alignment wrapText="1"/>
    </x:xf>
    <x:xf numFmtId="0" fontId="9" fillId="2" xfId="0" applyNumberFormat="1" applyFont="1" applyFill="1" applyBorder="0" applyAlignment="1">
      <x:alignment wrapText="1"/>
    </x:xf>
    <x:xf numFmtId="0" fontId="10" fillId="0" xfId="0" applyNumberFormat="1" applyFont="1" applyFill="1" applyBorder="0"/>
    <x:xf numFmtId="0" fontId="9" fillId="3" xfId="0" applyNumberFormat="1" applyFont="1" applyFill="1" applyBorder="0" applyAlignment="1">
      <x:alignment wrapText="1"/>
    </x:xf>
    <x:xf numFmtId="0" fontId="10" fillId="0" xfId="0" applyNumberFormat="1" applyFont="1" applyFill="1" applyBorder="0" applyAlignment="1">
      <x:alignment wrapText="1"/>
    </x:xf>
    <x:xf numFmtId="0" fontId="9" fillId="2" xfId="0" applyNumberFormat="1" applyFont="1" applyFill="1" applyBorder="0" applyAlignment="1">
      <x:alignment vertical="top" wrapText="1"/>
    </x:xf>
    <x:xf numFmtId="0" fontId="10" fillId="0" xfId="0" applyNumberFormat="1" applyFont="1" applyFill="1" applyBorder="0" applyAlignment="1">
      <x:alignment vertical="top" wrapText="1"/>
    </x:xf>
    <x:xf numFmtId="0" fontId="9" fillId="3" xfId="0" applyNumberFormat="1" applyFont="1" applyFill="1" applyBorder="0" applyAlignment="1">
      <x:alignment vertical="top" wrapText="1"/>
    </x:xf>
    <x:xf numFmtId="0" fontId="9" fillId="112" xfId="0" applyNumberFormat="1" applyFont="1" applyFill="1" applyBorder="0" applyAlignment="1">
      <x:alignment vertical="top" wrapText="1"/>
    </x:xf>
    <x:xf numFmtId="0" fontId="10" fillId="112" xfId="0" applyNumberFormat="1" applyFont="1" applyFill="1" applyBorder="0" applyAlignment="1">
      <x:alignment vertical="top" wrapText="1"/>
    </x:xf>
    <x:xf numFmtId="0" fontId="11" fillId="112" xfId="0" applyNumberFormat="1" applyFont="1" applyFill="1" applyBorder="0" applyAlignment="1">
      <x:alignment vertical="top" wrapText="1"/>
    </x:xf>
    <x:xf numFmtId="0" fontId="11" fillId="112" xfId="0" applyNumberFormat="1" applyFont="1" applyFill="1" applyBorder="0" applyAlignment="1">
      <x:alignment vertical="center" wrapText="1"/>
    </x:xf>
    <x:xf numFmtId="0" fontId="9" fillId="113" xfId="0" applyNumberFormat="1" applyFont="1" applyFill="1" applyBorder="0" applyAlignment="1">
      <x:alignment vertical="top" wrapText="1"/>
    </x:xf>
    <x:xf numFmtId="0" fontId="10" fillId="113" xfId="0" applyNumberFormat="1" applyFont="1" applyFill="1" applyBorder="0" applyAlignment="1">
      <x:alignment vertical="top" wrapText="1"/>
    </x:xf>
    <x:xf numFmtId="0" fontId="12" fillId="113" xfId="0" applyNumberFormat="1" applyFont="1" applyFill="1" applyBorder="0" applyAlignment="1">
      <x:alignment vertical="top" wrapText="1"/>
    </x:xf>
    <x:xf numFmtId="0" fontId="13" fillId="113" xfId="0" applyNumberFormat="1" applyFont="1" applyFill="1" applyBorder="0" applyAlignment="1">
      <x:alignment vertical="top" wrapText="1"/>
    </x:xf>
    <x:xf numFmtId="0" fontId="12" fillId="113" xfId="0" applyNumberFormat="1" applyFont="1" applyFill="1" applyBorder="0" applyAlignment="1">
      <x:alignment vertical="center" wrapText="1"/>
    </x:xf>
    <x:xf numFmtId="0" fontId="13" fillId="113" xfId="0" applyNumberFormat="1" applyFont="1" applyFill="1" applyBorder="0" applyAlignment="1">
      <x:alignment vertical="center" wrapText="1"/>
    </x:xf>
    <x:xf numFmtId="0" fontId="10" fillId="114" xfId="0" applyNumberFormat="1" applyFont="1" applyFill="1" applyBorder="0" applyAlignment="1">
      <x:alignment vertical="top" wrapText="1"/>
    </x:xf>
    <x:xf numFmtId="0" fontId="14" fillId="114" xfId="0" applyNumberFormat="1" applyFont="1" applyFill="1" applyBorder="0" applyAlignment="1">
      <x:alignment vertical="top" wrapText="1"/>
    </x:xf>
    <x:xf numFmtId="0" fontId="14" fillId="114" xfId="0" applyNumberFormat="1" applyFont="1" applyFill="1" applyBorder="0" applyAlignment="1">
      <x:alignment horizontal="center" vertical="top" wrapText="1"/>
    </x:xf>
    <x:xf numFmtId="0" fontId="14" fillId="114" xfId="0" applyNumberFormat="1" applyFont="1" applyFill="1" applyBorder="0" applyAlignment="1">
      <x:alignment horizontal="center" vertical="center" wrapText="1"/>
    </x:xf>
    <x:xf numFmtId="0" fontId="9" fillId="17" borderId="0" xfId="0" applyNumberFormat="1" applyFont="1" applyFill="1" applyBorder="1"/>
    <x:xf numFmtId="0" fontId="9" fillId="17" xfId="0" applyNumberFormat="1" applyFont="1" applyFill="1" applyBorder="0"/>
    <x:xf numFmtId="0" fontId="9" fillId="17" xfId="0" applyNumberFormat="1" applyFont="1" applyFill="1" applyBorder="0" applyAlignment="1">
      <x:alignment wrapText="1"/>
    </x:xf>
    <x:xf numFmtId="0" fontId="9" fillId="17" xfId="0" applyNumberFormat="1" applyFont="1" applyFill="1" applyBorder="0" applyAlignment="1">
      <x:alignment vertical="top" wrapText="1"/>
    </x:xf>
    <x:xf numFmtId="0" fontId="10" fillId="3" xfId="0" applyNumberFormat="1" applyFont="1" applyFill="1" applyBorder="0" applyAlignment="1">
      <x:alignment vertical="top" wrapText="1"/>
    </x:xf>
    <x:xf numFmtId="0" fontId="14" fillId="3" xfId="0" applyNumberFormat="1" applyFont="1" applyFill="1" applyBorder="0" applyAlignment="1">
      <x:alignment vertical="top" wrapText="1"/>
    </x:xf>
    <x:xf numFmtId="0" fontId="14" fillId="3" xfId="0" applyNumberFormat="1" applyFont="1" applyFill="1" applyBorder="0" applyAlignment="1">
      <x:alignment horizontal="center" vertical="top" wrapText="1"/>
    </x:xf>
    <x:xf numFmtId="0" fontId="14" fillId="3" xfId="0" applyNumberFormat="1" applyFont="1" applyFill="1" applyBorder="0" applyAlignment="1">
      <x:alignment horizontal="center" vertical="center" wrapText="1"/>
    </x:xf>
    <x:xf numFmtId="0" fontId="9" fillId="2"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9" fillId="3" borderId="0" xfId="0" applyNumberFormat="1" applyFont="1" applyFill="1" applyBorder="1" applyAlignment="1">
      <x:alignment horizontal="center" vertical="center"/>
    </x:xf>
    <x:xf numFmtId="0" fontId="10" fillId="0" xfId="0" applyNumberFormat="1" applyFont="1" applyFill="1" applyBorder="0" applyAlignment="1">
      <x:alignment horizontal="center" vertical="center"/>
    </x:xf>
    <x:xf numFmtId="200" fontId="10" fillId="0" xfId="0" applyNumberFormat="1" applyFont="1" applyFill="1" applyBorder="0" applyAlignment="1">
      <x:alignment vertical="center"/>
    </x:xf>
    <x:xf numFmtId="201" fontId="10" fillId="0" xfId="0" applyNumberFormat="1" applyFont="1" applyFill="1" applyBorder="0" applyAlignment="1">
      <x:alignment vertical="center"/>
    </x:xf>
    <x:xf numFmtId="0" fontId="10" fillId="0" xfId="0" applyNumberFormat="1" applyFont="1" applyFill="1" applyBorder="0" applyAlignment="1">
      <x:alignment vertical="center"/>
    </x:xf>
    <x:xf numFmtId="0" fontId="10" fillId="7" borderId="0" xfId="0" applyNumberFormat="1" applyFont="1" applyFill="1" applyBorder="1" applyAlignment="1">
      <x:alignment wrapText="1"/>
    </x:xf>
    <x:xf numFmtId="0" fontId="9" fillId="3" borderId="0" xfId="0" applyNumberFormat="1" applyFont="1" applyFill="1" applyBorder="1" applyAlignment="1">
      <x:alignment horizontal="center" vertical="center" wrapText="1"/>
    </x:xf>
    <x:xf numFmtId="0" fontId="10" fillId="0" xfId="0" applyNumberFormat="1" applyFont="1" applyFill="1" applyBorder="0" applyAlignment="1">
      <x:alignment horizontal="center" vertical="top" wrapText="1"/>
    </x:xf>
    <x:xf numFmtId="200" fontId="10" fillId="0" xfId="0" applyNumberFormat="1" applyFont="1" applyFill="1" applyBorder="0" applyAlignment="1">
      <x:alignment horizontal="center" vertical="top" wrapText="1"/>
    </x:xf>
    <x:xf numFmtId="0" fontId="9" fillId="2" borderId="0" xfId="0" applyNumberFormat="1" applyFont="1" applyFill="1" applyBorder="1"/>
    <x:xf numFmtId="0" fontId="9" fillId="2" xfId="0" applyNumberFormat="1" applyFont="1" applyFill="1" applyBorder="0" applyAlignment="1">
      <x:alignment vertical="center"/>
    </x:xf>
    <x:xf numFmtId="0" fontId="15" fillId="5" xfId="0" applyNumberFormat="1" applyFont="1" applyFill="1" applyBorder="0" applyAlignment="1">
      <x:alignment vertical="center" wrapText="1"/>
    </x:xf>
    <x:xf numFmtId="0" fontId="9" fillId="3" xfId="0" applyNumberFormat="1" applyFont="1" applyFill="1" applyBorder="0" applyAlignment="1">
      <x:alignment horizontal="center" vertical="center"/>
    </x:xf>
    <x:xf numFmtId="0" fontId="10" fillId="7" xfId="0" applyNumberFormat="1" applyFont="1" applyFill="1" applyBorder="0" applyAlignment="1">
      <x:alignment wrapText="1"/>
    </x:xf>
    <x:xf numFmtId="0" fontId="9" fillId="3" xfId="0" applyNumberFormat="1" applyFont="1" applyFill="1" applyBorder="0" applyAlignment="1">
      <x:alignment horizontal="center" vertical="center" wrapText="1"/>
    </x:xf>
    <x:xf numFmtId="0" fontId="9" fillId="2" xfId="0" applyNumberFormat="1" applyFont="1" applyFill="1" applyBorder="0"/>
    <x:xf numFmtId="0" fontId="9" fillId="2" xfId="0" applyNumberFormat="1" applyFont="1" applyFill="1" applyBorder="0" applyAlignment="1">
      <x:alignment vertical="center" wrapText="1"/>
    </x:xf>
    <x:xf numFmtId="0" fontId="10" fillId="0" xfId="0" applyNumberFormat="1" applyFont="1" applyFill="1" applyBorder="0" applyAlignment="1">
      <x:alignment horizontal="center" vertical="center" wrapText="1"/>
    </x:xf>
    <x:xf numFmtId="200" fontId="10" fillId="0" xfId="0" applyNumberFormat="1" applyFont="1" applyFill="1" applyBorder="0" applyAlignment="1">
      <x:alignment vertical="center" wrapText="1"/>
    </x:xf>
    <x:xf numFmtId="201" fontId="10" fillId="0" xfId="0" applyNumberFormat="1" applyFont="1" applyFill="1" applyBorder="0" applyAlignment="1">
      <x:alignment vertical="center" wrapText="1"/>
    </x:xf>
    <x:xf numFmtId="0" fontId="10" fillId="0" xfId="0" applyNumberFormat="1" applyFont="1" applyFill="1" applyBorder="0" applyAlignment="1">
      <x:alignment vertical="center" wrapText="1"/>
    </x:xf>
    <x:xf numFmtId="0" fontId="15" fillId="5" xfId="0" applyNumberFormat="1" applyFont="1" applyFill="1" applyBorder="0" applyAlignment="1">
      <x:alignment vertical="top" wrapText="1"/>
    </x:xf>
    <x:xf numFmtId="0" fontId="9" fillId="3" xfId="0" applyNumberFormat="1" applyFont="1" applyFill="1" applyBorder="0" applyAlignment="1">
      <x:alignment horizontal="center" vertical="top" wrapText="1"/>
    </x:xf>
    <x:xf numFmtId="200" fontId="10" fillId="0" xfId="0" applyNumberFormat="1" applyFont="1" applyFill="1" applyBorder="0" applyAlignment="1">
      <x:alignment vertical="top" wrapText="1"/>
    </x:xf>
    <x:xf numFmtId="201" fontId="10" fillId="0" xfId="0" applyNumberFormat="1" applyFont="1" applyFill="1" applyBorder="0" applyAlignment="1">
      <x:alignment vertical="top" wrapText="1"/>
    </x:xf>
    <x:xf numFmtId="0" fontId="10" fillId="7" xfId="0" applyNumberFormat="1" applyFont="1" applyFill="1" applyBorder="0" applyAlignment="1">
      <x:alignment vertical="top" wrapText="1"/>
    </x:xf>
    <x:xf numFmtId="0" fontId="9" fillId="115" xfId="0" applyNumberFormat="1" applyFont="1" applyFill="1" applyBorder="0" applyAlignment="1">
      <x:alignment vertical="top" wrapText="1"/>
    </x:xf>
    <x:xf numFmtId="0" fontId="11" fillId="115" xfId="0" applyNumberFormat="1" applyFont="1" applyFill="1" applyBorder="0" applyAlignment="1">
      <x:alignment vertical="top" wrapText="1"/>
    </x:xf>
    <x:xf numFmtId="0" fontId="11" fillId="115" xfId="0" applyNumberFormat="1" applyFont="1" applyFill="1" applyBorder="0" applyAlignment="1">
      <x:alignment vertical="center" wrapText="1"/>
    </x:xf>
    <x:xf numFmtId="0" fontId="15" fillId="116" xfId="0" applyNumberFormat="1" applyFont="1" applyFill="1" applyBorder="0" applyAlignment="1">
      <x:alignment vertical="top" wrapText="1"/>
    </x:xf>
    <x:xf numFmtId="0" fontId="13" fillId="116" xfId="0" applyNumberFormat="1" applyFont="1" applyFill="1" applyBorder="0" applyAlignment="1">
      <x:alignment vertical="top" wrapText="1"/>
    </x:xf>
    <x:xf numFmtId="0" fontId="13" fillId="116" xfId="0" applyNumberFormat="1" applyFont="1" applyFill="1" applyBorder="0" applyAlignment="1">
      <x:alignment vertical="center" wrapText="1"/>
    </x:xf>
    <x:xf numFmtId="0" fontId="9" fillId="117" xfId="0" applyNumberFormat="1" applyFont="1" applyFill="1" applyBorder="0" applyAlignment="1">
      <x:alignment horizontal="center" vertical="top" wrapText="1"/>
    </x:xf>
    <x:xf numFmtId="0" fontId="10" fillId="117" xfId="0" applyNumberFormat="1" applyFont="1" applyFill="1" applyBorder="0" applyAlignment="1">
      <x:alignment vertical="top" wrapText="1"/>
    </x:xf>
    <x:xf numFmtId="0" fontId="14" fillId="117" xfId="0" applyNumberFormat="1" applyFont="1" applyFill="1" applyBorder="0" applyAlignment="1">
      <x:alignment horizontal="center" vertical="top" wrapText="1"/>
    </x:xf>
    <x:xf numFmtId="0" fontId="14" fillId="117" xfId="0" applyNumberFormat="1" applyFont="1" applyFill="1" applyBorder="0" applyAlignment="1">
      <x:alignment vertical="top" wrapText="1"/>
    </x:xf>
    <x:xf numFmtId="0" fontId="14" fillId="117" xfId="0" applyNumberFormat="1" applyFont="1" applyFill="1" applyBorder="0" applyAlignment="1">
      <x:alignment horizontal="center" vertical="center" wrapText="1"/>
    </x:xf>
    <x:xf numFmtId="0" fontId="10" fillId="117" xfId="0" applyNumberFormat="1" applyFont="1" applyFill="1" applyBorder="0" applyAlignment="1">
      <x:alignment horizontal="center" vertical="top" wrapText="1"/>
    </x:xf>
    <x:xf numFmtId="200" fontId="10" fillId="117" xfId="0" applyNumberFormat="1" applyFont="1" applyFill="1" applyBorder="0" applyAlignment="1">
      <x:alignment horizontal="center" vertical="top" wrapText="1"/>
    </x:xf>
    <x:xf numFmtId="200" fontId="14" fillId="117" xfId="0" applyNumberFormat="1" applyFont="1" applyFill="1" applyBorder="0" applyAlignment="1">
      <x:alignment horizontal="center" vertical="top" wrapText="1"/>
    </x:xf>
    <x:xf numFmtId="200" fontId="14" fillId="117" xfId="0" applyNumberFormat="1" applyFont="1" applyFill="1" applyBorder="0" applyAlignment="1">
      <x:alignment horizontal="center" vertical="center" wrapText="1"/>
    </x:xf>
    <x:xf numFmtId="0" fontId="9" fillId="118" xfId="0" applyNumberFormat="1" applyFont="1" applyFill="1" applyBorder="0" applyAlignment="1">
      <x:alignment vertical="top" wrapText="1"/>
    </x:xf>
    <x:xf numFmtId="0" fontId="2" fillId="118" xfId="0" applyNumberFormat="1" applyFont="1" applyFill="1" applyBorder="0" applyAlignment="1">
      <x:alignment vertical="top" wrapText="1"/>
    </x:xf>
    <x:xf numFmtId="0" fontId="2" fillId="118" xfId="0" applyNumberFormat="1" applyFont="1" applyFill="1" applyBorder="0" applyAlignment="1">
      <x:alignment vertical="center" wrapText="1"/>
    </x:xf>
    <x:xf numFmtId="0" fontId="16" fillId="2" borderId="0" xfId="0" applyNumberFormat="1" applyFont="1" applyFill="1" applyBorder="1" applyAlignment="1">
      <x:alignment vertical="center"/>
    </x:xf>
    <x:xf numFmtId="0" fontId="17" fillId="0" borderId="0" xfId="0" applyNumberFormat="1" applyFont="1" applyFill="1" applyBorder="1"/>
    <x:xf numFmtId="0" fontId="18" fillId="5" borderId="0" xfId="0" applyNumberFormat="1" applyFont="1" applyFill="1" applyBorder="1" applyAlignment="1">
      <x:alignment wrapText="1"/>
    </x:xf>
    <x:xf numFmtId="0" fontId="16" fillId="2" borderId="0" xfId="0" applyNumberFormat="1" applyFont="1" applyFill="1" applyBorder="1"/>
    <x:xf numFmtId="0" fontId="16" fillId="3" xfId="0" applyNumberFormat="1" applyFont="1" applyFill="1" applyBorder="0" applyAlignment="1">
      <x:alignment horizontal="center" vertical="top" wrapText="1"/>
    </x:xf>
    <x:xf numFmtId="0" fontId="16" fillId="3" borderId="0" xfId="0" applyNumberFormat="1" applyFont="1" applyFill="1" applyBorder="1" applyAlignment="1">
      <x:alignment horizontal="center" wrapText="1"/>
    </x:xf>
    <x:xf numFmtId="0" fontId="17" fillId="0" xfId="0" applyNumberFormat="1" applyFont="1" applyFill="1" applyBorder="0" applyAlignment="1">
      <x:alignment vertical="top" wrapText="1"/>
    </x:xf>
    <x:xf numFmtId="200" fontId="17" fillId="0" xfId="0" applyNumberFormat="1" applyFont="1" applyFill="1" applyBorder="0" applyAlignment="1">
      <x:alignment vertical="top" wrapText="1"/>
    </x:xf>
    <x:xf numFmtId="0" fontId="17" fillId="0" xfId="0" applyNumberFormat="1" applyFont="1" applyFill="1" applyBorder="0" applyAlignment="1">
      <x:alignment horizontal="center" vertical="top" wrapText="1"/>
    </x:xf>
    <x:xf numFmtId="0" fontId="16" fillId="3" borderId="0" xfId="0" applyNumberFormat="1" applyFont="1" applyFill="1" applyBorder="1" applyAlignment="1">
      <x:alignment horizontal="center" vertical="center" wrapText="1"/>
    </x:xf>
    <x:xf numFmtId="200" fontId="17" fillId="0" xfId="0" applyNumberFormat="1" applyFont="1" applyFill="1" applyBorder="0" applyAlignment="1">
      <x:alignment horizontal="center" vertical="top" wrapText="1"/>
    </x:xf>
    <x:xf numFmtId="0" fontId="17" fillId="0" xfId="0" applyNumberFormat="1" applyFont="1" applyFill="1" applyBorder="0" applyAlignment="1">
      <x:alignment horizontal="left" vertical="top" wrapText="1"/>
    </x:xf>
    <x:xf numFmtId="0" fontId="16" fillId="17" xfId="0" applyNumberFormat="1" applyFont="1" applyFill="1" applyBorder="0" applyAlignment="1">
      <x:alignment vertical="top" wrapText="1"/>
    </x:xf>
    <x:xf numFmtId="200" fontId="16" fillId="17" xfId="0" applyNumberFormat="1" applyFont="1" applyFill="1" applyBorder="0" applyAlignment="1">
      <x:alignment horizontal="center" vertical="top" wrapText="1"/>
    </x:xf>
    <x:xf numFmtId="0" fontId="16" fillId="17" xfId="0" applyNumberFormat="1" applyFont="1" applyFill="1" applyBorder="0" applyAlignment="1">
      <x:alignment horizontal="left" vertical="top" wrapText="1"/>
    </x:xf>
    <x:xf numFmtId="0" fontId="16" fillId="2" xfId="0" applyNumberFormat="1" applyFont="1" applyFill="1" applyBorder="0" applyAlignment="1">
      <x:alignment vertical="center"/>
    </x:xf>
    <x:xf numFmtId="0" fontId="17" fillId="0" xfId="0" applyNumberFormat="1" applyFont="1" applyFill="1" applyBorder="0"/>
    <x:xf numFmtId="0" fontId="18" fillId="5" xfId="0" applyNumberFormat="1" applyFont="1" applyFill="1" applyBorder="0" applyAlignment="1">
      <x:alignment wrapText="1"/>
    </x:xf>
    <x:xf numFmtId="0" fontId="16" fillId="2" xfId="0" applyNumberFormat="1" applyFont="1" applyFill="1" applyBorder="0"/>
    <x:xf numFmtId="0" fontId="16" fillId="3" xfId="0" applyNumberFormat="1" applyFont="1" applyFill="1" applyBorder="0" applyAlignment="1">
      <x:alignment horizontal="center" wrapText="1"/>
    </x:xf>
    <x:xf numFmtId="0" fontId="16" fillId="3" xfId="0" applyNumberFormat="1" applyFont="1" applyFill="1" applyBorder="0" applyAlignment="1">
      <x:alignment horizontal="center" vertical="center" wrapText="1"/>
    </x:xf>
    <x:xf numFmtId="0" fontId="16" fillId="2" xfId="0" applyNumberFormat="1" applyFont="1" applyFill="1" applyBorder="0" applyAlignment="1">
      <x:alignment vertical="center" wrapText="1"/>
    </x:xf>
    <x:xf numFmtId="0" fontId="17" fillId="0" xfId="0" applyNumberFormat="1" applyFont="1" applyFill="1" applyBorder="0" applyAlignment="1">
      <x:alignment wrapText="1"/>
    </x:xf>
    <x:xf numFmtId="0" fontId="16" fillId="2" xfId="0" applyNumberFormat="1" applyFont="1" applyFill="1" applyBorder="0" applyAlignment="1">
      <x:alignment wrapText="1"/>
    </x:xf>
    <x:xf numFmtId="0" fontId="16" fillId="2" xfId="0" applyNumberFormat="1" applyFont="1" applyFill="1" applyBorder="0" applyAlignment="1">
      <x:alignment vertical="top" wrapText="1"/>
    </x:xf>
    <x:xf numFmtId="0" fontId="18" fillId="5" xfId="0" applyNumberFormat="1" applyFont="1" applyFill="1" applyBorder="0" applyAlignment="1">
      <x:alignment vertical="top" wrapText="1"/>
    </x:xf>
    <x:xf numFmtId="0" fontId="16" fillId="115" xfId="0" applyNumberFormat="1" applyFont="1" applyFill="1" applyBorder="0" applyAlignment="1">
      <x:alignment vertical="top" wrapText="1"/>
    </x:xf>
    <x:xf numFmtId="0" fontId="17" fillId="115" xfId="0" applyNumberFormat="1" applyFont="1" applyFill="1" applyBorder="0" applyAlignment="1">
      <x:alignment vertical="top" wrapText="1"/>
    </x:xf>
    <x:xf numFmtId="0" fontId="18" fillId="116" xfId="0" applyNumberFormat="1" applyFont="1" applyFill="1" applyBorder="0" applyAlignment="1">
      <x:alignment vertical="top" wrapText="1"/>
    </x:xf>
    <x:xf numFmtId="0" fontId="17" fillId="116" xfId="0" applyNumberFormat="1" applyFont="1" applyFill="1" applyBorder="0" applyAlignment="1">
      <x:alignment vertical="top" wrapText="1"/>
    </x:xf>
    <x:xf numFmtId="0" fontId="16" fillId="117" xfId="0" applyNumberFormat="1" applyFont="1" applyFill="1" applyBorder="0" applyAlignment="1">
      <x:alignment horizontal="center" vertical="top" wrapText="1"/>
    </x:xf>
    <x:xf numFmtId="0" fontId="17" fillId="117" xfId="0" applyNumberFormat="1" applyFont="1" applyFill="1" applyBorder="0" applyAlignment="1">
      <x:alignment vertical="top" wrapText="1"/>
    </x:xf>
    <x:xf numFmtId="200" fontId="17" fillId="117" xfId="0" applyNumberFormat="1" applyFont="1" applyFill="1" applyBorder="0" applyAlignment="1">
      <x:alignment vertical="top" wrapText="1"/>
    </x:xf>
    <x:xf numFmtId="200" fontId="14" fillId="117" xfId="0" applyNumberFormat="1" applyFont="1" applyFill="1" applyBorder="0" applyAlignment="1">
      <x:alignment vertical="top" wrapText="1"/>
    </x:xf>
    <x:xf numFmtId="0" fontId="17" fillId="117" xfId="0" applyNumberFormat="1" applyFont="1" applyFill="1" applyBorder="0" applyAlignment="1">
      <x:alignment horizontal="center" vertical="top" wrapText="1"/>
    </x:xf>
    <x:xf numFmtId="0" fontId="16" fillId="118" xfId="0" applyNumberFormat="1" applyFont="1" applyFill="1" applyBorder="0" applyAlignment="1">
      <x:alignment vertical="top" wrapText="1"/>
    </x:xf>
    <x:xf numFmtId="0" fontId="17" fillId="118" xfId="0" applyNumberFormat="1" applyFont="1" applyFill="1" applyBorder="0" applyAlignment="1">
      <x:alignment vertical="top" wrapText="1"/>
    </x:xf>
    <x:xf numFmtId="0" fontId="15" fillId="5" borderId="0" xfId="0" applyNumberFormat="1" applyFont="1" applyFill="1" applyBorder="1" applyAlignment="1">
      <x:alignment wrapText="1"/>
    </x:xf>
    <x:xf numFmtId="0" fontId="9" fillId="3" xfId="0" applyNumberFormat="1" applyFont="1" applyFill="1" applyBorder="0" applyAlignment="1">
      <x:alignment horizontal="center" wrapText="1"/>
    </x:xf>
    <x:xf numFmtId="0" fontId="15" fillId="5" xfId="0" applyNumberFormat="1" applyFont="1" applyFill="1" applyBorder="0" applyAlignment="1">
      <x:alignment wrapText="1"/>
    </x:xf>
    <x:xf numFmtId="0" fontId="9" fillId="117" xfId="0" applyNumberFormat="1" applyFont="1" applyFill="1" applyBorder="0" applyAlignment="1">
      <x:alignment vertical="top" wrapText="1"/>
    </x:xf>
    <x:xf numFmtId="0" fontId="9" fillId="3" xfId="0" applyNumberFormat="1" applyFont="1" applyFill="1" applyBorder="0"/>
    <x:xf numFmtId="0" fontId="9" fillId="7" borderId="0" xfId="0" applyNumberFormat="1" applyFont="1" applyFill="1" applyBorder="1" applyAlignment="1">
      <x:alignment wrapText="1"/>
    </x:xf>
    <x:xf numFmtId="0" fontId="9" fillId="7" xfId="0" applyNumberFormat="1" applyFont="1" applyFill="1" applyBorder="0" applyAlignment="1">
      <x:alignment wrapText="1"/>
    </x:xf>
    <x:xf numFmtId="0" fontId="9" fillId="7" xfId="0" applyNumberFormat="1" applyFont="1" applyFill="1" applyBorder="0" applyAlignment="1">
      <x:alignment vertical="top" wrapText="1"/>
    </x:xf>
    <x:xf numFmtId="0" fontId="10" fillId="118" xfId="0" applyNumberFormat="1" applyFont="1" applyFill="1" applyBorder="0" applyAlignment="1">
      <x:alignment vertical="top" wrapText="1"/>
    </x:xf>
    <x:xf numFmtId="0" fontId="10" fillId="5" borderId="0" xfId="0" applyNumberFormat="1" applyFont="1" applyFill="1" applyBorder="1" applyAlignment="1">
      <x:alignment wrapText="1"/>
    </x:xf>
    <x:xf numFmtId="0" fontId="9" fillId="5" borderId="0" xfId="0" applyNumberFormat="1" applyFont="1" applyFill="1" applyBorder="1" applyAlignment="1">
      <x:alignment wrapText="1"/>
    </x:xf>
    <x:xf numFmtId="0" fontId="10" fillId="7" xfId="0" applyNumberFormat="1" applyFont="1" applyFill="1" applyBorder="0"/>
    <x:xf numFmtId="0" fontId="9" fillId="7" xfId="0" applyNumberFormat="1" applyFont="1" applyFill="1" applyBorder="0"/>
    <x:xf numFmtId="0" fontId="10" fillId="5" xfId="0" applyNumberFormat="1" applyFont="1" applyFill="1" applyBorder="0" applyAlignment="1">
      <x:alignment wrapText="1"/>
    </x:xf>
    <x:xf numFmtId="0" fontId="9" fillId="5" xfId="0" applyNumberFormat="1" applyFont="1" applyFill="1" applyBorder="0" applyAlignment="1">
      <x:alignment wrapText="1"/>
    </x:xf>
    <x:xf numFmtId="0" fontId="10" fillId="5" xfId="0" applyNumberFormat="1" applyFont="1" applyFill="1" applyBorder="0" applyAlignment="1">
      <x:alignment vertical="top" wrapText="1"/>
    </x:xf>
    <x:xf numFmtId="0" fontId="9" fillId="5" xfId="0" applyNumberFormat="1" applyFont="1" applyFill="1" applyBorder="0" applyAlignment="1">
      <x:alignment vertical="top" wrapText="1"/>
    </x:xf>
    <x:xf numFmtId="0" fontId="15" fillId="113" xfId="0" applyNumberFormat="1" applyFont="1" applyFill="1" applyBorder="0" applyAlignment="1">
      <x:alignment vertical="top" wrapText="1"/>
    </x:xf>
    <x:xf numFmtId="0" fontId="10" fillId="3" xfId="0" applyNumberFormat="1" applyFont="1" applyFill="1" applyBorder="0" applyAlignment="1">
      <x:alignment horizontal="center" vertical="top" wrapText="1"/>
    </x:xf>
    <x:xf numFmtId="200" fontId="10" fillId="3" xfId="0" applyNumberFormat="1" applyFont="1" applyFill="1" applyBorder="0" applyAlignment="1">
      <x:alignment horizontal="center" vertical="top" wrapText="1"/>
    </x:xf>
    <x:xf numFmtId="200" fontId="14" fillId="3" xfId="0" applyNumberFormat="1" applyFont="1" applyFill="1" applyBorder="0" applyAlignment="1">
      <x:alignment horizontal="center" vertical="top" wrapText="1"/>
    </x:xf>
    <x:xf numFmtId="200" fontId="14" fillId="3" xfId="0" applyNumberFormat="1" applyFont="1" applyFill="1" applyBorder="0" applyAlignment="1">
      <x:alignment horizontal="center" vertical="center" wrapText="1"/>
    </x:xf>
    <x:xf numFmtId="0" fontId="16" fillId="112" xfId="0" applyNumberFormat="1" applyFont="1" applyFill="1" applyBorder="0" applyAlignment="1">
      <x:alignment vertical="top" wrapText="1"/>
    </x:xf>
    <x:xf numFmtId="0" fontId="17" fillId="112" xfId="0" applyNumberFormat="1" applyFont="1" applyFill="1" applyBorder="0" applyAlignment="1">
      <x:alignment vertical="top" wrapText="1"/>
    </x:xf>
    <x:xf numFmtId="0" fontId="18" fillId="113" xfId="0" applyNumberFormat="1" applyFont="1" applyFill="1" applyBorder="0" applyAlignment="1">
      <x:alignment vertical="top" wrapText="1"/>
    </x:xf>
    <x:xf numFmtId="0" fontId="17" fillId="113" xfId="0" applyNumberFormat="1" applyFont="1" applyFill="1" applyBorder="0" applyAlignment="1">
      <x:alignment vertical="top" wrapText="1"/>
    </x:xf>
    <x:xf numFmtId="0" fontId="17" fillId="3" xfId="0" applyNumberFormat="1" applyFont="1" applyFill="1" applyBorder="0" applyAlignment="1">
      <x:alignment vertical="top" wrapText="1"/>
    </x:xf>
    <x:xf numFmtId="200" fontId="17" fillId="3" xfId="0" applyNumberFormat="1" applyFont="1" applyFill="1" applyBorder="0" applyAlignment="1">
      <x:alignment vertical="top" wrapText="1"/>
    </x:xf>
    <x:xf numFmtId="200" fontId="14" fillId="3" xfId="0" applyNumberFormat="1" applyFont="1" applyFill="1" applyBorder="0" applyAlignment="1">
      <x:alignment vertical="top" wrapText="1"/>
    </x:xf>
    <x:xf numFmtId="0" fontId="17" fillId="3" xfId="0" applyNumberFormat="1" applyFont="1" applyFill="1" applyBorder="0" applyAlignment="1">
      <x:alignment horizontal="center" vertical="top" wrapText="1"/>
    </x:xf>
    <x:xf numFmtId="202" fontId="10" fillId="0" xfId="0" applyNumberFormat="1" applyFont="1" applyFill="1" applyBorder="0" applyAlignment="1">
      <x:alignment vertical="top" wrapText="1"/>
    </x:xf>
    <x:xf numFmtId="202" fontId="10" fillId="0" xfId="0" applyNumberFormat="1" applyFont="1" applyFill="1" applyBorder="0" applyAlignment="1">
      <x:alignment wrapText="1"/>
    </x:xf>
    <x:xf numFmtId="202" fontId="10" fillId="5" xfId="0" applyNumberFormat="1" applyFont="1" applyFill="1" applyBorder="0" applyAlignment="1">
      <x:alignment vertical="top" wrapText="1"/>
    </x:xf>
    <x:xf numFmtId="0" fontId="9" fillId="119" xfId="0" applyNumberFormat="1" applyFont="1" applyFill="1" applyBorder="0" applyAlignment="1">
      <x:alignment vertical="top" wrapText="1"/>
    </x:xf>
    <x:xf numFmtId="0" fontId="11" fillId="119" xfId="0" applyNumberFormat="1" applyFont="1" applyFill="1" applyBorder="0" applyAlignment="1">
      <x:alignment vertical="top" wrapText="1"/>
    </x:xf>
    <x:xf numFmtId="0" fontId="11" fillId="119" xfId="0" applyNumberFormat="1" applyFont="1" applyFill="1" applyBorder="0" applyAlignment="1">
      <x:alignment vertical="center" wrapText="1"/>
    </x:xf>
    <x:xf numFmtId="0" fontId="15" fillId="120" xfId="0" applyNumberFormat="1" applyFont="1" applyFill="1" applyBorder="0" applyAlignment="1">
      <x:alignment vertical="top" wrapText="1"/>
    </x:xf>
    <x:xf numFmtId="0" fontId="13" fillId="120" xfId="0" applyNumberFormat="1" applyFont="1" applyFill="1" applyBorder="0" applyAlignment="1">
      <x:alignment vertical="top" wrapText="1"/>
    </x:xf>
    <x:xf numFmtId="0" fontId="13" fillId="120" xfId="0" applyNumberFormat="1" applyFont="1" applyFill="1" applyBorder="0" applyAlignment="1">
      <x:alignment vertical="center" wrapText="1"/>
    </x:xf>
    <x:xf numFmtId="0" fontId="9" fillId="121" xfId="0" applyNumberFormat="1" applyFont="1" applyFill="1" applyBorder="0" applyAlignment="1">
      <x:alignment vertical="top" wrapText="1"/>
    </x:xf>
    <x:xf numFmtId="0" fontId="2" fillId="121" xfId="0" applyNumberFormat="1" applyFont="1" applyFill="1" applyBorder="0" applyAlignment="1">
      <x:alignment vertical="top" wrapText="1"/>
    </x:xf>
    <x:xf numFmtId="0" fontId="2" fillId="121" xfId="0" applyNumberFormat="1" applyFont="1" applyFill="1" applyBorder="0" applyAlignment="1">
      <x:alignment vertical="center" wrapText="1"/>
    </x:xf>
    <x:xf numFmtId="0" fontId="10" fillId="122" xfId="0" applyNumberFormat="1" applyFont="1" applyFill="1" applyBorder="0" applyAlignment="1">
      <x:alignment vertical="top" wrapText="1"/>
    </x:xf>
    <x:xf numFmtId="0" fontId="14" fillId="122" xfId="0" applyNumberFormat="1" applyFont="1" applyFill="1" applyBorder="0" applyAlignment="1">
      <x:alignment vertical="top" wrapText="1"/>
    </x:xf>
    <x:xf numFmtId="0" fontId="14" fillId="122" xfId="0" applyNumberFormat="1" applyFont="1" applyFill="1" applyBorder="0" applyAlignment="1">
      <x:alignment horizontal="center" vertical="top" wrapText="1"/>
    </x:xf>
    <x:xf numFmtId="0" fontId="14" fillId="122" xfId="0" applyNumberFormat="1" applyFont="1" applyFill="1" applyBorder="0" applyAlignment="1">
      <x:alignment horizontal="center" vertical="center" wrapText="1"/>
    </x:xf>
    <x:xf numFmtId="202" fontId="10" fillId="122" xfId="0" applyNumberFormat="1" applyFont="1" applyFill="1" applyBorder="0" applyAlignment="1">
      <x:alignment vertical="top" wrapText="1"/>
    </x:xf>
    <x:xf numFmtId="202" fontId="14" fillId="122" xfId="0" applyNumberFormat="1" applyFont="1" applyFill="1" applyBorder="0" applyAlignment="1">
      <x:alignment vertical="top" wrapText="1"/>
    </x:xf>
    <x:xf numFmtId="202" fontId="14" fillId="122" xfId="0" applyNumberFormat="1" applyFont="1" applyFill="1" applyBorder="0" applyAlignment="1">
      <x:alignment horizontal="center" vertical="top" wrapText="1"/>
    </x:xf>
    <x:xf numFmtId="202" fontId="14" fillId="122" xfId="0" applyNumberFormat="1" applyFont="1" applyFill="1" applyBorder="0" applyAlignment="1">
      <x:alignment horizontal="center" vertical="center" wrapText="1"/>
    </x:xf>
    <x:xf numFmtId="0" fontId="9" fillId="122" xfId="0" applyNumberFormat="1" applyFont="1" applyFill="1" applyBorder="0" applyAlignment="1">
      <x:alignment vertical="top" wrapText="1"/>
    </x:xf>
    <x:xf numFmtId="0" fontId="16" fillId="3" xfId="0" applyNumberFormat="1" applyFont="1" applyFill="1" applyBorder="0" applyAlignment="1">
      <x:alignment wrapText="1"/>
    </x:xf>
    <x:xf numFmtId="0" fontId="16" fillId="5" xfId="0" applyNumberFormat="1" applyFont="1" applyFill="1" applyBorder="0"/>
    <x:xf numFmtId="0" fontId="17" fillId="7" borderId="0" xfId="0" applyNumberFormat="1" applyFont="1" applyFill="1" applyBorder="1" applyAlignment="1">
      <x:alignment wrapText="1"/>
    </x:xf>
    <x:xf numFmtId="0" fontId="17" fillId="7" xfId="0" applyNumberFormat="1" applyFont="1" applyFill="1" applyBorder="0" applyAlignment="1">
      <x:alignment wrapText="1"/>
    </x:xf>
    <x:xf numFmtId="0" fontId="16" fillId="5" xfId="0" applyNumberFormat="1" applyFont="1" applyFill="1" applyBorder="0" applyAlignment="1">
      <x:alignment wrapText="1"/>
    </x:xf>
    <x:xf numFmtId="0" fontId="16" fillId="3" xfId="0" applyNumberFormat="1" applyFont="1" applyFill="1" applyBorder="0" applyAlignment="1">
      <x:alignment vertical="top" wrapText="1"/>
    </x:xf>
    <x:xf numFmtId="0" fontId="16" fillId="5" xfId="0" applyNumberFormat="1" applyFont="1" applyFill="1" applyBorder="0" applyAlignment="1">
      <x:alignment vertical="top" wrapText="1"/>
    </x:xf>
    <x:xf numFmtId="0" fontId="17" fillId="7" xfId="0" applyNumberFormat="1" applyFont="1" applyFill="1" applyBorder="0" applyAlignment="1">
      <x:alignment vertical="top" wrapText="1"/>
    </x:xf>
    <x:xf numFmtId="0" fontId="16" fillId="119" xfId="0" applyNumberFormat="1" applyFont="1" applyFill="1" applyBorder="0" applyAlignment="1">
      <x:alignment vertical="top" wrapText="1"/>
    </x:xf>
    <x:xf numFmtId="0" fontId="18" fillId="120" xfId="0" applyNumberFormat="1" applyFont="1" applyFill="1" applyBorder="0" applyAlignment="1">
      <x:alignment vertical="top" wrapText="1"/>
    </x:xf>
    <x:xf numFmtId="0" fontId="16" fillId="121" xfId="0" applyNumberFormat="1" applyFont="1" applyFill="1" applyBorder="0" applyAlignment="1">
      <x:alignment vertical="top" wrapText="1"/>
    </x:xf>
    <x:xf numFmtId="0" fontId="16" fillId="122" xfId="0" applyNumberFormat="1" applyFont="1" applyFill="1" applyBorder="0" applyAlignment="1">
      <x:alignment vertical="top" wrapText="1"/>
    </x:xf>
    <x:xf numFmtId="0" fontId="17" fillId="122" xfId="0" applyNumberFormat="1" applyFont="1" applyFill="1" applyBorder="0" applyAlignment="1">
      <x:alignment vertical="top" wrapText="1"/>
    </x:xf>
    <x:xf numFmtId="0" fontId="16" fillId="122" xfId="0" applyNumberFormat="1" applyFont="1" applyFill="1" applyBorder="0" applyAlignment="1">
      <x:alignment horizontal="center" vertical="top" wrapText="1"/>
    </x:xf>
    <x:xf numFmtId="0" fontId="16" fillId="3" xfId="0" applyNumberFormat="1" applyFont="1" applyFill="1" applyBorder="0"/>
    <x:xf numFmtId="202" fontId="17" fillId="0" xfId="0" applyNumberFormat="1" applyFont="1" applyFill="1" applyBorder="0"/>
    <x:xf numFmtId="201" fontId="17" fillId="0" xfId="0" applyNumberFormat="1" applyFont="1" applyFill="1" applyBorder="0" applyAlignment="1">
      <x:alignment wrapText="1"/>
    </x:xf>
    <x:xf numFmtId="0" fontId="16" fillId="3" borderId="0" xfId="0" applyNumberFormat="1" applyFont="1" applyFill="1" applyBorder="1" applyAlignment="1">
      <x:alignment wrapText="1"/>
    </x:xf>
    <x:xf numFmtId="0" fontId="17" fillId="5" borderId="0" xfId="0" applyNumberFormat="1" applyFont="1" applyFill="1" applyBorder="1" applyAlignment="1">
      <x:alignment wrapText="1"/>
    </x:xf>
    <x:xf numFmtId="0" fontId="17" fillId="5" xfId="0" applyNumberFormat="1" applyFont="1" applyFill="1" applyBorder="0" applyAlignment="1">
      <x:alignment wrapText="1"/>
    </x:xf>
    <x:xf numFmtId="202" fontId="17" fillId="0" xfId="0" applyNumberFormat="1" applyFont="1" applyFill="1" applyBorder="0" applyAlignment="1">
      <x:alignment wrapText="1"/>
    </x:xf>
    <x:xf numFmtId="202" fontId="17" fillId="0" xfId="0" applyNumberFormat="1" applyFont="1" applyFill="1" applyBorder="0" applyAlignment="1">
      <x:alignment vertical="top" wrapText="1"/>
    </x:xf>
    <x:xf numFmtId="201" fontId="17" fillId="0" xfId="0" applyNumberFormat="1" applyFont="1" applyFill="1" applyBorder="0" applyAlignment="1">
      <x:alignment vertical="top" wrapText="1"/>
    </x:xf>
    <x:xf numFmtId="0" fontId="17" fillId="5" xfId="0" applyNumberFormat="1" applyFont="1" applyFill="1" applyBorder="0" applyAlignment="1">
      <x:alignment vertical="top" wrapText="1"/>
    </x:xf>
    <x:xf numFmtId="0" fontId="16" fillId="3" borderId="0" xfId="0" applyNumberFormat="1" applyFont="1" applyFill="1" applyBorder="1"/>
    <x:xf numFmtId="0" fontId="16" fillId="7" borderId="0" xfId="0" applyNumberFormat="1" applyFont="1" applyFill="1" applyBorder="1" applyAlignment="1">
      <x:alignment wrapText="1"/>
    </x:xf>
    <x:xf numFmtId="0" fontId="16" fillId="7" xfId="0" applyNumberFormat="1" applyFont="1" applyFill="1" applyBorder="0" applyAlignment="1">
      <x:alignment wrapText="1"/>
    </x:xf>
    <x:xf numFmtId="0" fontId="16" fillId="7" xfId="0" applyNumberFormat="1" applyFont="1" applyFill="1" applyBorder="0" applyAlignment="1">
      <x:alignment vertical="top" wrapText="1"/>
    </x:xf>
    <x:xf numFmtId="202" fontId="10" fillId="3" xfId="0" applyNumberFormat="1" applyFont="1" applyFill="1" applyBorder="0" applyAlignment="1">
      <x:alignment vertical="top" wrapText="1"/>
    </x:xf>
    <x:xf numFmtId="202" fontId="14" fillId="3" xfId="0" applyNumberFormat="1" applyFont="1" applyFill="1" applyBorder="0" applyAlignment="1">
      <x:alignment vertical="top" wrapText="1"/>
    </x:xf>
    <x:xf numFmtId="202" fontId="14" fillId="3" xfId="0" applyNumberFormat="1" applyFont="1" applyFill="1" applyBorder="0" applyAlignment="1">
      <x:alignment horizontal="center" vertical="top" wrapText="1"/>
    </x:xf>
    <x:xf numFmtId="202" fontId="14" fillId="3" xfId="0" applyNumberFormat="1" applyFont="1" applyFill="1" applyBorder="0" applyAlignment="1">
      <x:alignment horizontal="center" vertical="center" wrapText="1"/>
    </x:xf>
    <x:xf numFmtId="0" fontId="9" fillId="123" xfId="0" applyNumberFormat="1" applyFont="1" applyFill="1" applyBorder="0" applyAlignment="1">
      <x:alignment vertical="top" wrapText="1"/>
    </x:xf>
    <x:xf numFmtId="0" fontId="11" fillId="123" xfId="0" applyNumberFormat="1" applyFont="1" applyFill="1" applyBorder="0" applyAlignment="1">
      <x:alignment vertical="top" wrapText="1"/>
    </x:xf>
    <x:xf numFmtId="0" fontId="11" fillId="123" xfId="0" applyNumberFormat="1" applyFont="1" applyFill="1" applyBorder="0" applyAlignment="1">
      <x:alignment vertical="center" wrapText="1"/>
    </x:xf>
    <x:xf numFmtId="0" fontId="15" fillId="124" xfId="0" applyNumberFormat="1" applyFont="1" applyFill="1" applyBorder="0" applyAlignment="1">
      <x:alignment vertical="top" wrapText="1"/>
    </x:xf>
    <x:xf numFmtId="0" fontId="13" fillId="124" xfId="0" applyNumberFormat="1" applyFont="1" applyFill="1" applyBorder="0" applyAlignment="1">
      <x:alignment vertical="top" wrapText="1"/>
    </x:xf>
    <x:xf numFmtId="0" fontId="13" fillId="124" xfId="0" applyNumberFormat="1" applyFont="1" applyFill="1" applyBorder="0" applyAlignment="1">
      <x:alignment vertical="center" wrapText="1"/>
    </x:xf>
    <x:xf numFmtId="0" fontId="9" fillId="125" xfId="0" applyNumberFormat="1" applyFont="1" applyFill="1" applyBorder="0" applyAlignment="1">
      <x:alignment vertical="top" wrapText="1"/>
    </x:xf>
    <x:xf numFmtId="0" fontId="2" fillId="125" xfId="0" applyNumberFormat="1" applyFont="1" applyFill="1" applyBorder="0" applyAlignment="1">
      <x:alignment vertical="top" wrapText="1"/>
    </x:xf>
    <x:xf numFmtId="0" fontId="2" fillId="125" xfId="0" applyNumberFormat="1" applyFont="1" applyFill="1" applyBorder="0" applyAlignment="1">
      <x:alignment vertical="center" wrapText="1"/>
    </x:xf>
    <x:xf numFmtId="0" fontId="9" fillId="126" xfId="0" applyNumberFormat="1" applyFont="1" applyFill="1" applyBorder="0" applyAlignment="1">
      <x:alignment vertical="top" wrapText="1"/>
    </x:xf>
    <x:xf numFmtId="0" fontId="10" fillId="126" xfId="0" applyNumberFormat="1" applyFont="1" applyFill="1" applyBorder="0" applyAlignment="1">
      <x:alignment vertical="top" wrapText="1"/>
    </x:xf>
    <x:xf numFmtId="0" fontId="14" fillId="126" xfId="0" applyNumberFormat="1" applyFont="1" applyFill="1" applyBorder="0" applyAlignment="1">
      <x:alignment vertical="top" wrapText="1"/>
    </x:xf>
    <x:xf numFmtId="0" fontId="14" fillId="126" xfId="0" applyNumberFormat="1" applyFont="1" applyFill="1" applyBorder="0" applyAlignment="1">
      <x:alignment horizontal="center" vertical="top" wrapText="1"/>
    </x:xf>
    <x:xf numFmtId="0" fontId="14" fillId="126" xfId="0" applyNumberFormat="1" applyFont="1" applyFill="1" applyBorder="0" applyAlignment="1">
      <x:alignment horizontal="center" vertical="center" wrapText="1"/>
    </x:xf>
    <x:xf numFmtId="0" fontId="10" fillId="0" xfId="0" applyNumberFormat="1" applyFont="1" applyFill="1" applyBorder="0" applyAlignment="1">
      <x:alignment wrapText="1"/>
      <x:extLst>
        <x:ext uri="{C7286773-470A-42A8-94C5-96B5CB345126}">
          <xfpb:xfComplement xmlns:xfpb="http://schemas.microsoft.com/office/spreadsheetml/2022/featurepropertybag" i="0"/>
        </x:ext>
      </x:extLst>
    </x:xf>
    <x:xf numFmtId="0" fontId="10" fillId="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9" fillId="5" xfId="0" applyNumberFormat="1" applyFont="1" applyFill="1" applyBorder="0"/>
    <x:xf numFmtId="0" fontId="16" fillId="127" xfId="0" applyNumberFormat="1" applyFont="1" applyFill="1" applyBorder="0" applyAlignment="1">
      <x:alignment vertical="top" wrapText="1"/>
    </x:xf>
    <x:xf numFmtId="0" fontId="11" fillId="127" xfId="0" applyNumberFormat="1" applyFont="1" applyFill="1" applyBorder="0" applyAlignment="1">
      <x:alignment vertical="top" wrapText="1"/>
    </x:xf>
    <x:xf numFmtId="0" fontId="11" fillId="127" xfId="0" applyNumberFormat="1" applyFont="1" applyFill="1" applyBorder="0" applyAlignment="1">
      <x:alignment vertical="center" wrapText="1"/>
    </x:xf>
    <x:xf numFmtId="0" fontId="18" fillId="128" xfId="0" applyNumberFormat="1" applyFont="1" applyFill="1" applyBorder="0" applyAlignment="1">
      <x:alignment vertical="top" wrapText="1"/>
    </x:xf>
    <x:xf numFmtId="0" fontId="13" fillId="128" xfId="0" applyNumberFormat="1" applyFont="1" applyFill="1" applyBorder="0" applyAlignment="1">
      <x:alignment vertical="top" wrapText="1"/>
    </x:xf>
    <x:xf numFmtId="0" fontId="13" fillId="128" xfId="0" applyNumberFormat="1" applyFont="1" applyFill="1" applyBorder="0" applyAlignment="1">
      <x:alignment vertical="center" wrapText="1"/>
    </x:xf>
    <x:xf numFmtId="0" fontId="16" fillId="129" xfId="0" applyNumberFormat="1" applyFont="1" applyFill="1" applyBorder="0" applyAlignment="1">
      <x:alignment vertical="top" wrapText="1"/>
    </x:xf>
    <x:xf numFmtId="0" fontId="2" fillId="129" xfId="0" applyNumberFormat="1" applyFont="1" applyFill="1" applyBorder="0" applyAlignment="1">
      <x:alignment vertical="top" wrapText="1"/>
    </x:xf>
    <x:xf numFmtId="0" fontId="2" fillId="129" xfId="0" applyNumberFormat="1" applyFont="1" applyFill="1" applyBorder="0" applyAlignment="1">
      <x:alignment vertical="center" wrapText="1"/>
    </x:xf>
    <x:xf numFmtId="0" fontId="16" fillId="130" xfId="0" applyNumberFormat="1" applyFont="1" applyFill="1" applyBorder="0" applyAlignment="1">
      <x:alignment vertical="top" wrapText="1"/>
    </x:xf>
    <x:xf numFmtId="0" fontId="17" fillId="130" xfId="0" applyNumberFormat="1" applyFont="1" applyFill="1" applyBorder="0" applyAlignment="1">
      <x:alignment vertical="top" wrapText="1"/>
    </x:xf>
    <x:xf numFmtId="0" fontId="14" fillId="130" xfId="0" applyNumberFormat="1" applyFont="1" applyFill="1" applyBorder="0" applyAlignment="1">
      <x:alignment vertical="top" wrapText="1"/>
    </x:xf>
    <x:xf numFmtId="0" fontId="14" fillId="130" xfId="0" applyNumberFormat="1" applyFont="1" applyFill="1" applyBorder="0" applyAlignment="1">
      <x:alignment horizontal="center" vertical="top" wrapText="1"/>
    </x:xf>
    <x:xf numFmtId="0" fontId="14" fillId="130" xfId="0" applyNumberFormat="1" applyFont="1" applyFill="1" applyBorder="0" applyAlignment="1">
      <x:alignment horizontal="center" vertical="center" wrapText="1"/>
    </x:xf>
    <x:xf numFmtId="0" fontId="9" fillId="127" xfId="0" applyNumberFormat="1" applyFont="1" applyFill="1" applyBorder="0" applyAlignment="1">
      <x:alignment vertical="top" wrapText="1"/>
    </x:xf>
    <x:xf numFmtId="0" fontId="15" fillId="128" xfId="0" applyNumberFormat="1" applyFont="1" applyFill="1" applyBorder="0" applyAlignment="1">
      <x:alignment vertical="top" wrapText="1"/>
    </x:xf>
    <x:xf numFmtId="0" fontId="9" fillId="129" xfId="0" applyNumberFormat="1" applyFont="1" applyFill="1" applyBorder="0" applyAlignment="1">
      <x:alignment vertical="top" wrapText="1"/>
    </x:xf>
    <x:xf numFmtId="0" fontId="9" fillId="130" xfId="0" applyNumberFormat="1" applyFont="1" applyFill="1" applyBorder="0" applyAlignment="1">
      <x:alignment vertical="top" wrapText="1"/>
    </x:xf>
    <x:xf numFmtId="0" fontId="10" fillId="130" xfId="0" applyNumberFormat="1" applyFont="1" applyFill="1" applyBorder="0" applyAlignment="1">
      <x:alignment vertical="top" wrapText="1"/>
    </x:xf>
    <x:xf numFmtId="0" fontId="9" fillId="3" borderId="0" xfId="0" applyNumberFormat="1" applyFont="1" applyFill="1" applyBorder="1"/>
    <x:xf numFmtId="0" fontId="9" fillId="131" xfId="0" applyNumberFormat="1" applyFont="1" applyFill="1" applyBorder="0" applyAlignment="1">
      <x:alignment vertical="top" wrapText="1"/>
    </x:xf>
    <x:xf numFmtId="0" fontId="11" fillId="131" xfId="0" applyNumberFormat="1" applyFont="1" applyFill="1" applyBorder="0" applyAlignment="1">
      <x:alignment vertical="top" wrapText="1"/>
    </x:xf>
    <x:xf numFmtId="0" fontId="11" fillId="131" xfId="0" applyNumberFormat="1" applyFont="1" applyFill="1" applyBorder="0" applyAlignment="1">
      <x:alignment vertical="center" wrapText="1"/>
    </x:xf>
    <x:xf numFmtId="0" fontId="15" fillId="132" xfId="0" applyNumberFormat="1" applyFont="1" applyFill="1" applyBorder="0" applyAlignment="1">
      <x:alignment vertical="top" wrapText="1"/>
    </x:xf>
    <x:xf numFmtId="0" fontId="13" fillId="132" xfId="0" applyNumberFormat="1" applyFont="1" applyFill="1" applyBorder="0" applyAlignment="1">
      <x:alignment vertical="top" wrapText="1"/>
    </x:xf>
    <x:xf numFmtId="0" fontId="13" fillId="132" xfId="0" applyNumberFormat="1" applyFont="1" applyFill="1" applyBorder="0" applyAlignment="1">
      <x:alignment vertical="center" wrapText="1"/>
    </x:xf>
    <x:xf numFmtId="0" fontId="9" fillId="133" xfId="0" applyNumberFormat="1" applyFont="1" applyFill="1" applyBorder="0" applyAlignment="1">
      <x:alignment vertical="top" wrapText="1"/>
    </x:xf>
    <x:xf numFmtId="0" fontId="2" fillId="133" xfId="0" applyNumberFormat="1" applyFont="1" applyFill="1" applyBorder="0" applyAlignment="1">
      <x:alignment vertical="top" wrapText="1"/>
    </x:xf>
    <x:xf numFmtId="0" fontId="2" fillId="133" xfId="0" applyNumberFormat="1" applyFont="1" applyFill="1" applyBorder="0" applyAlignment="1">
      <x:alignment vertical="center" wrapText="1"/>
    </x:xf>
    <x:xf numFmtId="0" fontId="10" fillId="134" xfId="0" applyNumberFormat="1" applyFont="1" applyFill="1" applyBorder="0" applyAlignment="1">
      <x:alignment vertical="top" wrapText="1"/>
    </x:xf>
    <x:xf numFmtId="0" fontId="14" fillId="134" xfId="0" applyNumberFormat="1" applyFont="1" applyFill="1" applyBorder="0" applyAlignment="1">
      <x:alignment vertical="top" wrapText="1"/>
    </x:xf>
    <x:xf numFmtId="0" fontId="14" fillId="134" xfId="0" applyNumberFormat="1" applyFont="1" applyFill="1" applyBorder="0" applyAlignment="1">
      <x:alignment horizontal="center" vertical="top" wrapText="1"/>
    </x:xf>
    <x:xf numFmtId="0" fontId="14" fillId="134" xfId="0" applyNumberFormat="1" applyFont="1" applyFill="1" applyBorder="0" applyAlignment="1">
      <x:alignment horizontal="center" vertical="center" wrapText="1"/>
    </x:xf>
    <x:xf numFmtId="0" fontId="9" fillId="134" xfId="0" applyNumberFormat="1" applyFont="1" applyFill="1" applyBorder="0" applyAlignment="1">
      <x:alignment vertical="top" wrapText="1"/>
    </x:xf>
    <x:xf numFmtId="0" fontId="11" fillId="135" xfId="0" applyNumberFormat="1" applyFont="1" applyFill="1" applyBorder="0" applyAlignment="1">
      <x:alignment vertical="center" wrapText="1"/>
    </x:xf>
    <x:xf numFmtId="0" fontId="12" fillId="135" xfId="0" applyNumberFormat="1" applyFont="1" applyFill="1" applyBorder="0" applyAlignment="1">
      <x:alignment vertical="center" wrapText="1"/>
    </x:xf>
    <x:xf numFmtId="0" fontId="13" fillId="135" xfId="0" applyNumberFormat="1" applyFont="1" applyFill="1" applyBorder="0" applyAlignment="1">
      <x:alignment vertical="center" wrapText="1"/>
    </x:xf>
    <x:xf numFmtId="0" fontId="10" fillId="135" xfId="0" applyNumberFormat="1" applyFont="1" applyFill="1" applyBorder="0" applyAlignment="1">
      <x:alignment vertical="top" wrapText="1"/>
    </x:xf>
    <x:xf numFmtId="0" fontId="14" fillId="135" xfId="0" applyNumberFormat="1" applyFont="1" applyFill="1" applyBorder="0" applyAlignment="1">
      <x:alignment horizontal="center" vertical="center" wrapText="1"/>
    </x:xf>
    <x:xf numFmtId="0" fontId="9" fillId="135" xfId="0" applyNumberFormat="1" applyFont="1" applyFill="1" applyBorder="0" applyAlignment="1">
      <x:alignment vertical="center" wrapText="1"/>
    </x:xf>
    <x:xf numFmtId="0" fontId="19" fillId="135" xfId="0" applyNumberFormat="1" applyFont="1" applyFill="1" applyBorder="0" applyAlignment="1">
      <x:alignment vertical="center" wrapText="1"/>
    </x:xf>
    <x:xf numFmtId="0" fontId="15" fillId="135" xfId="0" applyNumberFormat="1" applyFont="1" applyFill="1" applyBorder="0" applyAlignment="1">
      <x:alignment vertical="center" wrapText="1"/>
    </x:xf>
    <x:xf numFmtId="0" fontId="9" fillId="135" xfId="0" applyNumberFormat="1" applyFont="1" applyFill="1" applyBorder="0" applyAlignment="1">
      <x:alignment horizontal="center" vertical="center" wrapText="1"/>
    </x:xf>
    <x:xf numFmtId="0" fontId="9" fillId="135" xfId="0" applyNumberFormat="1" applyFont="1" applyFill="1" applyBorder="0" applyAlignment="1">
      <x:alignment vertical="top" wrapText="1"/>
    </x:xf>
    <x:xf numFmtId="0" fontId="19" fillId="135" xfId="0" applyNumberFormat="1" applyFont="1" applyFill="1" applyBorder="0" applyAlignment="1">
      <x:alignment vertical="top" wrapText="1"/>
    </x:xf>
    <x:xf numFmtId="0" fontId="15" fillId="135" xfId="0" applyNumberFormat="1" applyFont="1" applyFill="1" applyBorder="0" applyAlignment="1">
      <x:alignment vertical="top" wrapText="1"/>
    </x:xf>
    <x:xf numFmtId="0" fontId="9" fillId="135" xfId="0" applyNumberFormat="1" applyFont="1" applyFill="1" applyBorder="0" applyAlignment="1">
      <x:alignment horizontal="center" vertical="top" wrapText="1"/>
    </x:xf>
    <x:xf numFmtId="0" fontId="9" fillId="136" xfId="0" applyNumberFormat="1" applyFont="1" applyFill="1" applyBorder="0" applyAlignment="1">
      <x:alignment vertical="top" wrapText="1"/>
    </x:xf>
    <x:xf numFmtId="0" fontId="11" fillId="136" xfId="0" applyNumberFormat="1" applyFont="1" applyFill="1" applyBorder="0" applyAlignment="1">
      <x:alignment vertical="top" wrapText="1"/>
    </x:xf>
    <x:xf numFmtId="0" fontId="11" fillId="136" xfId="0" applyNumberFormat="1" applyFont="1" applyFill="1" applyBorder="0" applyAlignment="1">
      <x:alignment vertical="center" wrapText="1"/>
    </x:xf>
    <x:xf numFmtId="0" fontId="19" fillId="137" xfId="0" applyNumberFormat="1" applyFont="1" applyFill="1" applyBorder="0" applyAlignment="1">
      <x:alignment vertical="top" wrapText="1"/>
    </x:xf>
    <x:xf numFmtId="0" fontId="15" fillId="137" xfId="0" applyNumberFormat="1" applyFont="1" applyFill="1" applyBorder="0" applyAlignment="1">
      <x:alignment vertical="top" wrapText="1"/>
    </x:xf>
    <x:xf numFmtId="0" fontId="12" fillId="137" xfId="0" applyNumberFormat="1" applyFont="1" applyFill="1" applyBorder="0" applyAlignment="1">
      <x:alignment vertical="top" wrapText="1"/>
    </x:xf>
    <x:xf numFmtId="0" fontId="13" fillId="137" xfId="0" applyNumberFormat="1" applyFont="1" applyFill="1" applyBorder="0" applyAlignment="1">
      <x:alignment vertical="top" wrapText="1"/>
    </x:xf>
    <x:xf numFmtId="0" fontId="12" fillId="137" xfId="0" applyNumberFormat="1" applyFont="1" applyFill="1" applyBorder="0" applyAlignment="1">
      <x:alignment vertical="center" wrapText="1"/>
    </x:xf>
    <x:xf numFmtId="0" fontId="13" fillId="137" xfId="0" applyNumberFormat="1" applyFont="1" applyFill="1" applyBorder="0" applyAlignment="1">
      <x:alignment vertical="center" wrapText="1"/>
    </x:xf>
    <x:xf numFmtId="0" fontId="10" fillId="138" xfId="0" applyNumberFormat="1" applyFont="1" applyFill="1" applyBorder="0" applyAlignment="1">
      <x:alignment vertical="top" wrapText="1"/>
    </x:xf>
    <x:xf numFmtId="0" fontId="14" fillId="138" xfId="0" applyNumberFormat="1" applyFont="1" applyFill="1" applyBorder="0" applyAlignment="1">
      <x:alignment vertical="top" wrapText="1"/>
    </x:xf>
    <x:xf numFmtId="0" fontId="14" fillId="138" xfId="0" applyNumberFormat="1" applyFont="1" applyFill="1" applyBorder="0" applyAlignment="1">
      <x:alignment horizontal="center" vertical="top" wrapText="1"/>
    </x:xf>
    <x:xf numFmtId="0" fontId="14" fillId="138" xfId="0" applyNumberFormat="1" applyFont="1" applyFill="1" applyBorder="0" applyAlignment="1">
      <x:alignment horizontal="center" vertical="center" wrapText="1"/>
    </x:xf>
    <x:xf numFmtId="0" fontId="9" fillId="138" xfId="0" applyNumberFormat="1" applyFont="1" applyFill="1" applyBorder="0" applyAlignment="1">
      <x:alignment horizontal="center" vertical="top" wrapText="1"/>
    </x:xf>
    <x:xf numFmtId="0" fontId="19" fillId="113" xfId="0" applyNumberFormat="1" applyFont="1" applyFill="1" applyBorder="0" applyAlignment="1">
      <x:alignment vertical="top" wrapText="1"/>
    </x:xf>
    <x:xf numFmtId="0" fontId="11" fillId="139" xfId="0" applyNumberFormat="1" applyFont="1" applyFill="1" applyBorder="0" applyAlignment="1">
      <x:alignment vertical="center" wrapText="1"/>
    </x:xf>
    <x:xf numFmtId="0" fontId="13" fillId="139" xfId="0" applyNumberFormat="1" applyFont="1" applyFill="1" applyBorder="0" applyAlignment="1">
      <x:alignment vertical="center" wrapText="1"/>
    </x:xf>
    <x:xf numFmtId="0" fontId="10" fillId="139" xfId="0" applyNumberFormat="1" applyFont="1" applyFill="1" applyBorder="0" applyAlignment="1">
      <x:alignment vertical="top" wrapText="1"/>
    </x:xf>
    <x:xf numFmtId="0" fontId="14" fillId="139" xfId="0" applyNumberFormat="1" applyFont="1" applyFill="1" applyBorder="0" applyAlignment="1">
      <x:alignment horizontal="center" vertical="center" wrapText="1"/>
    </x:xf>
    <x:xf numFmtId="0" fontId="10" fillId="139" xfId="0" applyNumberFormat="1" applyFont="1" applyFill="1" applyBorder="0" applyAlignment="1">
      <x:alignment horizontal="center" vertical="top" wrapText="1"/>
    </x:xf>
    <x:xf numFmtId="200" fontId="10" fillId="139" xfId="0" applyNumberFormat="1" applyFont="1" applyFill="1" applyBorder="0" applyAlignment="1">
      <x:alignment vertical="top" wrapText="1"/>
    </x:xf>
    <x:xf numFmtId="201" fontId="10" fillId="139" xfId="0" applyNumberFormat="1" applyFont="1" applyFill="1" applyBorder="0" applyAlignment="1">
      <x:alignment vertical="top" wrapText="1"/>
    </x:xf>
    <x:xf numFmtId="200" fontId="10" fillId="139" xfId="0" applyNumberFormat="1" applyFont="1" applyFill="1" applyBorder="0" applyAlignment="1">
      <x:alignment horizontal="center" vertical="top" wrapText="1"/>
    </x:xf>
    <x:xf numFmtId="200" fontId="14" fillId="139" xfId="0" applyNumberFormat="1" applyFont="1" applyFill="1" applyBorder="0" applyAlignment="1">
      <x:alignment horizontal="center" vertical="center" wrapText="1"/>
    </x:xf>
    <x:xf numFmtId="0" fontId="2" fillId="139" xfId="0" applyNumberFormat="1" applyFont="1" applyFill="1" applyBorder="0" applyAlignment="1">
      <x:alignment vertical="center" wrapText="1"/>
    </x:xf>
    <x:xf numFmtId="0" fontId="9" fillId="139" xfId="0" applyNumberFormat="1" applyFont="1" applyFill="1" applyBorder="0" applyAlignment="1">
      <x:alignment vertical="center" wrapText="1"/>
    </x:xf>
    <x:xf numFmtId="0" fontId="15" fillId="139" xfId="0" applyNumberFormat="1" applyFont="1" applyFill="1" applyBorder="0" applyAlignment="1">
      <x:alignment vertical="center" wrapText="1"/>
    </x:xf>
    <x:xf numFmtId="0" fontId="9" fillId="139" xfId="0" applyNumberFormat="1" applyFont="1" applyFill="1" applyBorder="0" applyAlignment="1">
      <x:alignment horizontal="center" vertical="center" wrapText="1"/>
    </x:xf>
    <x:xf numFmtId="200" fontId="9" fillId="139" xfId="0" applyNumberFormat="1" applyFont="1" applyFill="1" applyBorder="0" applyAlignment="1">
      <x:alignment horizontal="center" vertical="center" wrapText="1"/>
    </x:xf>
    <x:xf numFmtId="0" fontId="9" fillId="139" xfId="0" applyNumberFormat="1" applyFont="1" applyFill="1" applyBorder="0" applyAlignment="1">
      <x:alignment vertical="top" wrapText="1"/>
    </x:xf>
    <x:xf numFmtId="0" fontId="15" fillId="139" xfId="0" applyNumberFormat="1" applyFont="1" applyFill="1" applyBorder="0" applyAlignment="1">
      <x:alignment vertical="top" wrapText="1"/>
    </x:xf>
    <x:xf numFmtId="0" fontId="9" fillId="139" xfId="0" applyNumberFormat="1" applyFont="1" applyFill="1" applyBorder="0" applyAlignment="1">
      <x:alignment horizontal="center" vertical="top" wrapText="1"/>
    </x:xf>
    <x:xf numFmtId="200" fontId="9" fillId="139" xfId="0" applyNumberFormat="1" applyFont="1" applyFill="1" applyBorder="0" applyAlignment="1">
      <x:alignment horizontal="center" vertical="top" wrapText="1"/>
    </x:xf>
    <x:xf numFmtId="0" fontId="9" fillId="140" xfId="0" applyNumberFormat="1" applyFont="1" applyFill="1" applyBorder="0" applyAlignment="1">
      <x:alignment vertical="top" wrapText="1"/>
    </x:xf>
    <x:xf numFmtId="0" fontId="11" fillId="140" xfId="0" applyNumberFormat="1" applyFont="1" applyFill="1" applyBorder="0" applyAlignment="1">
      <x:alignment vertical="top" wrapText="1"/>
    </x:xf>
    <x:xf numFmtId="0" fontId="11" fillId="140" xfId="0" applyNumberFormat="1" applyFont="1" applyFill="1" applyBorder="0" applyAlignment="1">
      <x:alignment vertical="center" wrapText="1"/>
    </x:xf>
    <x:xf numFmtId="0" fontId="15" fillId="141" xfId="0" applyNumberFormat="1" applyFont="1" applyFill="1" applyBorder="0" applyAlignment="1">
      <x:alignment vertical="top" wrapText="1"/>
    </x:xf>
    <x:xf numFmtId="0" fontId="13" fillId="141" xfId="0" applyNumberFormat="1" applyFont="1" applyFill="1" applyBorder="0" applyAlignment="1">
      <x:alignment vertical="top" wrapText="1"/>
    </x:xf>
    <x:xf numFmtId="0" fontId="13" fillId="141" xfId="0" applyNumberFormat="1" applyFont="1" applyFill="1" applyBorder="0" applyAlignment="1">
      <x:alignment vertical="center" wrapText="1"/>
    </x:xf>
    <x:xf numFmtId="0" fontId="9" fillId="142" xfId="0" applyNumberFormat="1" applyFont="1" applyFill="1" applyBorder="0" applyAlignment="1">
      <x:alignment horizontal="center" vertical="top" wrapText="1"/>
    </x:xf>
    <x:xf numFmtId="0" fontId="14" fillId="142" xfId="0" applyNumberFormat="1" applyFont="1" applyFill="1" applyBorder="0" applyAlignment="1">
      <x:alignment horizontal="center" vertical="top" wrapText="1"/>
    </x:xf>
    <x:xf numFmtId="0" fontId="14" fillId="142" xfId="0" applyNumberFormat="1" applyFont="1" applyFill="1" applyBorder="0" applyAlignment="1">
      <x:alignment horizontal="center" vertical="center" wrapText="1"/>
    </x:xf>
    <x:xf numFmtId="0" fontId="9" fillId="143" xfId="0" applyNumberFormat="1" applyFont="1" applyFill="1" applyBorder="0" applyAlignment="1">
      <x:alignment vertical="top" wrapText="1"/>
    </x:xf>
    <x:xf numFmtId="0" fontId="2" fillId="143" xfId="0" applyNumberFormat="1" applyFont="1" applyFill="1" applyBorder="0" applyAlignment="1">
      <x:alignment vertical="top" wrapText="1"/>
    </x:xf>
    <x:xf numFmtId="0" fontId="2" fillId="143" xfId="0" applyNumberFormat="1" applyFont="1" applyFill="1" applyBorder="0" applyAlignment="1">
      <x:alignment vertical="center" wrapText="1"/>
    </x:xf>
    <x:xf numFmtId="0" fontId="17" fillId="139" xfId="0" applyNumberFormat="1" applyFont="1" applyFill="1" applyBorder="0" applyAlignment="1">
      <x:alignment vertical="top" wrapText="1"/>
    </x:xf>
    <x:xf numFmtId="0" fontId="16" fillId="139" xfId="0" applyNumberFormat="1" applyFont="1" applyFill="1" applyBorder="0" applyAlignment="1">
      <x:alignment vertical="top" wrapText="1"/>
    </x:xf>
    <x:xf numFmtId="200" fontId="17" fillId="139" xfId="0" applyNumberFormat="1" applyFont="1" applyFill="1" applyBorder="0" applyAlignment="1">
      <x:alignment vertical="top" wrapText="1"/>
    </x:xf>
    <x:xf numFmtId="0" fontId="17" fillId="139" xfId="0" applyNumberFormat="1" applyFont="1" applyFill="1" applyBorder="0" applyAlignment="1">
      <x:alignment horizontal="center" vertical="top" wrapText="1"/>
    </x:xf>
    <x:xf numFmtId="200" fontId="17" fillId="139" xfId="0" applyNumberFormat="1" applyFont="1" applyFill="1" applyBorder="0" applyAlignment="1">
      <x:alignment horizontal="center" vertical="top" wrapText="1"/>
    </x:xf>
    <x:xf numFmtId="0" fontId="17" fillId="139" xfId="0" applyNumberFormat="1" applyFont="1" applyFill="1" applyBorder="0" applyAlignment="1">
      <x:alignment horizontal="left" vertical="top" wrapText="1"/>
    </x:xf>
    <x:xf numFmtId="200" fontId="16" fillId="139" xfId="0" applyNumberFormat="1" applyFont="1" applyFill="1" applyBorder="0" applyAlignment="1">
      <x:alignment horizontal="center" vertical="top" wrapText="1"/>
    </x:xf>
    <x:xf numFmtId="0" fontId="16" fillId="139" xfId="0" applyNumberFormat="1" applyFont="1" applyFill="1" applyBorder="0" applyAlignment="1">
      <x:alignment horizontal="left" vertical="top" wrapText="1"/>
    </x:xf>
    <x:xf numFmtId="0" fontId="10" fillId="139" xfId="0" applyNumberFormat="1" applyFont="1" applyFill="1" applyBorder="0" applyAlignment="1">
      <x:alignment horizontal="left" vertical="top" wrapText="1"/>
    </x:xf>
    <x:xf numFmtId="0" fontId="9" fillId="139" xfId="0" applyNumberFormat="1" applyFont="1" applyFill="1" applyBorder="0" applyAlignment="1">
      <x:alignment horizontal="left" vertical="top" wrapText="1"/>
    </x:xf>
    <x:xf numFmtId="200" fontId="9" fillId="142" xfId="0" applyNumberFormat="1" applyFont="1" applyFill="1" applyBorder="0" applyAlignment="1">
      <x:alignment horizontal="center" vertical="top" wrapText="1"/>
    </x:xf>
    <x:xf numFmtId="200" fontId="14" fillId="142" xfId="0" applyNumberFormat="1" applyFont="1" applyFill="1" applyBorder="0" applyAlignment="1">
      <x:alignment horizontal="center" vertical="top" wrapText="1"/>
    </x:xf>
    <x:xf numFmtId="200" fontId="14" fillId="142" xfId="0" applyNumberFormat="1" applyFont="1" applyFill="1" applyBorder="0" applyAlignment="1">
      <x:alignment horizontal="center" vertical="center" wrapText="1"/>
    </x:xf>
    <x:xf numFmtId="0" fontId="10" fillId="142" xfId="0" applyNumberFormat="1" applyFont="1" applyFill="1" applyBorder="0" applyAlignment="1">
      <x:alignment vertical="top" wrapText="1"/>
    </x:xf>
    <x:xf numFmtId="0" fontId="14" fillId="142" xfId="0" applyNumberFormat="1" applyFont="1" applyFill="1" applyBorder="0" applyAlignment="1">
      <x:alignment vertical="top" wrapText="1"/>
    </x:xf>
    <x:xf numFmtId="0" fontId="9" fillId="142" xfId="0" applyNumberFormat="1" applyFont="1" applyFill="1" applyBorder="0" applyAlignment="1">
      <x:alignment vertical="top" wrapText="1"/>
    </x:xf>
    <x:xf numFmtId="0" fontId="10" fillId="135" xfId="0" applyNumberFormat="1" applyFont="1" applyFill="1" applyBorder="0" applyAlignment="1">
      <x:alignment horizontal="center" vertical="top" wrapText="1"/>
    </x:xf>
    <x:xf numFmtId="200" fontId="10" fillId="135" xfId="0" applyNumberFormat="1" applyFont="1" applyFill="1" applyBorder="0" applyAlignment="1">
      <x:alignment vertical="top" wrapText="1"/>
    </x:xf>
    <x:xf numFmtId="201" fontId="10" fillId="135" xfId="0" applyNumberFormat="1" applyFont="1" applyFill="1" applyBorder="0" applyAlignment="1">
      <x:alignment vertical="top" wrapText="1"/>
    </x:xf>
    <x:xf numFmtId="200" fontId="10" fillId="135" xfId="0" applyNumberFormat="1" applyFont="1" applyFill="1" applyBorder="0" applyAlignment="1">
      <x:alignment horizontal="center" vertical="top" wrapText="1"/>
    </x:xf>
    <x:xf numFmtId="200" fontId="14" fillId="135" xfId="0" applyNumberFormat="1" applyFont="1" applyFill="1" applyBorder="0" applyAlignment="1">
      <x:alignment horizontal="center" vertical="center" wrapText="1"/>
    </x:xf>
    <x:xf numFmtId="0" fontId="2" fillId="135" xfId="0" applyNumberFormat="1" applyFont="1" applyFill="1" applyBorder="0" applyAlignment="1">
      <x:alignment vertical="center" wrapText="1"/>
    </x:xf>
    <x:xf numFmtId="200" fontId="9" fillId="135" xfId="0" applyNumberFormat="1" applyFont="1" applyFill="1" applyBorder="0" applyAlignment="1">
      <x:alignment horizontal="center" vertical="center" wrapText="1"/>
    </x:xf>
    <x:xf numFmtId="200" fontId="9" fillId="135" xfId="0" applyNumberFormat="1" applyFont="1" applyFill="1" applyBorder="0" applyAlignment="1">
      <x:alignment horizontal="center" vertical="top" wrapText="1"/>
    </x:xf>
    <x:xf numFmtId="0" fontId="17" fillId="135" xfId="0" applyNumberFormat="1" applyFont="1" applyFill="1" applyBorder="0" applyAlignment="1">
      <x:alignment vertical="top" wrapText="1"/>
    </x:xf>
    <x:xf numFmtId="0" fontId="16" fillId="135" xfId="0" applyNumberFormat="1" applyFont="1" applyFill="1" applyBorder="0" applyAlignment="1">
      <x:alignment vertical="top" wrapText="1"/>
    </x:xf>
    <x:xf numFmtId="200" fontId="17" fillId="135" xfId="0" applyNumberFormat="1" applyFont="1" applyFill="1" applyBorder="0" applyAlignment="1">
      <x:alignment vertical="top" wrapText="1"/>
    </x:xf>
    <x:xf numFmtId="0" fontId="17" fillId="135" xfId="0" applyNumberFormat="1" applyFont="1" applyFill="1" applyBorder="0" applyAlignment="1">
      <x:alignment horizontal="center" vertical="top" wrapText="1"/>
    </x:xf>
    <x:xf numFmtId="200" fontId="17" fillId="135" xfId="0" applyNumberFormat="1" applyFont="1" applyFill="1" applyBorder="0" applyAlignment="1">
      <x:alignment horizontal="center" vertical="top" wrapText="1"/>
    </x:xf>
    <x:xf numFmtId="0" fontId="17" fillId="135" xfId="0" applyNumberFormat="1" applyFont="1" applyFill="1" applyBorder="0" applyAlignment="1">
      <x:alignment horizontal="left" vertical="top" wrapText="1"/>
    </x:xf>
    <x:xf numFmtId="200" fontId="16" fillId="135" xfId="0" applyNumberFormat="1" applyFont="1" applyFill="1" applyBorder="0" applyAlignment="1">
      <x:alignment horizontal="center" vertical="top" wrapText="1"/>
    </x:xf>
    <x:xf numFmtId="0" fontId="16" fillId="135" xfId="0" applyNumberFormat="1" applyFont="1" applyFill="1" applyBorder="0" applyAlignment="1">
      <x:alignment horizontal="left" vertical="top" wrapText="1"/>
    </x:xf>
    <x:xf numFmtId="0" fontId="10" fillId="135" xfId="0" applyNumberFormat="1" applyFont="1" applyFill="1" applyBorder="0" applyAlignment="1">
      <x:alignment horizontal="left" vertical="top" wrapText="1"/>
    </x:xf>
    <x:xf numFmtId="0" fontId="9" fillId="135" xfId="0" applyNumberFormat="1" applyFont="1" applyFill="1" applyBorder="0" applyAlignment="1">
      <x:alignment horizontal="left" vertical="top" wrapText="1"/>
    </x:xf>
    <x:xf numFmtId="200" fontId="9" fillId="3" xfId="0" applyNumberFormat="1" applyFont="1" applyFill="1" applyBorder="0" applyAlignment="1">
      <x:alignment horizontal="center" vertical="top" wrapText="1"/>
    </x:xf>
    <x:xf numFmtId="0" fontId="11" fillId="144" xfId="0" applyNumberFormat="1" applyFont="1" applyFill="1" applyBorder="0" applyAlignment="1">
      <x:alignment vertical="center" wrapText="1"/>
    </x:xf>
    <x:xf numFmtId="0" fontId="13" fillId="144" xfId="0" applyNumberFormat="1" applyFont="1" applyFill="1" applyBorder="0" applyAlignment="1">
      <x:alignment vertical="center" wrapText="1"/>
    </x:xf>
    <x:xf numFmtId="0" fontId="10" fillId="144" xfId="0" applyNumberFormat="1" applyFont="1" applyFill="1" applyBorder="0" applyAlignment="1">
      <x:alignment vertical="top" wrapText="1"/>
    </x:xf>
    <x:xf numFmtId="0" fontId="2" fillId="144" xfId="0" applyNumberFormat="1" applyFont="1" applyFill="1" applyBorder="0" applyAlignment="1">
      <x:alignment vertical="center" wrapText="1"/>
    </x:xf>
    <x:xf numFmtId="0" fontId="9" fillId="144" xfId="0" applyNumberFormat="1" applyFont="1" applyFill="1" applyBorder="0" applyAlignment="1">
      <x:alignment horizontal="center" vertical="top" wrapText="1"/>
    </x:xf>
    <x:xf numFmtId="0" fontId="14" fillId="144" xfId="0" applyNumberFormat="1" applyFont="1" applyFill="1" applyBorder="0" applyAlignment="1">
      <x:alignment horizontal="center" vertical="center" wrapText="1"/>
    </x:xf>
    <x:xf numFmtId="0" fontId="9" fillId="144" xfId="0" applyNumberFormat="1" applyFont="1" applyFill="1" applyBorder="0" applyAlignment="1">
      <x:alignment vertical="top" wrapText="1"/>
    </x:xf>
    <x:xf numFmtId="202" fontId="10" fillId="144" xfId="0" applyNumberFormat="1" applyFont="1" applyFill="1" applyBorder="0" applyAlignment="1">
      <x:alignment vertical="top" wrapText="1"/>
    </x:xf>
    <x:xf numFmtId="202" fontId="14" fillId="144" xfId="0" applyNumberFormat="1" applyFont="1" applyFill="1" applyBorder="0" applyAlignment="1">
      <x:alignment horizontal="center" vertical="center" wrapText="1"/>
    </x:xf>
    <x:xf numFmtId="0" fontId="9" fillId="144" xfId="0" applyNumberFormat="1" applyFont="1" applyFill="1" applyBorder="0" applyAlignment="1">
      <x:alignment vertical="center" wrapText="1"/>
    </x:xf>
    <x:xf numFmtId="0" fontId="15" fillId="144" xfId="0" applyNumberFormat="1" applyFont="1" applyFill="1" applyBorder="0" applyAlignment="1">
      <x:alignment vertical="center" wrapText="1"/>
    </x:xf>
    <x:xf numFmtId="0" fontId="9" fillId="144" xfId="0" applyNumberFormat="1" applyFont="1" applyFill="1" applyBorder="0" applyAlignment="1">
      <x:alignment horizontal="center" vertical="center" wrapText="1"/>
    </x:xf>
    <x:xf numFmtId="202" fontId="9" fillId="144" xfId="0" applyNumberFormat="1" applyFont="1" applyFill="1" applyBorder="0" applyAlignment="1">
      <x:alignment horizontal="center" vertical="center" wrapText="1"/>
    </x:xf>
    <x:xf numFmtId="0" fontId="15" fillId="144" xfId="0" applyNumberFormat="1" applyFont="1" applyFill="1" applyBorder="0" applyAlignment="1">
      <x:alignment vertical="top" wrapText="1"/>
    </x:xf>
    <x:xf numFmtId="202" fontId="9" fillId="144" xfId="0" applyNumberFormat="1" applyFont="1" applyFill="1" applyBorder="0" applyAlignment="1">
      <x:alignment horizontal="center" vertical="top" wrapText="1"/>
    </x:xf>
    <x:xf numFmtId="0" fontId="9" fillId="145" xfId="0" applyNumberFormat="1" applyFont="1" applyFill="1" applyBorder="0" applyAlignment="1">
      <x:alignment vertical="top" wrapText="1"/>
    </x:xf>
    <x:xf numFmtId="0" fontId="11" fillId="145" xfId="0" applyNumberFormat="1" applyFont="1" applyFill="1" applyBorder="0" applyAlignment="1">
      <x:alignment vertical="top" wrapText="1"/>
    </x:xf>
    <x:xf numFmtId="0" fontId="11" fillId="145" xfId="0" applyNumberFormat="1" applyFont="1" applyFill="1" applyBorder="0" applyAlignment="1">
      <x:alignment vertical="center" wrapText="1"/>
    </x:xf>
    <x:xf numFmtId="0" fontId="15" fillId="146" xfId="0" applyNumberFormat="1" applyFont="1" applyFill="1" applyBorder="0" applyAlignment="1">
      <x:alignment vertical="top" wrapText="1"/>
    </x:xf>
    <x:xf numFmtId="0" fontId="13" fillId="146" xfId="0" applyNumberFormat="1" applyFont="1" applyFill="1" applyBorder="0" applyAlignment="1">
      <x:alignment vertical="top" wrapText="1"/>
    </x:xf>
    <x:xf numFmtId="0" fontId="13" fillId="146" xfId="0" applyNumberFormat="1" applyFont="1" applyFill="1" applyBorder="0" applyAlignment="1">
      <x:alignment vertical="center" wrapText="1"/>
    </x:xf>
    <x:xf numFmtId="0" fontId="9" fillId="147" xfId="0" applyNumberFormat="1" applyFont="1" applyFill="1" applyBorder="0" applyAlignment="1">
      <x:alignment vertical="top" wrapText="1"/>
    </x:xf>
    <x:xf numFmtId="0" fontId="2" fillId="147" xfId="0" applyNumberFormat="1" applyFont="1" applyFill="1" applyBorder="0" applyAlignment="1">
      <x:alignment vertical="top" wrapText="1"/>
    </x:xf>
    <x:xf numFmtId="0" fontId="2" fillId="147" xfId="0" applyNumberFormat="1" applyFont="1" applyFill="1" applyBorder="0" applyAlignment="1">
      <x:alignment vertical="center" wrapText="1"/>
    </x:xf>
    <x:xf numFmtId="0" fontId="9" fillId="148" xfId="0" applyNumberFormat="1" applyFont="1" applyFill="1" applyBorder="0" applyAlignment="1">
      <x:alignment horizontal="center" vertical="top" wrapText="1"/>
    </x:xf>
    <x:xf numFmtId="0" fontId="10" fillId="148" xfId="0" applyNumberFormat="1" applyFont="1" applyFill="1" applyBorder="0" applyAlignment="1">
      <x:alignment vertical="top" wrapText="1"/>
    </x:xf>
    <x:xf numFmtId="0" fontId="14" fillId="148" xfId="0" applyNumberFormat="1" applyFont="1" applyFill="1" applyBorder="0" applyAlignment="1">
      <x:alignment horizontal="center" vertical="top" wrapText="1"/>
    </x:xf>
    <x:xf numFmtId="0" fontId="14" fillId="148" xfId="0" applyNumberFormat="1" applyFont="1" applyFill="1" applyBorder="0" applyAlignment="1">
      <x:alignment vertical="top" wrapText="1"/>
    </x:xf>
    <x:xf numFmtId="0" fontId="14" fillId="148" xfId="0" applyNumberFormat="1" applyFont="1" applyFill="1" applyBorder="0" applyAlignment="1">
      <x:alignment horizontal="center" vertical="center" wrapText="1"/>
    </x:xf>
    <x:xf numFmtId="0" fontId="9" fillId="148" xfId="0" applyNumberFormat="1" applyFont="1" applyFill="1" applyBorder="0" applyAlignment="1">
      <x:alignment vertical="top" wrapText="1"/>
    </x:xf>
    <x:xf numFmtId="0" fontId="17" fillId="144" xfId="0" applyNumberFormat="1" applyFont="1" applyFill="1" applyBorder="0" applyAlignment="1">
      <x:alignment vertical="top" wrapText="1"/>
    </x:xf>
    <x:xf numFmtId="0" fontId="16" fillId="144" xfId="0" applyNumberFormat="1" applyFont="1" applyFill="1" applyBorder="0" applyAlignment="1">
      <x:alignment vertical="top" wrapText="1"/>
    </x:xf>
    <x:xf numFmtId="202" fontId="17" fillId="144" xfId="0" applyNumberFormat="1" applyFont="1" applyFill="1" applyBorder="0" applyAlignment="1">
      <x:alignment vertical="top" wrapText="1"/>
    </x:xf>
    <x:xf numFmtId="0" fontId="16" fillId="144" xfId="0" applyNumberFormat="1" applyFont="1" applyFill="1" applyBorder="0" applyAlignment="1">
      <x:alignment horizontal="center" vertical="top" wrapText="1"/>
    </x:xf>
    <x:xf numFmtId="201" fontId="17" fillId="144" xfId="0" applyNumberFormat="1" applyFont="1" applyFill="1" applyBorder="0" applyAlignment="1">
      <x:alignment vertical="top" wrapText="1"/>
    </x:xf>
    <x:xf numFmtId="201" fontId="10" fillId="144" xfId="0" applyNumberFormat="1" applyFont="1" applyFill="1" applyBorder="0" applyAlignment="1">
      <x:alignment vertical="top" wrapText="1"/>
    </x:xf>
    <x:xf numFmtId="202" fontId="10" fillId="135" xfId="0" applyNumberFormat="1" applyFont="1" applyFill="1" applyBorder="0" applyAlignment="1">
      <x:alignment vertical="top" wrapText="1"/>
    </x:xf>
    <x:xf numFmtId="202" fontId="14" fillId="135" xfId="0" applyNumberFormat="1" applyFont="1" applyFill="1" applyBorder="0" applyAlignment="1">
      <x:alignment horizontal="center" vertical="center" wrapText="1"/>
    </x:xf>
    <x:xf numFmtId="202" fontId="9" fillId="135" xfId="0" applyNumberFormat="1" applyFont="1" applyFill="1" applyBorder="0" applyAlignment="1">
      <x:alignment horizontal="center" vertical="center" wrapText="1"/>
    </x:xf>
    <x:xf numFmtId="202" fontId="9" fillId="135" xfId="0" applyNumberFormat="1" applyFont="1" applyFill="1" applyBorder="0" applyAlignment="1">
      <x:alignment horizontal="center" vertical="top" wrapText="1"/>
    </x:xf>
    <x:xf numFmtId="202" fontId="17" fillId="135" xfId="0" applyNumberFormat="1" applyFont="1" applyFill="1" applyBorder="0" applyAlignment="1">
      <x:alignment vertical="top" wrapText="1"/>
    </x:xf>
    <x:xf numFmtId="0" fontId="16" fillId="135" xfId="0" applyNumberFormat="1" applyFont="1" applyFill="1" applyBorder="0" applyAlignment="1">
      <x:alignment horizontal="center" vertical="top" wrapText="1"/>
    </x:xf>
    <x:xf numFmtId="201" fontId="17" fillId="135" xfId="0" applyNumberFormat="1" applyFont="1" applyFill="1" applyBorder="0" applyAlignment="1">
      <x:alignment vertical="top" wrapText="1"/>
    </x:xf>
    <x:xf numFmtId="0" fontId="11" fillId="149" xfId="0" applyNumberFormat="1" applyFont="1" applyFill="1" applyBorder="0" applyAlignment="1">
      <x:alignment vertical="center" wrapText="1"/>
    </x:xf>
    <x:xf numFmtId="0" fontId="13" fillId="149" xfId="0" applyNumberFormat="1" applyFont="1" applyFill="1" applyBorder="0" applyAlignment="1">
      <x:alignment vertical="center" wrapText="1"/>
    </x:xf>
    <x:xf numFmtId="0" fontId="10" fillId="149" xfId="0" applyNumberFormat="1" applyFont="1" applyFill="1" applyBorder="0" applyAlignment="1">
      <x:alignment vertical="top" wrapText="1"/>
    </x:xf>
    <x:xf numFmtId="0" fontId="2" fillId="149" xfId="0" applyNumberFormat="1" applyFont="1" applyFill="1" applyBorder="0" applyAlignment="1">
      <x:alignment vertical="center" wrapText="1"/>
    </x:xf>
    <x:xf numFmtId="0" fontId="14" fillId="149" xfId="0" applyNumberFormat="1" applyFont="1" applyFill="1" applyBorder="0" applyAlignment="1">
      <x:alignment horizontal="center" vertical="center" wrapText="1"/>
    </x:xf>
    <x:xf numFmtId="0" fontId="9" fillId="149" xfId="0" applyNumberFormat="1" applyFont="1" applyFill="1" applyBorder="0" applyAlignment="1">
      <x:alignment vertical="top" wrapText="1"/>
    </x:xf>
    <x:xf numFmtId="0" fontId="9" fillId="149" xfId="0" applyNumberFormat="1" applyFont="1" applyFill="1" applyBorder="0" applyAlignment="1">
      <x:alignment vertical="center" wrapText="1"/>
    </x:xf>
    <x:xf numFmtId="0" fontId="15" fillId="149" xfId="0" applyNumberFormat="1" applyFont="1" applyFill="1" applyBorder="0" applyAlignment="1">
      <x:alignment vertical="center" wrapText="1"/>
    </x:xf>
    <x:xf numFmtId="0" fontId="9" fillId="149" xfId="0" applyNumberFormat="1" applyFont="1" applyFill="1" applyBorder="0" applyAlignment="1">
      <x:alignment horizontal="center" vertical="center" wrapText="1"/>
    </x:xf>
    <x:xf numFmtId="0" fontId="15" fillId="149" xfId="0" applyNumberFormat="1" applyFont="1" applyFill="1" applyBorder="0" applyAlignment="1">
      <x:alignment vertical="top" wrapText="1"/>
    </x:xf>
    <x:xf numFmtId="0" fontId="9" fillId="149" xfId="0" applyNumberFormat="1" applyFont="1" applyFill="1" applyBorder="0" applyAlignment="1">
      <x:alignment horizontal="center" vertical="top" wrapText="1"/>
    </x:xf>
    <x:xf numFmtId="0" fontId="9" fillId="150" xfId="0" applyNumberFormat="1" applyFont="1" applyFill="1" applyBorder="0" applyAlignment="1">
      <x:alignment vertical="top" wrapText="1"/>
    </x:xf>
    <x:xf numFmtId="0" fontId="11" fillId="150" xfId="0" applyNumberFormat="1" applyFont="1" applyFill="1" applyBorder="0" applyAlignment="1">
      <x:alignment vertical="top" wrapText="1"/>
    </x:xf>
    <x:xf numFmtId="0" fontId="11" fillId="150" xfId="0" applyNumberFormat="1" applyFont="1" applyFill="1" applyBorder="0" applyAlignment="1">
      <x:alignment vertical="center" wrapText="1"/>
    </x:xf>
    <x:xf numFmtId="0" fontId="15" fillId="151" xfId="0" applyNumberFormat="1" applyFont="1" applyFill="1" applyBorder="0" applyAlignment="1">
      <x:alignment vertical="top" wrapText="1"/>
    </x:xf>
    <x:xf numFmtId="0" fontId="13" fillId="151" xfId="0" applyNumberFormat="1" applyFont="1" applyFill="1" applyBorder="0" applyAlignment="1">
      <x:alignment vertical="top" wrapText="1"/>
    </x:xf>
    <x:xf numFmtId="0" fontId="13" fillId="151" xfId="0" applyNumberFormat="1" applyFont="1" applyFill="1" applyBorder="0" applyAlignment="1">
      <x:alignment vertical="center" wrapText="1"/>
    </x:xf>
    <x:xf numFmtId="0" fontId="9" fillId="152" xfId="0" applyNumberFormat="1" applyFont="1" applyFill="1" applyBorder="0" applyAlignment="1">
      <x:alignment vertical="top" wrapText="1"/>
    </x:xf>
    <x:xf numFmtId="0" fontId="2" fillId="152" xfId="0" applyNumberFormat="1" applyFont="1" applyFill="1" applyBorder="0" applyAlignment="1">
      <x:alignment vertical="top" wrapText="1"/>
    </x:xf>
    <x:xf numFmtId="0" fontId="2" fillId="152" xfId="0" applyNumberFormat="1" applyFont="1" applyFill="1" applyBorder="0" applyAlignment="1">
      <x:alignment vertical="center" wrapText="1"/>
    </x:xf>
    <x:xf numFmtId="0" fontId="9" fillId="153" xfId="0" applyNumberFormat="1" applyFont="1" applyFill="1" applyBorder="0" applyAlignment="1">
      <x:alignment horizontal="center" vertical="top" wrapText="1"/>
    </x:xf>
    <x:xf numFmtId="0" fontId="14" fillId="153" xfId="0" applyNumberFormat="1" applyFont="1" applyFill="1" applyBorder="0" applyAlignment="1">
      <x:alignment horizontal="center" vertical="top" wrapText="1"/>
    </x:xf>
    <x:xf numFmtId="0" fontId="14" fillId="153" xfId="0" applyNumberFormat="1" applyFont="1" applyFill="1" applyBorder="0" applyAlignment="1">
      <x:alignment horizontal="center" vertical="center" wrapText="1"/>
    </x:xf>
    <x:xf numFmtId="0" fontId="9" fillId="153" xfId="0" applyNumberFormat="1" applyFont="1" applyFill="1" applyBorder="0" applyAlignment="1">
      <x:alignment vertical="top" wrapText="1"/>
    </x:xf>
    <x:xf numFmtId="0" fontId="10" fillId="153" xfId="0" applyNumberFormat="1" applyFont="1" applyFill="1" applyBorder="0" applyAlignment="1">
      <x:alignment vertical="top" wrapText="1"/>
    </x:xf>
    <x:xf numFmtId="0" fontId="14" fillId="153" xfId="0" applyNumberFormat="1" applyFont="1" applyFill="1" applyBorder="0" applyAlignment="1">
      <x:alignment vertical="top" wrapText="1"/>
    </x:xf>
    <x:xf numFmtId="0" fontId="10" fillId="149"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10" fillId="135"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11" fillId="154" xfId="0" applyNumberFormat="1" applyFont="1" applyFill="1" applyBorder="0" applyAlignment="1">
      <x:alignment vertical="center" wrapText="1"/>
    </x:xf>
    <x:xf numFmtId="0" fontId="13" fillId="154" xfId="0" applyNumberFormat="1" applyFont="1" applyFill="1" applyBorder="0" applyAlignment="1">
      <x:alignment vertical="center" wrapText="1"/>
    </x:xf>
    <x:xf numFmtId="0" fontId="17" fillId="154" xfId="0" applyNumberFormat="1" applyFont="1" applyFill="1" applyBorder="0" applyAlignment="1">
      <x:alignment vertical="top" wrapText="1"/>
    </x:xf>
    <x:xf numFmtId="0" fontId="2" fillId="154" xfId="0" applyNumberFormat="1" applyFont="1" applyFill="1" applyBorder="0" applyAlignment="1">
      <x:alignment vertical="center" wrapText="1"/>
    </x:xf>
    <x:xf numFmtId="0" fontId="14" fillId="154" xfId="0" applyNumberFormat="1" applyFont="1" applyFill="1" applyBorder="0" applyAlignment="1">
      <x:alignment horizontal="center" vertical="center" wrapText="1"/>
    </x:xf>
    <x:xf numFmtId="0" fontId="16" fillId="154" xfId="0" applyNumberFormat="1" applyFont="1" applyFill="1" applyBorder="0" applyAlignment="1">
      <x:alignment vertical="top" wrapText="1"/>
    </x:xf>
    <x:xf numFmtId="0" fontId="9" fillId="154" xfId="0" applyNumberFormat="1" applyFont="1" applyFill="1" applyBorder="0" applyAlignment="1">
      <x:alignment vertical="center" wrapText="1"/>
    </x:xf>
    <x:xf numFmtId="0" fontId="15" fillId="154" xfId="0" applyNumberFormat="1" applyFont="1" applyFill="1" applyBorder="0" applyAlignment="1">
      <x:alignment vertical="center" wrapText="1"/>
    </x:xf>
    <x:xf numFmtId="0" fontId="10" fillId="154" xfId="0" applyNumberFormat="1" applyFont="1" applyFill="1" applyBorder="0" applyAlignment="1">
      <x:alignment vertical="top" wrapText="1"/>
    </x:xf>
    <x:xf numFmtId="0" fontId="9" fillId="154" xfId="0" applyNumberFormat="1" applyFont="1" applyFill="1" applyBorder="0" applyAlignment="1">
      <x:alignment horizontal="center" vertical="center" wrapText="1"/>
    </x:xf>
    <x:xf numFmtId="0" fontId="9" fillId="154" xfId="0" applyNumberFormat="1" applyFont="1" applyFill="1" applyBorder="0" applyAlignment="1">
      <x:alignment vertical="top" wrapText="1"/>
    </x:xf>
    <x:xf numFmtId="0" fontId="15" fillId="154" xfId="0" applyNumberFormat="1" applyFont="1" applyFill="1" applyBorder="0" applyAlignment="1">
      <x:alignment vertical="top" wrapText="1"/>
    </x:xf>
    <x:xf numFmtId="0" fontId="9" fillId="154" xfId="0" applyNumberFormat="1" applyFont="1" applyFill="1" applyBorder="0" applyAlignment="1">
      <x:alignment horizontal="center" vertical="top" wrapText="1"/>
    </x:xf>
    <x:xf numFmtId="0" fontId="9" fillId="155" xfId="0" applyNumberFormat="1" applyFont="1" applyFill="1" applyBorder="0" applyAlignment="1">
      <x:alignment vertical="top" wrapText="1"/>
    </x:xf>
    <x:xf numFmtId="0" fontId="11" fillId="155" xfId="0" applyNumberFormat="1" applyFont="1" applyFill="1" applyBorder="0" applyAlignment="1">
      <x:alignment vertical="top" wrapText="1"/>
    </x:xf>
    <x:xf numFmtId="0" fontId="11" fillId="155" xfId="0" applyNumberFormat="1" applyFont="1" applyFill="1" applyBorder="0" applyAlignment="1">
      <x:alignment vertical="center" wrapText="1"/>
    </x:xf>
    <x:xf numFmtId="0" fontId="15" fillId="156" xfId="0" applyNumberFormat="1" applyFont="1" applyFill="1" applyBorder="0" applyAlignment="1">
      <x:alignment vertical="top" wrapText="1"/>
    </x:xf>
    <x:xf numFmtId="0" fontId="13" fillId="156" xfId="0" applyNumberFormat="1" applyFont="1" applyFill="1" applyBorder="0" applyAlignment="1">
      <x:alignment vertical="top" wrapText="1"/>
    </x:xf>
    <x:xf numFmtId="0" fontId="13" fillId="156" xfId="0" applyNumberFormat="1" applyFont="1" applyFill="1" applyBorder="0" applyAlignment="1">
      <x:alignment vertical="center" wrapText="1"/>
    </x:xf>
    <x:xf numFmtId="0" fontId="9" fillId="157" xfId="0" applyNumberFormat="1" applyFont="1" applyFill="1" applyBorder="0" applyAlignment="1">
      <x:alignment vertical="top" wrapText="1"/>
    </x:xf>
    <x:xf numFmtId="0" fontId="2" fillId="157" xfId="0" applyNumberFormat="1" applyFont="1" applyFill="1" applyBorder="0" applyAlignment="1">
      <x:alignment vertical="top" wrapText="1"/>
    </x:xf>
    <x:xf numFmtId="0" fontId="2" fillId="157" xfId="0" applyNumberFormat="1" applyFont="1" applyFill="1" applyBorder="0" applyAlignment="1">
      <x:alignment vertical="center" wrapText="1"/>
    </x:xf>
    <x:xf numFmtId="0" fontId="9" fillId="158" xfId="0" applyNumberFormat="1" applyFont="1" applyFill="1" applyBorder="0" applyAlignment="1">
      <x:alignment horizontal="center" vertical="top" wrapText="1"/>
    </x:xf>
    <x:xf numFmtId="0" fontId="14" fillId="158" xfId="0" applyNumberFormat="1" applyFont="1" applyFill="1" applyBorder="0" applyAlignment="1">
      <x:alignment horizontal="center" vertical="top" wrapText="1"/>
    </x:xf>
    <x:xf numFmtId="0" fontId="14" fillId="158" xfId="0" applyNumberFormat="1" applyFont="1" applyFill="1" applyBorder="0" applyAlignment="1">
      <x:alignment horizontal="center" vertical="center" wrapText="1"/>
    </x:xf>
    <x:xf numFmtId="0" fontId="9" fillId="158" xfId="0" applyNumberFormat="1" applyFont="1" applyFill="1" applyBorder="0" applyAlignment="1">
      <x:alignment vertical="top" wrapText="1"/>
    </x:xf>
    <x:xf numFmtId="0" fontId="10" fillId="158" xfId="0" applyNumberFormat="1" applyFont="1" applyFill="1" applyBorder="0" applyAlignment="1">
      <x:alignment vertical="top" wrapText="1"/>
    </x:xf>
    <x:xf numFmtId="0" fontId="14" fillId="158" xfId="0" applyNumberFormat="1" applyFont="1" applyFill="1" applyBorder="0" applyAlignment="1">
      <x:alignment vertical="top" wrapText="1"/>
    </x:xf>
    <x:xf numFmtId="0" fontId="10" fillId="154"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11" fillId="159" xfId="0" applyNumberFormat="1" applyFont="1" applyFill="1" applyBorder="0" applyAlignment="1">
      <x:alignment vertical="center" wrapText="1"/>
    </x:xf>
    <x:xf numFmtId="0" fontId="13" fillId="159" xfId="0" applyNumberFormat="1" applyFont="1" applyFill="1" applyBorder="0" applyAlignment="1">
      <x:alignment vertical="center" wrapText="1"/>
    </x:xf>
    <x:xf numFmtId="0" fontId="10" fillId="159" xfId="0" applyNumberFormat="1" applyFont="1" applyFill="1" applyBorder="0" applyAlignment="1">
      <x:alignment vertical="top" wrapText="1"/>
    </x:xf>
    <x:xf numFmtId="0" fontId="2" fillId="159" xfId="0" applyNumberFormat="1" applyFont="1" applyFill="1" applyBorder="0" applyAlignment="1">
      <x:alignment vertical="center" wrapText="1"/>
    </x:xf>
    <x:xf numFmtId="0" fontId="9" fillId="159" xfId="0" applyNumberFormat="1" applyFont="1" applyFill="1" applyBorder="0" applyAlignment="1">
      <x:alignment vertical="top" wrapText="1"/>
    </x:xf>
    <x:xf numFmtId="0" fontId="14" fillId="159" xfId="0" applyNumberFormat="1" applyFont="1" applyFill="1" applyBorder="0" applyAlignment="1">
      <x:alignment horizontal="center" vertical="center" wrapText="1"/>
    </x:xf>
    <x:xf numFmtId="0" fontId="9" fillId="159" xfId="0" applyNumberFormat="1" applyFont="1" applyFill="1" applyBorder="0" applyAlignment="1">
      <x:alignment vertical="center" wrapText="1"/>
    </x:xf>
    <x:xf numFmtId="0" fontId="15" fillId="159" xfId="0" applyNumberFormat="1" applyFont="1" applyFill="1" applyBorder="0" applyAlignment="1">
      <x:alignment vertical="center" wrapText="1"/>
    </x:xf>
    <x:xf numFmtId="0" fontId="9" fillId="159" xfId="0" applyNumberFormat="1" applyFont="1" applyFill="1" applyBorder="0" applyAlignment="1">
      <x:alignment horizontal="center" vertical="center" wrapText="1"/>
    </x:xf>
    <x:xf numFmtId="0" fontId="15" fillId="159" xfId="0" applyNumberFormat="1" applyFont="1" applyFill="1" applyBorder="0" applyAlignment="1">
      <x:alignment vertical="top" wrapText="1"/>
    </x:xf>
    <x:xf numFmtId="0" fontId="9" fillId="159" xfId="0" applyNumberFormat="1" applyFont="1" applyFill="1" applyBorder="0" applyAlignment="1">
      <x:alignment horizontal="center" vertical="top" wrapText="1"/>
    </x:xf>
    <x:xf numFmtId="0" fontId="9" fillId="160" xfId="0" applyNumberFormat="1" applyFont="1" applyFill="1" applyBorder="0" applyAlignment="1">
      <x:alignment vertical="top" wrapText="1"/>
    </x:xf>
    <x:xf numFmtId="0" fontId="11" fillId="160" xfId="0" applyNumberFormat="1" applyFont="1" applyFill="1" applyBorder="0" applyAlignment="1">
      <x:alignment vertical="top" wrapText="1"/>
    </x:xf>
    <x:xf numFmtId="0" fontId="11" fillId="160" xfId="0" applyNumberFormat="1" applyFont="1" applyFill="1" applyBorder="0" applyAlignment="1">
      <x:alignment vertical="center" wrapText="1"/>
    </x:xf>
    <x:xf numFmtId="0" fontId="15" fillId="161" xfId="0" applyNumberFormat="1" applyFont="1" applyFill="1" applyBorder="0" applyAlignment="1">
      <x:alignment vertical="top" wrapText="1"/>
    </x:xf>
    <x:xf numFmtId="0" fontId="13" fillId="161" xfId="0" applyNumberFormat="1" applyFont="1" applyFill="1" applyBorder="0" applyAlignment="1">
      <x:alignment vertical="top" wrapText="1"/>
    </x:xf>
    <x:xf numFmtId="0" fontId="13" fillId="161" xfId="0" applyNumberFormat="1" applyFont="1" applyFill="1" applyBorder="0" applyAlignment="1">
      <x:alignment vertical="center" wrapText="1"/>
    </x:xf>
    <x:xf numFmtId="0" fontId="9" fillId="162" xfId="0" applyNumberFormat="1" applyFont="1" applyFill="1" applyBorder="0" applyAlignment="1">
      <x:alignment vertical="top" wrapText="1"/>
    </x:xf>
    <x:xf numFmtId="0" fontId="2" fillId="162" xfId="0" applyNumberFormat="1" applyFont="1" applyFill="1" applyBorder="0" applyAlignment="1">
      <x:alignment vertical="top" wrapText="1"/>
    </x:xf>
    <x:xf numFmtId="0" fontId="2" fillId="162" xfId="0" applyNumberFormat="1" applyFont="1" applyFill="1" applyBorder="0" applyAlignment="1">
      <x:alignment vertical="center" wrapText="1"/>
    </x:xf>
    <x:xf numFmtId="0" fontId="9" fillId="163" xfId="0" applyNumberFormat="1" applyFont="1" applyFill="1" applyBorder="0" applyAlignment="1">
      <x:alignment vertical="top" wrapText="1"/>
    </x:xf>
    <x:xf numFmtId="0" fontId="10" fillId="163" xfId="0" applyNumberFormat="1" applyFont="1" applyFill="1" applyBorder="0" applyAlignment="1">
      <x:alignment vertical="top" wrapText="1"/>
    </x:xf>
    <x:xf numFmtId="0" fontId="14" fillId="163" xfId="0" applyNumberFormat="1" applyFont="1" applyFill="1" applyBorder="0" applyAlignment="1">
      <x:alignment vertical="top" wrapText="1"/>
    </x:xf>
    <x:xf numFmtId="0" fontId="14" fillId="163" xfId="0" applyNumberFormat="1" applyFont="1" applyFill="1" applyBorder="0" applyAlignment="1">
      <x:alignment horizontal="center" vertical="top" wrapText="1"/>
    </x:xf>
    <x:xf numFmtId="0" fontId="14" fillId="163" xfId="0" applyNumberFormat="1" applyFont="1" applyFill="1" applyBorder="0" applyAlignment="1">
      <x:alignment horizontal="center" vertical="center" wrapText="1"/>
    </x:xf>
    <x:xf numFmtId="0" fontId="9" fillId="163" xfId="0" applyNumberFormat="1" applyFont="1" applyFill="1" applyBorder="0" applyAlignment="1">
      <x:alignment horizontal="center" vertical="top" wrapText="1"/>
    </x:xf>
    <x:xf numFmtId="0" fontId="11" fillId="164" xfId="0" applyNumberFormat="1" applyFont="1" applyFill="1" applyBorder="0" applyAlignment="1">
      <x:alignment vertical="center" wrapText="1"/>
    </x:xf>
    <x:xf numFmtId="0" fontId="3" fillId="164" borderId="0" xfId="0" applyNumberFormat="1" applyFont="1" applyFill="1" applyBorder="1"/>
    <x:xf numFmtId="0" fontId="11" fillId="164" borderId="0" xfId="0" applyNumberFormat="1" applyFont="1" applyFill="1" applyBorder="1"/>
    <x:xf numFmtId="0" fontId="11" fillId="164" borderId="0" xfId="0" applyNumberFormat="1" applyFont="1" applyFill="1" applyBorder="1" applyAlignment="1">
      <x:alignment wrapText="1"/>
    </x:xf>
    <x:xf numFmtId="0" fontId="11" fillId="164" borderId="0" xfId="0" applyNumberFormat="1" applyFont="1" applyFill="1" applyBorder="1" applyAlignment="1">
      <x:alignment vertical="center" wrapText="1"/>
    </x:xf>
    <x:xf numFmtId="0" fontId="2" fillId="165" xfId="0" applyNumberFormat="1" applyFont="1" applyFill="1" applyBorder="0" applyAlignment="1">
      <x:alignment vertical="center" wrapText="1"/>
    </x:xf>
    <x:xf numFmtId="0" fontId="2" fillId="165" borderId="0" xfId="0" applyNumberFormat="1" applyFont="1" applyFill="1" applyBorder="1"/>
    <x:xf numFmtId="0" fontId="2" fillId="165" borderId="0" xfId="0" applyNumberFormat="1" applyFont="1" applyFill="1" applyBorder="1" applyAlignment="1">
      <x:alignment wrapText="1"/>
    </x:xf>
    <x:xf numFmtId="0" fontId="2" fillId="165" borderId="0" xfId="0" applyNumberFormat="1" applyFont="1" applyFill="1" applyBorder="1" applyAlignment="1">
      <x:alignment vertical="center" wrapText="1"/>
    </x:xf>
    <x:xf numFmtId="0" fontId="3" fillId="112" borderId="0" xfId="0" applyNumberFormat="1" applyFont="1" applyFill="1" applyBorder="1"/>
    <x:xf numFmtId="0" fontId="11" fillId="112" borderId="0" xfId="0" applyNumberFormat="1" applyFont="1" applyFill="1" applyBorder="1"/>
    <x:xf numFmtId="0" fontId="11" fillId="112" borderId="0" xfId="0" applyNumberFormat="1" applyFont="1" applyFill="1" applyBorder="1" applyAlignment="1">
      <x:alignment wrapText="1"/>
    </x:xf>
    <x:xf numFmtId="0" fontId="11" fillId="112" borderId="0" xfId="0" applyNumberFormat="1" applyFont="1" applyFill="1" applyBorder="1" applyAlignment="1">
      <x:alignment vertical="center" wrapText="1"/>
    </x:xf>
    <x:xf numFmtId="0" fontId="2" fillId="118" borderId="0" xfId="0" applyNumberFormat="1" applyFont="1" applyFill="1" applyBorder="1"/>
    <x:xf numFmtId="0" fontId="2" fillId="118" borderId="0" xfId="0" applyNumberFormat="1" applyFont="1" applyFill="1" applyBorder="1" applyAlignment="1">
      <x:alignment wrapText="1"/>
    </x:xf>
    <x:xf numFmtId="0" fontId="2" fillId="118" borderId="0" xfId="0" applyNumberFormat="1" applyFont="1" applyFill="1" applyBorder="1" applyAlignment="1">
      <x:alignment vertical="center" wrapText="1"/>
    </x:xf>
    <x:xf numFmtId="0" fontId="11" fillId="166" xfId="0" applyNumberFormat="1" applyFont="1" applyFill="1" applyBorder="0" applyAlignment="1">
      <x:alignment vertical="center" wrapText="1"/>
    </x:xf>
    <x:xf numFmtId="0" fontId="13" fillId="167" xfId="0" applyNumberFormat="1" applyFont="1" applyFill="1" applyBorder="0" applyAlignment="1">
      <x:alignment vertical="center" wrapText="1"/>
    </x:xf>
    <x:xf numFmtId="0" fontId="2" fillId="168" xfId="0" applyNumberFormat="1" applyFont="1" applyFill="1" applyBorder="0" applyAlignment="1">
      <x:alignment vertical="center" wrapText="1"/>
    </x:xf>
    <x:xf numFmtId="0" fontId="0" fillId="169" borderId="0" xfId="0" applyNumberFormat="1" applyFont="1" applyFill="1" applyBorder="1"/>
    <x:xf numFmtId="0" fontId="2" fillId="169" borderId="0" xfId="0" applyNumberFormat="1" applyFont="1" applyFill="1" applyBorder="1"/>
    <x:xf numFmtId="0" fontId="2" fillId="169" borderId="0" xfId="0" applyNumberFormat="1" applyFont="1" applyFill="1" applyBorder="1" applyAlignment="1">
      <x:alignment wrapText="1"/>
    </x:xf>
    <x:xf numFmtId="0" fontId="2" fillId="169" borderId="0" xfId="0" applyNumberFormat="1" applyFont="1" applyFill="1" applyBorder="1" applyAlignment="1">
      <x:alignment vertical="center" wrapText="1"/>
    </x:xf>
    <x:xf numFmtId="0" fontId="0" fillId="170" xfId="0" applyNumberFormat="1" applyFont="1" applyFill="1" applyBorder="0" applyAlignment="1">
      <x:alignment vertical="top" wrapText="1"/>
    </x:xf>
    <x:xf numFmtId="0" fontId="14" fillId="170" xfId="0" applyNumberFormat="1" applyFont="1" applyFill="1" applyBorder="0" applyAlignment="1">
      <x:alignment vertical="top" wrapText="1"/>
    </x:xf>
    <x:xf numFmtId="0" fontId="14" fillId="170" xfId="0" applyNumberFormat="1" applyFont="1" applyFill="1" applyBorder="0" applyAlignment="1">
      <x:alignment horizontal="center" vertical="top" wrapText="1"/>
    </x:xf>
    <x:xf numFmtId="0" fontId="14" fillId="170" xfId="0" applyNumberFormat="1" applyFont="1" applyFill="1" applyBorder="0" applyAlignment="1">
      <x:alignment horizontal="center" vertical="center" wrapText="1"/>
    </x:xf>
    <x:xf numFmtId="0" fontId="0" fillId="118" borderId="0" xfId="0" applyNumberFormat="1" applyFont="1" applyFill="1" applyBorder="1"/>
    <x:xf numFmtId="0" fontId="9" fillId="0" xfId="0" applyNumberFormat="1" applyFont="1" applyFill="1" applyBorder="0" applyAlignment="1">
      <x:alignment vertical="top" wrapText="1"/>
    </x:xf>
    <x:xf numFmtId="0" fontId="0" fillId="171" borderId="0" xfId="0" applyNumberFormat="1" applyFont="1" applyFill="1" applyBorder="1"/>
    <x:xf numFmtId="0" fontId="11" fillId="171" borderId="0" xfId="0" applyNumberFormat="1" applyFont="1" applyFill="1" applyBorder="1"/>
    <x:xf numFmtId="0" fontId="11" fillId="171" borderId="0" xfId="0" applyNumberFormat="1" applyFont="1" applyFill="1" applyBorder="1" applyAlignment="1">
      <x:alignment vertical="center"/>
    </x:xf>
    <x:xf numFmtId="0" fontId="0" fillId="172" borderId="0" xfId="0" applyNumberFormat="1" applyFont="1" applyFill="1" applyBorder="1"/>
    <x:xf numFmtId="0" fontId="2" fillId="172" borderId="0" xfId="0" applyNumberFormat="1" applyFont="1" applyFill="1" applyBorder="1"/>
    <x:xf numFmtId="0" fontId="2" fillId="172" borderId="0" xfId="0" applyNumberFormat="1" applyFont="1" applyFill="1" applyBorder="1" applyAlignment="1">
      <x:alignment horizontal="center"/>
    </x:xf>
    <x:xf numFmtId="0" fontId="2" fillId="172" borderId="0" xfId="0" applyNumberFormat="1" applyFont="1" applyFill="1" applyBorder="1" applyAlignment="1">
      <x:alignment horizontal="center" vertical="center"/>
    </x:xf>
    <x:xf numFmtId="0" fontId="0" fillId="173" borderId="0" xfId="0" applyNumberFormat="1" applyFont="1" applyFill="1" applyBorder="1"/>
    <x:xf numFmtId="0" fontId="2" fillId="173" borderId="0" xfId="0" applyNumberFormat="1" applyFont="1" applyFill="1" applyBorder="1"/>
    <x:xf numFmtId="0" fontId="2" fillId="173" borderId="0" xfId="0" applyNumberFormat="1" applyFont="1" applyFill="1" applyBorder="1" applyAlignment="1">
      <x:alignment horizontal="center"/>
    </x:xf>
  </x:cellXfs>
  <x:cellStyles count="1">
    <x:cellStyle name="Normal" xfId="0"/>
  </x:cellStyles>
  <x:dxfs count="352">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
      <x:fill>
        <x:patternFill>
          <x:bgColor rgb="FFD9EAD3"/>
        </x:patternFill>
      </x:fill>
    </x:dxf>
    <x:dxf>
      <x:fill>
        <x:patternFill>
          <x:bgColor rgb="FFFFF2CC"/>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
      <x:fill>
        <x:patternFill>
          <x:bgColor rgb="FFD9EAD3"/>
        </x:patternFill>
      </x:fill>
    </x:dxf>
    <x:dxf>
      <x:fill>
        <x:patternFill>
          <x:bgColor rgb="FFFFF2CC"/>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FF2CC"/>
        </x:patternFill>
      </x:fill>
    </x:dxf>
    <x:dxf>
      <x:fill>
        <x:patternFill>
          <x:bgColor rgb="FFF4CCCC"/>
        </x:patternFill>
      </x:fill>
    </x:dxf>
    <x:dxf>
      <x:font>
        <x:color rgb="FF9C0006"/>
      </x:font>
      <x:fill>
        <x:patternFill>
          <x:bgColor rgb="FFF4CCCC"/>
        </x:patternFill>
      </x:fill>
    </x:dxf>
    <x:dxf>
      <x:fill>
        <x:patternFill>
          <x:bgColor rgb="FFFFF2CC"/>
        </x:patternFill>
      </x:fill>
    </x:dxf>
    <x:dxf>
      <x:font>
        <x:color rgb="FF9C0006"/>
      </x:font>
      <x:fill>
        <x:patternFill>
          <x:bgColor rgb="FFF4CCCC"/>
        </x:patternFill>
      </x:fill>
    </x:dxf>
    <x:dxf>
      <x:fill>
        <x:patternFill>
          <x:bgColor rgb="FFFFF2CC"/>
        </x:patternFill>
      </x:fill>
    </x:dxf>
    <x:dxf>
      <x:font>
        <x:color rgb="FF9C0006"/>
      </x:font>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D9EAD3"/>
        </x:patternFill>
      </x:fill>
    </x:dxf>
    <x:dxf>
      <x:fill>
        <x:patternFill>
          <x:bgColor rgb="FFFFF2CC"/>
        </x:patternFill>
      </x:fill>
    </x:dxf>
    <x:dxf>
      <x:fill>
        <x:patternFill>
          <x:bgColor rgb="FFF4CCCC"/>
        </x:patternFill>
      </x:fill>
    </x:dxf>
    <x:dxf>
      <x:fill>
        <x:patternFill>
          <x:bgColor rgb="FFFFF2CC"/>
        </x:patternFill>
      </x:fill>
    </x:dxf>
    <x:dxf>
      <x:fill>
        <x:patternFill>
          <x:bgColor rgb="FFD9EAD3"/>
        </x:patternFill>
      </x:fill>
    </x:dxf>
    <x:dxf>
      <x:fill>
        <x:patternFill>
          <x:bgColor rgb="FFD9EAD3"/>
        </x:patternFill>
      </x:fill>
    </x:dxf>
    <x:dxf>
      <x:fill>
        <x:patternFill>
          <x:bgColor rgb="FFD9EAD3"/>
        </x:patternFill>
      </x:fill>
    </x:dxf>
    <x:dxf>
      <x:fill>
        <x:patternFill>
          <x:bgColor rgb="FFD9EAD3"/>
        </x:patternFill>
      </x:fill>
    </x:dxf>
    <x:dxf>
      <x:fill>
        <x:patternFill>
          <x:bgColor rgb="FFD9EAD3"/>
        </x:patternFill>
      </x:fill>
    </x:dxf>
    <x:dxf>
      <x:fill>
        <x:patternFill>
          <x:bgColor rgb="FFF4CCCC"/>
        </x:patternFill>
      </x:fill>
    </x:dxf>
    <x:dxf>
      <x:fill>
        <x:patternFill>
          <x:bgColor rgb="FFF4CCCC"/>
        </x:patternFill>
      </x:fill>
    </x:dxf>
    <x:dxf>
      <x:fill>
        <x:patternFill>
          <x:bgColor rgb="FFF4CCCC"/>
        </x:patternFill>
      </x:fill>
    </x:dxf>
    <x:dxf>
      <x:fill>
        <x:patternFill>
          <x:bgColor rgb="FFF4CCCC"/>
        </x:patternFill>
      </x:fill>
    </x:dxf>
    <x:dxf>
      <x:fill>
        <x:patternFill>
          <x:bgColor rgb="FFF4CCCC"/>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17365D"/>
      </x:font>
      <x:fill>
        <x:patternFill>
          <x:bgColor rgb="FFDC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36aef13372417c" /><Relationship Type="http://schemas.openxmlformats.org/officeDocument/2006/relationships/theme" Target="/xl/theme/theme1.xml" Id="R9aef0078427546af" /><Relationship Type="http://schemas.microsoft.com/office/2022/11/relationships/FeaturePropertyBag" Target="/xl/featurePropertyBag/featurePropertyBag.xml" Id="R055dddd45eff4499" /><Relationship Type="http://schemas.openxmlformats.org/officeDocument/2006/relationships/sharedStrings" Target="/xl/sharedStrings.xml" Id="R7f72ccc52bb246c5" /><Relationship Type="http://schemas.openxmlformats.org/officeDocument/2006/relationships/worksheet" Target="/xl/worksheets/sheet1.xml" Id="Rb243b1750d744e46" /><Relationship Type="http://schemas.openxmlformats.org/officeDocument/2006/relationships/worksheet" Target="/xl/worksheets/sheet2.xml" Id="R227f6fef819f4431" /><Relationship Type="http://schemas.openxmlformats.org/officeDocument/2006/relationships/worksheet" Target="/xl/worksheets/sheet3.xml" Id="R502256674d0f4873" /><Relationship Type="http://schemas.openxmlformats.org/officeDocument/2006/relationships/worksheet" Target="/xl/worksheets/sheet4.xml" Id="R65717ee10bd847f3" /><Relationship Type="http://schemas.openxmlformats.org/officeDocument/2006/relationships/worksheet" Target="/xl/worksheets/sheet5.xml" Id="Rfe2272589d7a4edf" /><Relationship Type="http://schemas.openxmlformats.org/officeDocument/2006/relationships/worksheet" Target="/xl/worksheets/sheet6.xml" Id="Rdfb85e9a43414ca4" /><Relationship Type="http://schemas.openxmlformats.org/officeDocument/2006/relationships/worksheet" Target="/xl/worksheets/sheet7.xml" Id="Re3477f17cc314f18" /><Relationship Type="http://schemas.openxmlformats.org/officeDocument/2006/relationships/worksheet" Target="/xl/worksheets/sheet8.xml" Id="Rdc28c08301ea4cba" /><Relationship Type="http://schemas.openxmlformats.org/officeDocument/2006/relationships/worksheet" Target="/xl/worksheets/sheet9.xml" Id="R4bb6c18773f64ffa" /><Relationship Type="http://schemas.openxmlformats.org/officeDocument/2006/relationships/worksheet" Target="/xl/worksheets/sheet10.xml" Id="R2fbad6e3a27348ce" /><Relationship Type="http://schemas.openxmlformats.org/officeDocument/2006/relationships/worksheet" Target="/xl/worksheets/sheet11.xml" Id="Rbff8113caf2d4dcb" /><Relationship Type="http://schemas.openxmlformats.org/officeDocument/2006/relationships/worksheet" Target="/xl/worksheets/sheet12.xml" Id="R1f947dfc38464da6" /><Relationship Type="http://schemas.openxmlformats.org/officeDocument/2006/relationships/worksheet" Target="/xl/worksheets/sheet13.xml" Id="R1c37e35e9401406a" /><Relationship Type="http://schemas.openxmlformats.org/officeDocument/2006/relationships/worksheet" Target="/xl/worksheets/sheet14.xml" Id="R18561e4ea03f439f" /><Relationship Type="http://schemas.openxmlformats.org/officeDocument/2006/relationships/worksheet" Target="/xl/worksheets/sheet15.xml" Id="R782e4103533d42e7" /><Relationship Type="http://schemas.openxmlformats.org/officeDocument/2006/relationships/worksheet" Target="/xl/worksheets/sheet16.xml" Id="R01770475073e4181" /><Relationship Type="http://schemas.openxmlformats.org/officeDocument/2006/relationships/worksheet" Target="/xl/worksheets/sheet17.xml" Id="R6a648861097241ea" /><Relationship Type="http://schemas.openxmlformats.org/officeDocument/2006/relationships/worksheet" Target="/xl/worksheets/sheet18.xml" Id="Rfa4e659eafef43d0" /><Relationship Type="http://schemas.openxmlformats.org/officeDocument/2006/relationships/worksheet" Target="/xl/worksheets/sheet19.xml" Id="Rf276bd18684b4469" /><Relationship Type="http://schemas.openxmlformats.org/officeDocument/2006/relationships/worksheet" Target="/xl/worksheets/sheet20.xml" Id="Rf4537a55d7b74dcc" /><Relationship Type="http://schemas.openxmlformats.org/officeDocument/2006/relationships/worksheet" Target="/xl/worksheets/sheet21.xml" Id="R1063402ceb5040e5" /><Relationship Type="http://schemas.openxmlformats.org/officeDocument/2006/relationships/worksheet" Target="/xl/worksheets/sheet22.xml" Id="Re332dd1ad51146ec" /><Relationship Type="http://schemas.openxmlformats.org/officeDocument/2006/relationships/worksheet" Target="/xl/worksheets/sheet23.xml" Id="R0ba6ad7990a94a97" /><Relationship Type="http://schemas.openxmlformats.org/officeDocument/2006/relationships/worksheet" Target="/xl/worksheets/sheet24.xml" Id="Rae2897b956e64c3a" /><Relationship Type="http://schemas.openxmlformats.org/officeDocument/2006/relationships/worksheet" Target="/xl/worksheets/sheet25.xml" Id="R3446a293f9ef4970" /><Relationship Type="http://schemas.openxmlformats.org/officeDocument/2006/relationships/worksheet" Target="/xl/worksheets/sheet26.xml" Id="Rfb187f95db3644aa" /><Relationship Type="http://schemas.openxmlformats.org/officeDocument/2006/relationships/worksheet" Target="/xl/worksheets/sheet27.xml" Id="R475e12873f3f4a4a" /><Relationship Type="http://schemas.openxmlformats.org/officeDocument/2006/relationships/worksheet" Target="/xl/worksheets/sheet28.xml" Id="Raa6661dd84b845f3" /><Relationship Type="http://schemas.openxmlformats.org/officeDocument/2006/relationships/worksheet" Target="/xl/worksheets/sheet29.xml" Id="R12e90e265b384d11" /><Relationship Type="http://schemas.openxmlformats.org/officeDocument/2006/relationships/worksheet" Target="/xl/worksheets/sheet30.xml" Id="Rd3a71c4af1934f64" /><Relationship Type="http://schemas.openxmlformats.org/officeDocument/2006/relationships/worksheet" Target="/xl/worksheets/sheet31.xml" Id="R180d5e354cef42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12e64bda9a994178" /><Relationship Type="http://schemas.openxmlformats.org/officeDocument/2006/relationships/chart" Target="/xl/drawings/charts/chart2.xml" Id="R52737c1de6d349f0" /><Relationship Type="http://schemas.openxmlformats.org/officeDocument/2006/relationships/chart" Target="/xl/drawings/charts/chart3.xml" Id="Re40375e84a2f45c0" /></Relationships>
</file>

<file path=xl/drawings/_rels/drawing2.xml.rels>&#65279;<?xml version="1.0" encoding="utf-8"?><Relationships xmlns="http://schemas.openxmlformats.org/package/2006/relationships"><Relationship Type="http://schemas.openxmlformats.org/officeDocument/2006/relationships/chart" Target="/xl/drawings/charts/chart4.xml" Id="R6293ed8c740d469d" /></Relationships>
</file>

<file path=xl/drawings/_rels/drawing3.xml.rels>&#65279;<?xml version="1.0" encoding="utf-8"?><Relationships xmlns="http://schemas.openxmlformats.org/package/2006/relationships"><Relationship Type="http://schemas.openxmlformats.org/officeDocument/2006/relationships/chart" Target="/xl/drawings/charts/chart5.xml" Id="R40796efc6d0f49ff" /></Relationships>
</file>

<file path=xl/drawings/_rels/drawing4.xml.rels>&#65279;<?xml version="1.0" encoding="utf-8"?><Relationships xmlns="http://schemas.openxmlformats.org/package/2006/relationships"><Relationship Type="http://schemas.openxmlformats.org/officeDocument/2006/relationships/chart" Target="/xl/drawings/charts/chart6.xml" Id="R9fd604e6668d4c35" /></Relationships>
</file>

<file path=xl/drawings/_rels/drawing5.xml.rels>&#65279;<?xml version="1.0" encoding="utf-8"?><Relationships xmlns="http://schemas.openxmlformats.org/package/2006/relationships"><Relationship Type="http://schemas.openxmlformats.org/officeDocument/2006/relationships/chart" Target="/xl/drawings/charts/chart7.xml" Id="R9ae7573f371649fc" /></Relationships>
</file>

<file path=xl/drawings/_rels/drawing6.xml.rels>&#65279;<?xml version="1.0" encoding="utf-8"?><Relationships xmlns="http://schemas.openxmlformats.org/package/2006/relationships"><Relationship Type="http://schemas.openxmlformats.org/officeDocument/2006/relationships/chart" Target="/xl/drawings/charts/chart8.xml" Id="Rb0d0641132cc4da6" /></Relationships>
</file>

<file path=xl/drawings/_rels/drawing7.xml.rels>&#65279;<?xml version="1.0" encoding="utf-8"?><Relationships xmlns="http://schemas.openxmlformats.org/package/2006/relationships"><Relationship Type="http://schemas.openxmlformats.org/officeDocument/2006/relationships/chart" Target="/xl/drawings/charts/chart9.xml" Id="R0ae8d39ad4404abd" /></Relationships>
</file>

<file path=xl/drawings/_rels/drawing8.xml.rels>&#65279;<?xml version="1.0" encoding="utf-8"?><Relationships xmlns="http://schemas.openxmlformats.org/package/2006/relationships"><Relationship Type="http://schemas.openxmlformats.org/officeDocument/2006/relationships/chart" Target="/xl/drawings/charts/chart10.xml" Id="R7e43a2f3f5b94930" /></Relationships>
</file>

<file path=xl/drawings/_rels/drawing9.xml.rels>&#65279;<?xml version="1.0" encoding="utf-8"?><Relationships xmlns="http://schemas.openxmlformats.org/package/2006/relationships"><Relationship Type="http://schemas.openxmlformats.org/officeDocument/2006/relationships/chart" Target="/xl/drawings/charts/chart11.xml" Id="R75f95e0f4af14fe3" /></Relationships>
</file>

<file path=xl/drawings/_rels/drawing10.xml.rels>&#65279;<?xml version="1.0" encoding="utf-8"?><Relationships xmlns="http://schemas.openxmlformats.org/package/2006/relationships"><Relationship Type="http://schemas.openxmlformats.org/officeDocument/2006/relationships/chart" Target="/xl/drawings/charts/chart12.xml" Id="R0ccfc72ce23e479f" /></Relationships>
</file>

<file path=xl/drawings/_rels/drawing11.xml.rels>&#65279;<?xml version="1.0" encoding="utf-8"?><Relationships xmlns="http://schemas.openxmlformats.org/package/2006/relationships"><Relationship Type="http://schemas.openxmlformats.org/officeDocument/2006/relationships/chart" Target="/xl/drawings/charts/chart13.xml" Id="Rb2000b20526843d4" /></Relationships>
</file>

<file path=xl/drawings/_rels/drawing12.xml.rels>&#65279;<?xml version="1.0" encoding="utf-8"?><Relationships xmlns="http://schemas.openxmlformats.org/package/2006/relationships"><Relationship Type="http://schemas.openxmlformats.org/officeDocument/2006/relationships/chart" Target="/xl/drawings/charts/chart14.xml" Id="R266cff8390f24726" /></Relationships>
</file>

<file path=xl/drawings/_rels/drawing13.xml.rels>&#65279;<?xml version="1.0" encoding="utf-8"?><Relationships xmlns="http://schemas.openxmlformats.org/package/2006/relationships"><Relationship Type="http://schemas.openxmlformats.org/officeDocument/2006/relationships/chart" Target="/xl/drawings/charts/chart15.xml" Id="Rf927b57f9b4d4998" /></Relationships>
</file>

<file path=xl/drawings/_rels/drawing14.xml.rels>&#65279;<?xml version="1.0" encoding="utf-8"?><Relationships xmlns="http://schemas.openxmlformats.org/package/2006/relationships"><Relationship Type="http://schemas.openxmlformats.org/officeDocument/2006/relationships/chart" Target="/xl/drawings/charts/chart16.xml" Id="Rd1340d2c77c940a6" /></Relationships>
</file>

<file path=xl/drawings/_rels/drawing15.xml.rels>&#65279;<?xml version="1.0" encoding="utf-8"?><Relationships xmlns="http://schemas.openxmlformats.org/package/2006/relationships"><Relationship Type="http://schemas.openxmlformats.org/officeDocument/2006/relationships/chart" Target="/xl/drawings/charts/chart17.xml" Id="Rcfb508da6e6b4ca2" /></Relationships>
</file>

<file path=xl/drawings/_rels/drawing16.xml.rels>&#65279;<?xml version="1.0" encoding="utf-8"?><Relationships xmlns="http://schemas.openxmlformats.org/package/2006/relationships"><Relationship Type="http://schemas.openxmlformats.org/officeDocument/2006/relationships/chart" Target="/xl/drawings/charts/chart18.xml" Id="R255bf3b4aeab44c5" /></Relationships>
</file>

<file path=xl/drawings/_rels/drawing17.xml.rels>&#65279;<?xml version="1.0" encoding="utf-8"?><Relationships xmlns="http://schemas.openxmlformats.org/package/2006/relationships"><Relationship Type="http://schemas.openxmlformats.org/officeDocument/2006/relationships/chart" Target="/xl/drawings/charts/chart19.xml" Id="Rc3f2be39952241bf" /></Relationships>
</file>

<file path=xl/drawings/_rels/drawing18.xml.rels>&#65279;<?xml version="1.0" encoding="utf-8"?><Relationships xmlns="http://schemas.openxmlformats.org/package/2006/relationships"><Relationship Type="http://schemas.openxmlformats.org/officeDocument/2006/relationships/chart" Target="/xl/drawings/charts/chart20.xml" Id="Rda974a37f9ea4b7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Day 1~7 노출 시간 구성 (TEMP)</a:t>
            </a:r>
          </a:p>
        </c:rich>
      </c:tx>
    </c:title>
    <c:plotArea>
      <c:barChart>
        <c:barDir val="col"/>
        <c:varyColors val="0"/>
        <c:ser>
          <c:idx val="0"/>
          <c:order val="0"/>
          <c:tx>
            <c:v>고정 필수</c:v>
          </c:tx>
          <c:cat>
            <c:strRef>
              <c:f>'06_ActionBudget'!$A$5:$A$11</c:f>
              <c:strCache>
                <c:ptCount val="0"/>
              </c:strCache>
            </c:strRef>
          </c:cat>
          <c:val>
            <c:numRef>
              <c:f>'06_ActionBudget'!$B$5:$B$11</c:f>
              <c:numCache>
                <c:formatCode>0.0</c:formatCode>
                <c:ptCount val="0"/>
              </c:numCache>
            </c:numRef>
          </c:val>
        </c:ser>
        <c:ser>
          <c:idx val="1"/>
          <c:order val="1"/>
          <c:tx>
            <c:v>기한내필수</c:v>
          </c:tx>
          <c:cat>
            <c:strRef>
              <c:f>'06_ActionBudget'!$A$5:$A$11</c:f>
              <c:strCache>
                <c:ptCount val="0"/>
              </c:strCache>
            </c:strRef>
          </c:cat>
          <c:val>
            <c:numRef>
              <c:f>'06_ActionBudget'!$C$5:$C$11</c:f>
              <c:numCache>
                <c:formatCode>0.0</c:formatCode>
                <c:ptCount val="0"/>
              </c:numCache>
            </c:numRef>
          </c:val>
        </c:ser>
        <c:ser>
          <c:idx val="2"/>
          <c:order val="2"/>
          <c:tx>
            <c:v>조건부</c:v>
          </c:tx>
          <c:cat>
            <c:strRef>
              <c:f>'06_ActionBudget'!$A$5:$A$11</c:f>
              <c:strCache>
                <c:ptCount val="0"/>
              </c:strCache>
            </c:strRef>
          </c:cat>
          <c:val>
            <c:numRef>
              <c:f>'06_ActionBudget'!$D$5:$D$11</c:f>
              <c:numCache>
                <c:formatCode>0.0</c:formatCode>
                <c:ptCount val="0"/>
              </c:numCache>
            </c:numRef>
          </c:val>
        </c:ser>
        <c:ser>
          <c:idx val="3"/>
          <c:order val="3"/>
          <c:tx>
            <c:v>선택</c:v>
          </c:tx>
          <c:cat>
            <c:strRef>
              <c:f>'06_ActionBudget'!$A$5:$A$11</c:f>
              <c:strCache>
                <c:ptCount val="0"/>
              </c:strCache>
            </c:strRef>
          </c:cat>
          <c:val>
            <c:numRef>
              <c:f>'06_ActionBudget'!$E$5:$E$11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Day 8~14 노출 시간 구성 (TEMP)</a:t>
            </a:r>
          </a:p>
        </c:rich>
      </c:tx>
    </c:title>
    <c:plotArea>
      <c:barChart>
        <c:barDir val="col"/>
        <c:varyColors val="0"/>
        <c:ser>
          <c:idx val="0"/>
          <c:order val="0"/>
          <c:tx>
            <c:v>고정 필수</c:v>
          </c:tx>
          <c:cat>
            <c:strRef>
              <c:f>'06_ActionBudget'!$S$5:$S$11</c:f>
              <c:strCache>
                <c:ptCount val="0"/>
              </c:strCache>
            </c:strRef>
          </c:cat>
          <c:val>
            <c:numRef>
              <c:f>'06_ActionBudget'!$T$5:$T$11</c:f>
              <c:numCache>
                <c:formatCode>0.0</c:formatCode>
                <c:ptCount val="0"/>
              </c:numCache>
            </c:numRef>
          </c:val>
        </c:ser>
        <c:ser>
          <c:idx val="1"/>
          <c:order val="1"/>
          <c:tx>
            <c:v>기한내필수</c:v>
          </c:tx>
          <c:cat>
            <c:strRef>
              <c:f>'06_ActionBudget'!$S$5:$S$11</c:f>
              <c:strCache>
                <c:ptCount val="0"/>
              </c:strCache>
            </c:strRef>
          </c:cat>
          <c:val>
            <c:numRef>
              <c:f>'06_ActionBudget'!$U$5:$U$11</c:f>
              <c:numCache>
                <c:formatCode>0.0</c:formatCode>
                <c:ptCount val="0"/>
              </c:numCache>
            </c:numRef>
          </c:val>
        </c:ser>
        <c:ser>
          <c:idx val="2"/>
          <c:order val="2"/>
          <c:tx>
            <c:v>조건부</c:v>
          </c:tx>
          <c:cat>
            <c:strRef>
              <c:f>'06_ActionBudget'!$S$5:$S$11</c:f>
              <c:strCache>
                <c:ptCount val="0"/>
              </c:strCache>
            </c:strRef>
          </c:cat>
          <c:val>
            <c:numRef>
              <c:f>'06_ActionBudget'!$V$5:$V$11</c:f>
              <c:numCache>
                <c:formatCode>0.0</c:formatCode>
                <c:ptCount val="0"/>
              </c:numCache>
            </c:numRef>
          </c:val>
        </c:ser>
        <c:ser>
          <c:idx val="3"/>
          <c:order val="3"/>
          <c:tx>
            <c:v>선택</c:v>
          </c:tx>
          <c:cat>
            <c:strRef>
              <c:f>'06_ActionBudget'!$S$5:$S$11</c:f>
              <c:strCache>
                <c:ptCount val="0"/>
              </c:strCache>
            </c:strRef>
          </c:cat>
          <c:val>
            <c:numRef>
              <c:f>'06_ActionBudget'!$W$5:$W$11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W3 계획 후 여유 / Emergency 후보·권장버퍼</a:t>
            </a:r>
          </a:p>
        </c:rich>
      </c:tx>
    </c:title>
    <c:plotArea>
      <c:barChart>
        <c:barDir val="col"/>
        <c:varyColors val="0"/>
        <c:ser>
          <c:idx val="0"/>
          <c:order val="0"/>
          <c:tx>
            <c:v>고정 스토리</c:v>
          </c:tx>
          <c:cat>
            <c:strRef>
              <c:f>'06_ActionBudget'!$AC$5:$AC$11</c:f>
              <c:strCache>
                <c:ptCount val="0"/>
              </c:strCache>
            </c:strRef>
          </c:cat>
          <c:val>
            <c:numRef>
              <c:f>'06_ActionBudget'!$AD$5:$AD$11</c:f>
              <c:numCache>
                <c:formatCode>0.0</c:formatCode>
                <c:ptCount val="0"/>
              </c:numCache>
            </c:numRef>
          </c:val>
        </c:ser>
        <c:ser>
          <c:idx val="1"/>
          <c:order val="1"/>
          <c:tx>
            <c:v>기한내</c:v>
          </c:tx>
          <c:cat>
            <c:strRef>
              <c:f>'06_ActionBudget'!$AC$5:$AC$11</c:f>
              <c:strCache>
                <c:ptCount val="0"/>
              </c:strCache>
            </c:strRef>
          </c:cat>
          <c:val>
            <c:numRef>
              <c:f>'06_ActionBudget'!$AE$5:$AE$11</c:f>
              <c:numCache>
                <c:formatCode>0.0</c:formatCode>
                <c:ptCount val="0"/>
              </c:numCache>
            </c:numRef>
          </c:val>
        </c:ser>
        <c:ser>
          <c:idx val="2"/>
          <c:order val="2"/>
          <c:tx>
            <c:v>선택/조건</c:v>
          </c:tx>
          <c:cat>
            <c:strRef>
              <c:f>'06_ActionBudget'!$AC$5:$AC$11</c:f>
              <c:strCache>
                <c:ptCount val="0"/>
              </c:strCache>
            </c:strRef>
          </c:cat>
          <c:val>
            <c:numRef>
              <c:f>'06_ActionBudget'!$AF$5:$AF$11</c:f>
              <c:numCache>
                <c:formatCode>0.0</c:formatCode>
                <c:ptCount val="0"/>
              </c:numCache>
            </c:numRef>
          </c:val>
        </c:ser>
        <c:ser>
          <c:idx val="3"/>
          <c:order val="3"/>
          <c:tx>
            <c:v>계획합</c:v>
          </c:tx>
          <c:cat>
            <c:strRef>
              <c:f>'06_ActionBudget'!$AC$5:$AC$11</c:f>
              <c:strCache>
                <c:ptCount val="0"/>
              </c:strCache>
            </c:strRef>
          </c:cat>
          <c:val>
            <c:numRef>
              <c:f>'06_ActionBudget'!$AG$5:$AG$11</c:f>
              <c:numCache>
                <c:formatCode>0.0</c:formatCode>
                <c:ptCount val="0"/>
              </c:numCache>
            </c:numRef>
          </c:val>
        </c:ser>
        <c:ser>
          <c:idx val="4"/>
          <c:order val="4"/>
          <c:tx>
            <c:v>계획 후 여유</c:v>
          </c:tx>
          <c:cat>
            <c:strRef>
              <c:f>'06_ActionBudget'!$AC$5:$AC$11</c:f>
              <c:strCache>
                <c:ptCount val="0"/>
              </c:strCache>
            </c:strRef>
          </c:cat>
          <c:val>
            <c:numRef>
              <c:f>'06_ActionBudget'!$AH$5:$AH$11</c:f>
              <c:numCache>
                <c:formatCode>0.0</c:formatCode>
                <c:ptCount val="0"/>
              </c:numCache>
            </c:numRef>
          </c:val>
        </c:ser>
        <c:ser>
          <c:idx val="5"/>
          <c:order val="5"/>
          <c:tx>
            <c:v>Emergency 후보</c:v>
          </c:tx>
          <c:cat>
            <c:strRef>
              <c:f>'06_ActionBudget'!$AC$5:$AC$11</c:f>
              <c:strCache>
                <c:ptCount val="0"/>
              </c:strCache>
            </c:strRef>
          </c:cat>
          <c:val>
            <c:numRef>
              <c:f>'06_ActionBudget'!$AI$5:$AI$11</c:f>
              <c:numCache>
                <c:formatCode>0.0</c:formatCode>
                <c:ptCount val="0"/>
              </c:numCache>
            </c:numRef>
          </c:val>
        </c:ser>
        <c:ser>
          <c:idx val="6"/>
          <c:order val="6"/>
          <c:tx>
            <c:v>권장 버퍼</c:v>
          </c:tx>
          <c:cat>
            <c:strRef>
              <c:f>'06_ActionBudget'!$AC$5:$AC$11</c:f>
              <c:strCache>
                <c:ptCount val="0"/>
              </c:strCache>
            </c:strRef>
          </c:cat>
          <c:val>
            <c:numRef>
              <c:f>'06_ActionBudget'!$AJ$5:$AJ$11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Route별 시간·투자 비교 (TEMP)</a:t>
            </a:r>
          </a:p>
        </c:rich>
      </c:tx>
    </c:title>
    <c:plotArea>
      <c:barChart>
        <c:barDir val="col"/>
        <c:varyColors val="0"/>
        <c:ser>
          <c:idx val="0"/>
          <c:order val="0"/>
          <c:tx>
            <c:v>총 사용시간</c:v>
          </c:tx>
          <c:cat>
            <c:strRef>
              <c:f>'07_RouteSimulation'!$R$6:$R$8</c:f>
              <c:strCache>
                <c:ptCount val="0"/>
              </c:strCache>
            </c:strRef>
          </c:cat>
          <c:val>
            <c:numRef>
              <c:f>'07_RouteSimulation'!$S$6:$S$8</c:f>
              <c:numCache>
                <c:formatCode>0.0</c:formatCode>
                <c:ptCount val="0"/>
              </c:numCache>
            </c:numRef>
          </c:val>
        </c:ser>
        <c:ser>
          <c:idx val="1"/>
          <c:order val="1"/>
          <c:tx>
            <c:v>총 자유시간</c:v>
          </c:tx>
          <c:cat>
            <c:strRef>
              <c:f>'07_RouteSimulation'!$R$6:$R$8</c:f>
              <c:strCache>
                <c:ptCount val="0"/>
              </c:strCache>
            </c:strRef>
          </c:cat>
          <c:val>
            <c:numRef>
              <c:f>'07_RouteSimulation'!$T$6:$T$8</c:f>
              <c:numCache>
                <c:formatCode>0.0</c:formatCode>
                <c:ptCount val="0"/>
              </c:numCache>
            </c:numRef>
          </c:val>
        </c:ser>
        <c:ser>
          <c:idx val="2"/>
          <c:order val="2"/>
          <c:tx>
            <c:v>Will 사용</c:v>
          </c:tx>
          <c:cat>
            <c:strRef>
              <c:f>'07_RouteSimulation'!$R$6:$R$8</c:f>
              <c:strCache>
                <c:ptCount val="0"/>
              </c:strCache>
            </c:strRef>
          </c:cat>
          <c:val>
            <c:numRef>
              <c:f>'07_RouteSimulation'!$U$6:$U$8</c:f>
              <c:numCache>
                <c:formatCode>0.0</c:formatCode>
                <c:ptCount val="0"/>
              </c:numCache>
            </c:numRef>
          </c:val>
        </c:ser>
        <c:ser>
          <c:idx val="3"/>
          <c:order val="3"/>
          <c:tx>
            <c:v>성장 슬롯</c:v>
          </c:tx>
          <c:cat>
            <c:strRef>
              <c:f>'07_RouteSimulation'!$R$6:$R$8</c:f>
              <c:strCache>
                <c:ptCount val="0"/>
              </c:strCache>
            </c:strRef>
          </c:cat>
          <c:val>
            <c:numRef>
              <c:f>'07_RouteSimulation'!$V$6:$V$8</c:f>
              <c:numCache>
                <c:formatCode>0.0</c:formatCode>
                <c:ptCount val="0"/>
              </c:numCache>
            </c:numRef>
          </c:val>
        </c:ser>
        <c:ser>
          <c:idx val="4"/>
          <c:order val="4"/>
          <c:tx>
            <c:v>수리 횟수</c:v>
          </c:tx>
          <c:cat>
            <c:strRef>
              <c:f>'07_RouteSimulation'!$R$6:$R$8</c:f>
              <c:strCache>
                <c:ptCount val="0"/>
              </c:strCache>
            </c:strRef>
          </c:cat>
          <c:val>
            <c:numRef>
              <c:f>'07_RouteSimulation'!$W$6:$W$8</c:f>
              <c:numCache>
                <c:formatCode>0.0</c:formatCode>
                <c:ptCount val="0"/>
              </c:numCache>
            </c:numRef>
          </c:val>
        </c:ser>
        <c:ser>
          <c:idx val="5"/>
          <c:order val="5"/>
          <c:tx>
            <c:v>Oasis</c:v>
          </c:tx>
          <c:cat>
            <c:strRef>
              <c:f>'07_RouteSimulation'!$R$6:$R$8</c:f>
              <c:strCache>
                <c:ptCount val="0"/>
              </c:strCache>
            </c:strRef>
          </c:cat>
          <c:val>
            <c:numRef>
              <c:f>'07_RouteSimulation'!$X$6:$X$8</c:f>
              <c:numCache>
                <c:formatCode>0.0</c:formatCode>
                <c:ptCount val="0"/>
              </c:numCache>
            </c:numRef>
          </c:val>
        </c:ser>
        <c:ser>
          <c:idx val="6"/>
          <c:order val="6"/>
          <c:tx>
            <c:v>Settlement</c:v>
          </c:tx>
          <c:cat>
            <c:strRef>
              <c:f>'07_RouteSimulation'!$R$6:$R$8</c:f>
              <c:strCache>
                <c:ptCount val="0"/>
              </c:strCache>
            </c:strRef>
          </c:cat>
          <c:val>
            <c:numRef>
              <c:f>'07_RouteSimulation'!$Y$6:$Y$8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성장 곡선 vs 최고 요구치 (TEMP)</a:t>
            </a:r>
          </a:p>
        </c:rich>
      </c:tx>
    </c:title>
    <c:plotArea>
      <c:lineChart>
        <c:grouping val="standard"/>
        <c:varyColors val="0"/>
        <c:ser>
          <c:idx val="0"/>
          <c:order val="0"/>
          <c:tx>
            <c:v>최고 요구</c:v>
          </c:tx>
          <c:marker>
            <c:symbol val="none"/>
          </c:marker>
          <c:cat>
            <c:strRef>
              <c:f>'09_StatGrowth'!$A$36:$A$42</c:f>
              <c:strCache>
                <c:ptCount val="0"/>
              </c:strCache>
            </c:strRef>
          </c:cat>
          <c:val>
            <c:numRef>
              <c:f>'09_StatGrowth'!$B$36:$B$42</c:f>
              <c:numCache>
                <c:formatCode>General</c:formatCode>
                <c:ptCount val="0"/>
              </c:numCache>
            </c:numRef>
          </c:val>
        </c:ser>
        <c:ser>
          <c:idx val="1"/>
          <c:order val="1"/>
          <c:tx>
            <c:v>균형 집중 예상</c:v>
          </c:tx>
          <c:marker>
            <c:symbol val="none"/>
          </c:marker>
          <c:cat>
            <c:strRef>
              <c:f>'09_StatGrowth'!$A$36:$A$42</c:f>
              <c:strCache>
                <c:ptCount val="0"/>
              </c:strCache>
            </c:strRef>
          </c:cat>
          <c:val>
            <c:numRef>
              <c:f>'09_StatGrowth'!$C$36:$C$42</c:f>
              <c:numCache>
                <c:formatCode>General</c:formatCode>
                <c:ptCount val="0"/>
              </c:numCache>
            </c:numRef>
          </c:val>
        </c:ser>
        <c:ser>
          <c:idx val="2"/>
          <c:order val="2"/>
          <c:tx>
            <c:v>극단 집중 예상</c:v>
          </c:tx>
          <c:marker>
            <c:symbol val="none"/>
          </c:marker>
          <c:cat>
            <c:strRef>
              <c:f>'09_StatGrowth'!$A$36:$A$42</c:f>
              <c:strCache>
                <c:ptCount val="0"/>
              </c:strCache>
            </c:strRef>
          </c:cat>
          <c:val>
            <c:numRef>
              <c:f>'09_StatGrowth'!$D$36:$D$42</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D15~20 Root Emergency 기본 대응 시간</a:t>
            </a:r>
          </a:p>
        </c:rich>
      </c:tx>
    </c:title>
    <c:plotArea>
      <c:barChart>
        <c:barDir val="col"/>
        <c:grouping val="clustered"/>
        <c:varyColors val="0"/>
        <c:ser>
          <c:idx val="0"/>
          <c:order val="0"/>
          <c:tx>
            <c:v>Root 수</c:v>
          </c:tx>
          <c:cat>
            <c:strRef>
              <c:f>'11_EmergencySchedule'!$A$51:$A$56</c:f>
              <c:strCache>
                <c:ptCount val="0"/>
              </c:strCache>
            </c:strRef>
          </c:cat>
          <c:val>
            <c:numRef>
              <c:f>'11_EmergencySchedule'!$B$51:$B$56</c:f>
              <c:numCache>
                <c:formatCode>General</c:formatCode>
                <c:ptCount val="0"/>
              </c:numCache>
            </c:numRef>
          </c:val>
        </c:ser>
        <c:ser>
          <c:idx val="1"/>
          <c:order val="1"/>
          <c:tx>
            <c:v>Root 기본시간</c:v>
          </c:tx>
          <c:cat>
            <c:strRef>
              <c:f>'11_EmergencySchedule'!$A$51:$A$56</c:f>
              <c:strCache>
                <c:ptCount val="0"/>
              </c:strCache>
            </c:strRef>
          </c:cat>
          <c:val>
            <c:numRef>
              <c:f>'11_EmergencySchedule'!$C$51:$C$56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W3 Build별 비용 비교 (Pattern B)</a:t>
            </a:r>
          </a:p>
        </c:rich>
      </c:tx>
    </c:title>
    <c:plotArea>
      <c:barChart>
        <c:barDir val="col"/>
        <c:grouping val="clustered"/>
        <c:varyColors val="0"/>
        <c:ser>
          <c:idx val="0"/>
          <c:order val="0"/>
          <c:tx>
            <c:v>Jay Emergency h</c:v>
          </c:tx>
          <c:cat>
            <c:strRef>
              <c:f>'12_W3BuildSimulation'!$J$16:$J$19</c:f>
              <c:strCache>
                <c:ptCount val="0"/>
              </c:strCache>
            </c:strRef>
          </c:cat>
          <c:val>
            <c:numRef>
              <c:f>'12_W3BuildSimulation'!$K$16:$K$19</c:f>
              <c:numCache>
                <c:formatCode>General</c:formatCode>
                <c:ptCount val="0"/>
              </c:numCache>
            </c:numRef>
          </c:val>
        </c:ser>
        <c:ser>
          <c:idx val="1"/>
          <c:order val="1"/>
          <c:tx>
            <c:v>Will</c:v>
          </c:tx>
          <c:cat>
            <c:strRef>
              <c:f>'12_W3BuildSimulation'!$J$16:$J$19</c:f>
              <c:strCache>
                <c:ptCount val="0"/>
              </c:strCache>
            </c:strRef>
          </c:cat>
          <c:val>
            <c:numRef>
              <c:f>'12_W3BuildSimulation'!$L$16:$L$19</c:f>
              <c:numCache>
                <c:formatCode>General</c:formatCode>
                <c:ptCount val="0"/>
              </c:numCache>
            </c:numRef>
          </c:val>
        </c:ser>
        <c:ser>
          <c:idx val="2"/>
          <c:order val="2"/>
          <c:tx>
            <c:v>NPC h</c:v>
          </c:tx>
          <c:cat>
            <c:strRef>
              <c:f>'12_W3BuildSimulation'!$J$16:$J$19</c:f>
              <c:strCache>
                <c:ptCount val="0"/>
              </c:strCache>
            </c:strRef>
          </c:cat>
          <c:val>
            <c:numRef>
              <c:f>'12_W3BuildSimulation'!$M$16:$M$19</c:f>
              <c:numCache>
                <c:formatCode>General</c:formatCode>
                <c:ptCount val="0"/>
              </c:numCache>
            </c:numRef>
          </c:val>
        </c:ser>
        <c:ser>
          <c:idx val="3"/>
          <c:order val="3"/>
          <c:tx>
            <c:v>Tick</c:v>
          </c:tx>
          <c:cat>
            <c:strRef>
              <c:f>'12_W3BuildSimulation'!$J$16:$J$19</c:f>
              <c:strCache>
                <c:ptCount val="0"/>
              </c:strCache>
            </c:strRef>
          </c:cat>
          <c:val>
            <c:numRef>
              <c:f>'12_W3BuildSimulation'!$N$16:$N$19</c:f>
              <c:numCache>
                <c:formatCode>General</c:formatCode>
                <c:ptCount val="0"/>
              </c:numCache>
            </c:numRef>
          </c:val>
        </c:ser>
        <c:ser>
          <c:idx val="4"/>
          <c:order val="4"/>
          <c:tx>
            <c:v>추가수리 h</c:v>
          </c:tx>
          <c:cat>
            <c:strRef>
              <c:f>'12_W3BuildSimulation'!$J$16:$J$19</c:f>
              <c:strCache>
                <c:ptCount val="0"/>
              </c:strCache>
            </c:strRef>
          </c:cat>
          <c:val>
            <c:numRef>
              <c:f>'12_W3BuildSimulation'!$O$16:$O$19</c:f>
              <c:numCache>
                <c:formatCode>General</c:formatCode>
                <c:ptCount val="0"/>
              </c:numCache>
            </c:numRef>
          </c:val>
        </c:ser>
        <c:ser>
          <c:idx val="5"/>
          <c:order val="5"/>
          <c:tx>
            <c:v>W3 총 Jay h</c:v>
          </c:tx>
          <c:cat>
            <c:strRef>
              <c:f>'12_W3BuildSimulation'!$J$16:$J$19</c:f>
              <c:strCache>
                <c:ptCount val="0"/>
              </c:strCache>
            </c:strRef>
          </c:cat>
          <c:val>
            <c:numRef>
              <c:f>'12_W3BuildSimulation'!$P$16:$P$19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Repair Profile별 D15 시설값</a:t>
            </a:r>
          </a:p>
        </c:rich>
      </c:tx>
    </c:title>
    <c:plotArea>
      <c:barChart>
        <c:barDir val="col"/>
        <c:grouping val="clustered"/>
        <c:varyColors val="0"/>
        <c:ser>
          <c:idx val="0"/>
          <c:order val="0"/>
          <c:tx>
            <c:v>Hull</c:v>
          </c:tx>
          <c:cat>
            <c:strRef>
              <c:f>'13_FacilityTransition'!$A$24:$A$29</c:f>
              <c:strCache>
                <c:ptCount val="0"/>
              </c:strCache>
            </c:strRef>
          </c:cat>
          <c:val>
            <c:numRef>
              <c:f>'13_FacilityTransition'!$B$24:$B$29</c:f>
              <c:numCache>
                <c:formatCode>General</c:formatCode>
                <c:ptCount val="0"/>
              </c:numCache>
            </c:numRef>
          </c:val>
        </c:ser>
        <c:ser>
          <c:idx val="1"/>
          <c:order val="1"/>
          <c:tx>
            <c:v>Bridge</c:v>
          </c:tx>
          <c:cat>
            <c:strRef>
              <c:f>'13_FacilityTransition'!$A$24:$A$29</c:f>
              <c:strCache>
                <c:ptCount val="0"/>
              </c:strCache>
            </c:strRef>
          </c:cat>
          <c:val>
            <c:numRef>
              <c:f>'13_FacilityTransition'!$C$24:$C$29</c:f>
              <c:numCache>
                <c:formatCode>General</c:formatCode>
                <c:ptCount val="0"/>
              </c:numCache>
            </c:numRef>
          </c:val>
        </c:ser>
        <c:ser>
          <c:idx val="2"/>
          <c:order val="2"/>
          <c:tx>
            <c:v>Engine</c:v>
          </c:tx>
          <c:cat>
            <c:strRef>
              <c:f>'13_FacilityTransition'!$A$24:$A$29</c:f>
              <c:strCache>
                <c:ptCount val="0"/>
              </c:strCache>
            </c:strRef>
          </c:cat>
          <c:val>
            <c:numRef>
              <c:f>'13_FacilityTransition'!$D$24:$D$29</c:f>
              <c:numCache>
                <c:formatCode>General</c:formatCode>
                <c:ptCount val="0"/>
              </c:numCache>
            </c:numRef>
          </c:val>
        </c:ser>
        <c:ser>
          <c:idx val="3"/>
          <c:order val="3"/>
          <c:tx>
            <c:v>Oxygen</c:v>
          </c:tx>
          <c:cat>
            <c:strRef>
              <c:f>'13_FacilityTransition'!$A$24:$A$29</c:f>
              <c:strCache>
                <c:ptCount val="0"/>
              </c:strCache>
            </c:strRef>
          </c:cat>
          <c:val>
            <c:numRef>
              <c:f>'13_FacilityTransition'!$E$24:$E$29</c:f>
              <c:numCache>
                <c:formatCode>General</c:formatCode>
                <c:ptCount val="0"/>
              </c:numCache>
            </c:numRef>
          </c:val>
        </c:ser>
        <c:ser>
          <c:idx val="4"/>
          <c:order val="4"/>
          <c:tx>
            <c:v>Research</c:v>
          </c:tx>
          <c:cat>
            <c:strRef>
              <c:f>'13_FacilityTransition'!$A$24:$A$29</c:f>
              <c:strCache>
                <c:ptCount val="0"/>
              </c:strCache>
            </c:strRef>
          </c:cat>
          <c:val>
            <c:numRef>
              <c:f>'13_FacilityTransition'!$F$24:$F$29</c:f>
              <c:numCache>
                <c:formatCode>General</c:formatCode>
                <c:ptCount val="0"/>
              </c:numCache>
            </c:numRef>
          </c:val>
        </c:ser>
        <c:ser>
          <c:idx val="5"/>
          <c:order val="5"/>
          <c:tx>
            <c:v>Freezer</c:v>
          </c:tx>
          <c:cat>
            <c:strRef>
              <c:f>'13_FacilityTransition'!$A$24:$A$29</c:f>
              <c:strCache>
                <c:ptCount val="0"/>
              </c:strCache>
            </c:strRef>
          </c:cat>
          <c:val>
            <c:numRef>
              <c:f>'13_FacilityTransition'!$G$24:$G$29</c:f>
              <c:numCache>
                <c:formatCode>General</c:formatCode>
                <c:ptCount val="0"/>
              </c:numCache>
            </c:numRef>
          </c:val>
        </c:ser>
        <c:ser>
          <c:idx val="6"/>
          <c:order val="6"/>
          <c:tx>
            <c:v>Greenhouse</c:v>
          </c:tx>
          <c:cat>
            <c:strRef>
              <c:f>'13_FacilityTransition'!$A$24:$A$29</c:f>
              <c:strCache>
                <c:ptCount val="0"/>
              </c:strCache>
            </c:strRef>
          </c:cat>
          <c:val>
            <c:numRef>
              <c:f>'13_FacilityTransition'!$H$24:$H$29</c:f>
              <c:numCache>
                <c:formatCode>General</c:formatCode>
                <c:ptCount val="0"/>
              </c:numCache>
            </c:numRef>
          </c:val>
        </c:ser>
        <c:ser>
          <c:idx val="7"/>
          <c:order val="7"/>
          <c:tx>
            <c:v>Living</c:v>
          </c:tx>
          <c:cat>
            <c:strRef>
              <c:f>'13_FacilityTransition'!$A$24:$A$29</c:f>
              <c:strCache>
                <c:ptCount val="0"/>
              </c:strCache>
            </c:strRef>
          </c:cat>
          <c:val>
            <c:numRef>
              <c:f>'13_FacilityTransition'!$I$24:$I$29</c:f>
              <c:numCache>
                <c:formatCode>General</c:formatCode>
                <c:ptCount val="0"/>
              </c:numCache>
            </c:numRef>
          </c:val>
        </c:ser>
        <c:ser>
          <c:idx val="8"/>
          <c:order val="8"/>
          <c:tx>
            <c:v>Total</c:v>
          </c:tx>
          <c:cat>
            <c:strRef>
              <c:f>'13_FacilityTransition'!$A$24:$A$29</c:f>
              <c:strCache>
                <c:ptCount val="0"/>
              </c:strCache>
            </c:strRef>
          </c:cat>
          <c:val>
            <c:numRef>
              <c:f>'13_FacilityTransition'!$J$24:$J$29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Pattern별 Normal 복구 최소 Standard Repair</a:t>
            </a:r>
          </a:p>
        </c:rich>
      </c:tx>
    </c:title>
    <c:plotArea>
      <c:barChart>
        <c:barDir val="col"/>
        <c:grouping val="clustered"/>
        <c:varyColors val="0"/>
        <c:ser>
          <c:idx val="0"/>
          <c:order val="0"/>
          <c:tx>
            <c:v>Pattern A Normal 최소</c:v>
          </c:tx>
          <c:cat>
            <c:strRef>
              <c:f>'14_W3FullFacilitySim'!$A$38:$A$42</c:f>
              <c:strCache>
                <c:ptCount val="0"/>
              </c:strCache>
            </c:strRef>
          </c:cat>
          <c:val>
            <c:numRef>
              <c:f>'14_W3FullFacilitySim'!$B$38:$B$42</c:f>
              <c:numCache>
                <c:formatCode>General</c:formatCode>
                <c:ptCount val="0"/>
              </c:numCache>
            </c:numRef>
          </c:val>
        </c:ser>
        <c:ser>
          <c:idx val="1"/>
          <c:order val="1"/>
          <c:tx>
            <c:v>Pattern B Normal 최소</c:v>
          </c:tx>
          <c:cat>
            <c:strRef>
              <c:f>'14_W3FullFacilitySim'!$A$38:$A$42</c:f>
              <c:strCache>
                <c:ptCount val="0"/>
              </c:strCache>
            </c:strRef>
          </c:cat>
          <c:val>
            <c:numRef>
              <c:f>'14_W3FullFacilitySim'!$C$38:$C$42</c:f>
              <c:numCache>
                <c:formatCode>General</c:formatCode>
                <c:ptCount val="0"/>
              </c:numCache>
            </c:numRef>
          </c:val>
        </c:ser>
        <c:ser>
          <c:idx val="2"/>
          <c:order val="2"/>
          <c:tx>
            <c:v>Pattern C Normal 최소</c:v>
          </c:tx>
          <c:cat>
            <c:strRef>
              <c:f>'14_W3FullFacilitySim'!$A$38:$A$42</c:f>
              <c:strCache>
                <c:ptCount val="0"/>
              </c:strCache>
            </c:strRef>
          </c:cat>
          <c:val>
            <c:numRef>
              <c:f>'14_W3FullFacilitySim'!$D$38:$D$42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v0.3 Hard-Normal: Profile별 Normal 복구 수리</a:t>
            </a:r>
          </a:p>
        </c:rich>
      </c:tx>
    </c:title>
    <c:plotArea>
      <c:barChart>
        <c:barDir val="col"/>
        <c:grouping val="clustered"/>
        <c:varyColors val="0"/>
        <c:ser>
          <c:idx val="0"/>
          <c:order val="0"/>
          <c:tx>
            <c:v>Normal 최소</c:v>
          </c:tx>
          <c:cat>
            <c:strRef>
              <c:f>'15_W3BossRebalance'!$J$91:$J$95</c:f>
              <c:strCache>
                <c:ptCount val="0"/>
              </c:strCache>
            </c:strRef>
          </c:cat>
          <c:val>
            <c:numRef>
              <c:f>'15_W3BossRebalance'!$K$91:$K$95</c:f>
              <c:numCache>
                <c:formatCode>General</c:formatCode>
                <c:ptCount val="0"/>
              </c:numCache>
            </c:numRef>
          </c:val>
        </c:ser>
        <c:ser>
          <c:idx val="1"/>
          <c:order val="1"/>
          <c:tx>
            <c:v>Normal 최대</c:v>
          </c:tx>
          <c:cat>
            <c:strRef>
              <c:f>'15_W3BossRebalance'!$J$91:$J$95</c:f>
              <c:strCache>
                <c:ptCount val="0"/>
              </c:strCache>
            </c:strRef>
          </c:cat>
          <c:val>
            <c:numRef>
              <c:f>'15_W3BossRebalance'!$L$91:$L$95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NPC Crisis 역할 커버리지</a:t>
            </a:r>
          </a:p>
        </c:rich>
      </c:tx>
    </c:title>
    <c:plotArea>
      <c:barChart>
        <c:barDir val="col"/>
        <c:grouping val="clustered"/>
        <c:varyColors val="0"/>
        <c:ser>
          <c:idx val="0"/>
          <c:order val="0"/>
          <c:tx>
            <c:v>Primary 수</c:v>
          </c:tx>
          <c:cat>
            <c:strRef>
              <c:f>'16_FacilityCrisisGrammar'!$I$64:$I$69</c:f>
              <c:strCache>
                <c:ptCount val="0"/>
              </c:strCache>
            </c:strRef>
          </c:cat>
          <c:val>
            <c:numRef>
              <c:f>'16_FacilityCrisisGrammar'!$J$64:$J$69</c:f>
              <c:numCache>
                <c:formatCode>General</c:formatCode>
                <c:ptCount val="0"/>
              </c:numCache>
            </c:numRef>
          </c:val>
        </c:ser>
        <c:ser>
          <c:idx val="1"/>
          <c:order val="1"/>
          <c:tx>
            <c:v>Support 수</c:v>
          </c:tx>
          <c:cat>
            <c:strRef>
              <c:f>'16_FacilityCrisisGrammar'!$I$64:$I$69</c:f>
              <c:strCache>
                <c:ptCount val="0"/>
              </c:strCache>
            </c:strRef>
          </c:cat>
          <c:val>
            <c:numRef>
              <c:f>'16_FacilityCrisisGrammar'!$K$64:$K$69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Route Mastery 분포</a:t>
            </a:r>
          </a:p>
        </c:rich>
      </c:tx>
    </c:title>
    <c:plotArea>
      <c:barChart>
        <c:barDir val="col"/>
        <c:grouping val="clustered"/>
        <c:varyColors val="0"/>
        <c:ser>
          <c:idx val="0"/>
          <c:order val="0"/>
          <c:tx>
            <c:v>Full Route 수</c:v>
          </c:tx>
          <c:cat>
            <c:strRef>
              <c:f>'17_CharacterFinals'!$H$35:$H$37</c:f>
              <c:strCache>
                <c:ptCount val="0"/>
              </c:strCache>
            </c:strRef>
          </c:cat>
          <c:val>
            <c:numRef>
              <c:f>'17_CharacterFinals'!$I$35:$I$37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Ending 구조: 4 Bad / 2 Special / 3 Normal</a:t>
            </a:r>
          </a:p>
        </c:rich>
      </c:tx>
    </c:title>
    <c:plotArea>
      <c:barChart>
        <c:barDir val="col"/>
        <c:grouping val="clustered"/>
        <c:varyColors val="0"/>
        <c:ser>
          <c:idx val="0"/>
          <c:order val="0"/>
          <c:tx>
            <c:v>Bad</c:v>
          </c:tx>
          <c:cat>
            <c:strRef>
              <c:f>'18_EndingEvaluator'!$G$25:$G$30</c:f>
              <c:strCache>
                <c:ptCount val="0"/>
              </c:strCache>
            </c:strRef>
          </c:cat>
          <c:val>
            <c:numRef>
              <c:f>'18_EndingEvaluator'!$H$25:$H$30</c:f>
              <c:numCache>
                <c:formatCode>General</c:formatCode>
                <c:ptCount val="0"/>
              </c:numCache>
            </c:numRef>
          </c:val>
        </c:ser>
        <c:ser>
          <c:idx val="1"/>
          <c:order val="1"/>
          <c:tx>
            <c:v>Special</c:v>
          </c:tx>
          <c:cat>
            <c:strRef>
              <c:f>'18_EndingEvaluator'!$G$25:$G$30</c:f>
              <c:strCache>
                <c:ptCount val="0"/>
              </c:strCache>
            </c:strRef>
          </c:cat>
          <c:val>
            <c:numRef>
              <c:f>'18_EndingEvaluator'!$I$25:$I$30</c:f>
              <c:numCache>
                <c:formatCode>General</c:formatCode>
                <c:ptCount val="0"/>
              </c:numCache>
            </c:numRef>
          </c:val>
        </c:ser>
        <c:ser>
          <c:idx val="2"/>
          <c:order val="2"/>
          <c:tx>
            <c:v>Normal</c:v>
          </c:tx>
          <c:cat>
            <c:strRef>
              <c:f>'18_EndingEvaluator'!$G$25:$G$30</c:f>
              <c:strCache>
                <c:ptCount val="0"/>
              </c:strCache>
            </c:strRef>
          </c:cat>
          <c:val>
            <c:numRef>
              <c:f>'18_EndingEvaluator'!$J$25:$J$30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True 준비 — Day별 14h 압력</a:t>
            </a:r>
          </a:p>
        </c:rich>
      </c:tx>
    </c:title>
    <c:plotArea>
      <c:barChart>
        <c:barDir val="col"/>
        <c:grouping val="clustered"/>
        <c:varyColors val="0"/>
        <c:ser>
          <c:idx val="0"/>
          <c:order val="0"/>
          <c:tx>
            <c:v>공통 필수</c:v>
          </c:tx>
          <c:cat>
            <c:strRef>
              <c:f>'19_W2ReverseDesign'!$A$32:$A$38</c:f>
              <c:strCache>
                <c:ptCount val="0"/>
              </c:strCache>
            </c:strRef>
          </c:cat>
          <c:val>
            <c:numRef>
              <c:f>'19_W2ReverseDesign'!$B$32:$B$38</c:f>
              <c:numCache>
                <c:formatCode>General</c:formatCode>
                <c:ptCount val="0"/>
              </c:numCache>
            </c:numRef>
          </c:val>
        </c:ser>
        <c:ser>
          <c:idx val="1"/>
          <c:order val="1"/>
          <c:tx>
            <c:v>Repair</c:v>
          </c:tx>
          <c:cat>
            <c:strRef>
              <c:f>'19_W2ReverseDesign'!$A$32:$A$38</c:f>
              <c:strCache>
                <c:ptCount val="0"/>
              </c:strCache>
            </c:strRef>
          </c:cat>
          <c:val>
            <c:numRef>
              <c:f>'19_W2ReverseDesign'!$C$32:$C$38</c:f>
              <c:numCache>
                <c:formatCode>General</c:formatCode>
                <c:ptCount val="0"/>
              </c:numCache>
            </c:numRef>
          </c:val>
        </c:ser>
        <c:ser>
          <c:idx val="2"/>
          <c:order val="2"/>
          <c:tx>
            <c:v>Preserve</c:v>
          </c:tx>
          <c:cat>
            <c:strRef>
              <c:f>'19_W2ReverseDesign'!$A$32:$A$38</c:f>
              <c:strCache>
                <c:ptCount val="0"/>
              </c:strCache>
            </c:strRef>
          </c:cat>
          <c:val>
            <c:numRef>
              <c:f>'19_W2ReverseDesign'!$D$32:$D$38</c:f>
              <c:numCache>
                <c:formatCode>General</c:formatCode>
                <c:ptCount val="0"/>
              </c:numCache>
            </c:numRef>
          </c:val>
        </c:ser>
        <c:ser>
          <c:idx val="3"/>
          <c:order val="3"/>
          <c:tx>
            <c:v>Character / Route</c:v>
          </c:tx>
          <c:cat>
            <c:strRef>
              <c:f>'19_W2ReverseDesign'!$A$32:$A$38</c:f>
              <c:strCache>
                <c:ptCount val="0"/>
              </c:strCache>
            </c:strRef>
          </c:cat>
          <c:val>
            <c:numRef>
              <c:f>'19_W2ReverseDesign'!$E$32:$E$38</c:f>
              <c:numCache>
                <c:formatCode>General</c:formatCode>
                <c:ptCount val="0"/>
              </c:numCache>
            </c:numRef>
          </c:val>
        </c:ser>
        <c:ser>
          <c:idx val="4"/>
          <c:order val="4"/>
          <c:tx>
            <c:v>Growth/기타</c:v>
          </c:tx>
          <c:cat>
            <c:strRef>
              <c:f>'19_W2ReverseDesign'!$A$32:$A$38</c:f>
              <c:strCache>
                <c:ptCount val="0"/>
              </c:strCache>
            </c:strRef>
          </c:cat>
          <c:val>
            <c:numRef>
              <c:f>'19_W2ReverseDesign'!$F$32:$F$38</c:f>
              <c:numCache>
                <c:formatCode>General</c:formatCode>
                <c:ptCount val="0"/>
              </c:numCache>
            </c:numRef>
          </c:val>
        </c:ser>
        <c:ser>
          <c:idx val="5"/>
          <c:order val="5"/>
          <c:tx>
            <c:v>계획시간</c:v>
          </c:tx>
          <c:cat>
            <c:strRef>
              <c:f>'19_W2ReverseDesign'!$A$32:$A$38</c:f>
              <c:strCache>
                <c:ptCount val="0"/>
              </c:strCache>
            </c:strRef>
          </c:cat>
          <c:val>
            <c:numRef>
              <c:f>'19_W2ReverseDesign'!$G$32:$G$38</c:f>
              <c:numCache>
                <c:formatCode>General</c:formatCode>
                <c:ptCount val="0"/>
              </c:numCache>
            </c:numRef>
          </c:val>
        </c:ser>
        <c:ser>
          <c:idx val="6"/>
          <c:order val="6"/>
          <c:tx>
            <c:v>자유시간</c:v>
          </c:tx>
          <c:cat>
            <c:strRef>
              <c:f>'19_W2ReverseDesign'!$A$32:$A$38</c:f>
              <c:strCache>
                <c:ptCount val="0"/>
              </c:strCache>
            </c:strRef>
          </c:cat>
          <c:val>
            <c:numRef>
              <c:f>'19_W2ReverseDesign'!$H$32:$H$38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W1 Focus Anchor 적용 전/후 Mastery 상한</a:t>
            </a:r>
          </a:p>
        </c:rich>
      </c:tx>
    </c:title>
    <c:plotArea>
      <c:barChart>
        <c:barDir val="col"/>
        <c:grouping val="clustered"/>
        <c:varyColors val="0"/>
        <c:ser>
          <c:idx val="0"/>
          <c:order val="0"/>
          <c:tx>
            <c:v>가능 Mastery</c:v>
          </c:tx>
          <c:cat>
            <c:strRef>
              <c:f>'20_W1ReverseAudit'!$G$60:$G$63</c:f>
              <c:strCache>
                <c:ptCount val="0"/>
              </c:strCache>
            </c:strRef>
          </c:cat>
          <c:val>
            <c:numRef>
              <c:f>'20_W1ReverseAudit'!$H$60:$H$63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통합 Route별 계획시간 / 자유시간</a:t>
            </a:r>
          </a:p>
        </c:rich>
      </c:tx>
    </c:title>
    <c:plotArea>
      <c:barChart>
        <c:barDir val="col"/>
        <c:grouping val="clustered"/>
        <c:varyColors val="0"/>
        <c:ser>
          <c:idx val="0"/>
          <c:order val="0"/>
          <c:tx>
            <c:v>총 계획 h</c:v>
          </c:tx>
          <c:cat>
            <c:strRef>
              <c:f>'21_IntegratedRouteSim'!$A$91:$A$93</c:f>
              <c:strCache>
                <c:ptCount val="0"/>
              </c:strCache>
            </c:strRef>
          </c:cat>
          <c:val>
            <c:numRef>
              <c:f>'21_IntegratedRouteSim'!$B$91:$B$93</c:f>
              <c:numCache>
                <c:formatCode>General</c:formatCode>
                <c:ptCount val="0"/>
              </c:numCache>
            </c:numRef>
          </c:val>
        </c:ser>
        <c:ser>
          <c:idx val="1"/>
          <c:order val="1"/>
          <c:tx>
            <c:v>총 자유 h</c:v>
          </c:tx>
          <c:cat>
            <c:strRef>
              <c:f>'21_IntegratedRouteSim'!$A$91:$A$93</c:f>
              <c:strCache>
                <c:ptCount val="0"/>
              </c:strCache>
            </c:strRef>
          </c:cat>
          <c:val>
            <c:numRef>
              <c:f>'21_IntegratedRouteSim'!$C$91:$C$93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v1.1 XP 공급 강도</a:t>
            </a:r>
          </a:p>
        </c:rich>
      </c:tx>
    </c:title>
    <c:plotArea>
      <c:barChart>
        <c:barDir val="col"/>
        <c:grouping val="clustered"/>
        <c:varyColors val="0"/>
        <c:ser>
          <c:idx val="0"/>
          <c:order val="0"/>
          <c:tx>
            <c:v>대표XP</c:v>
          </c:tx>
          <c:cat>
            <c:strRef>
              <c:f>'22_BalancePatch_v1.1'!$M$29:$M$31</c:f>
              <c:strCache>
                <c:ptCount val="0"/>
              </c:strCache>
            </c:strRef>
          </c:cat>
          <c:val>
            <c:numRef>
              <c:f>'22_BalancePatch_v1.1'!$N$29:$N$31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대표 Route별 실제 XP 분포</a:t>
            </a:r>
          </a:p>
        </c:rich>
      </c:tx>
    </c:title>
    <c:plotArea>
      <c:barChart>
        <c:barDir val="col"/>
        <c:grouping val="clustered"/>
        <c:varyColors val="0"/>
        <c:ser>
          <c:idx val="0"/>
          <c:order val="0"/>
          <c:tx>
            <c:v>시작 강/교/기</c:v>
          </c:tx>
          <c:cat>
            <c:strRef>
              <c:f>'23_ReSim_v1.1'!$A$68:$A$70</c:f>
              <c:strCache>
                <c:ptCount val="0"/>
              </c:strCache>
            </c:strRef>
          </c:cat>
          <c:val>
            <c:numRef>
              <c:f>'23_ReSim_v1.1'!$B$68:$B$70</c:f>
              <c:numCache>
                <c:formatCode>General</c:formatCode>
                <c:ptCount val="0"/>
              </c:numCache>
            </c:numRef>
          </c:val>
        </c:ser>
        <c:ser>
          <c:idx val="1"/>
          <c:order val="1"/>
          <c:tx>
            <c:v>강인함 XP</c:v>
          </c:tx>
          <c:cat>
            <c:strRef>
              <c:f>'23_ReSim_v1.1'!$A$68:$A$70</c:f>
              <c:strCache>
                <c:ptCount val="0"/>
              </c:strCache>
            </c:strRef>
          </c:cat>
          <c:val>
            <c:numRef>
              <c:f>'23_ReSim_v1.1'!$C$68:$C$70</c:f>
              <c:numCache>
                <c:formatCode>General</c:formatCode>
                <c:ptCount val="0"/>
              </c:numCache>
            </c:numRef>
          </c:val>
        </c:ser>
        <c:ser>
          <c:idx val="2"/>
          <c:order val="2"/>
          <c:tx>
            <c:v>교감 XP</c:v>
          </c:tx>
          <c:cat>
            <c:strRef>
              <c:f>'23_ReSim_v1.1'!$A$68:$A$70</c:f>
              <c:strCache>
                <c:ptCount val="0"/>
              </c:strCache>
            </c:strRef>
          </c:cat>
          <c:val>
            <c:numRef>
              <c:f>'23_ReSim_v1.1'!$D$68:$D$70</c:f>
              <c:numCache>
                <c:formatCode>General</c:formatCode>
                <c:ptCount val="0"/>
              </c:numCache>
            </c:numRef>
          </c:val>
        </c:ser>
        <c:ser>
          <c:idx val="3"/>
          <c:order val="3"/>
          <c:tx>
            <c:v>기술 XP</c:v>
          </c:tx>
          <c:cat>
            <c:strRef>
              <c:f>'23_ReSim_v1.1'!$A$68:$A$70</c:f>
              <c:strCache>
                <c:ptCount val="0"/>
              </c:strCache>
            </c:strRef>
          </c:cat>
          <c:val>
            <c:numRef>
              <c:f>'23_ReSim_v1.1'!$E$68:$E$70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XP Draft — Week별 기회 구성</a:t>
            </a:r>
          </a:p>
        </c:rich>
      </c:tx>
    </c:title>
    <c:plotArea>
      <c:barChart>
        <c:barDir val="col"/>
        <c:grouping val="clustered"/>
        <c:varyColors val="0"/>
        <c:ser>
          <c:idx val="0"/>
          <c:order val="0"/>
          <c:tx>
            <c:v>W1</c:v>
          </c:tx>
          <c:cat>
            <c:strRef>
              <c:f>'24_Normal23_XPPlan'!$M$49:$M$53</c:f>
              <c:strCache>
                <c:ptCount val="0"/>
              </c:strCache>
            </c:strRef>
          </c:cat>
          <c:val>
            <c:numRef>
              <c:f>'24_Normal23_XPPlan'!$N$49:$N$53</c:f>
              <c:numCache>
                <c:formatCode>General</c:formatCode>
                <c:ptCount val="0"/>
              </c:numCache>
            </c:numRef>
          </c:val>
        </c:ser>
        <c:ser>
          <c:idx val="1"/>
          <c:order val="1"/>
          <c:tx>
            <c:v>W2</c:v>
          </c:tx>
          <c:cat>
            <c:strRef>
              <c:f>'24_Normal23_XPPlan'!$M$49:$M$53</c:f>
              <c:strCache>
                <c:ptCount val="0"/>
              </c:strCache>
            </c:strRef>
          </c:cat>
          <c:val>
            <c:numRef>
              <c:f>'24_Normal23_XPPlan'!$O$49:$O$53</c:f>
              <c:numCache>
                <c:formatCode>General</c:formatCode>
                <c:ptCount val="0"/>
              </c:numCache>
            </c:numRef>
          </c:val>
        </c:ser>
        <c:ser>
          <c:idx val="2"/>
          <c:order val="2"/>
          <c:tx>
            <c:v>W3</c:v>
          </c:tx>
          <c:cat>
            <c:strRef>
              <c:f>'24_Normal23_XPPlan'!$M$49:$M$53</c:f>
              <c:strCache>
                <c:ptCount val="0"/>
              </c:strCache>
            </c:strRef>
          </c:cat>
          <c:val>
            <c:numRef>
              <c:f>'24_Normal23_XPPlan'!$P$49:$P$53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Narrative Pass 변경량</a:t>
            </a:r>
          </a:p>
        </c:rich>
      </c:tx>
    </c:title>
    <c:plotArea>
      <c:barChart>
        <c:barDir val="col"/>
        <c:grouping val="clustered"/>
        <c:varyColors val="0"/>
        <c:ser>
          <c:idx val="0"/>
          <c:order val="0"/>
          <c:tx>
            <c:v>유지</c:v>
          </c:tx>
          <c:cat>
            <c:strRef>
              <c:f>'25_NarrativeContentPass'!$M$6:$M$10</c:f>
              <c:strCache>
                <c:ptCount val="0"/>
              </c:strCache>
            </c:strRef>
          </c:cat>
          <c:val>
            <c:numRef>
              <c:f>'25_NarrativeContentPass'!$N$6:$N$10</c:f>
              <c:numCache>
                <c:formatCode>General</c:formatCode>
                <c:ptCount val="0"/>
              </c:numCache>
            </c:numRef>
          </c:val>
        </c:ser>
        <c:ser>
          <c:idx val="1"/>
          <c:order val="1"/>
          <c:tx>
            <c:v>수정</c:v>
          </c:tx>
          <c:cat>
            <c:strRef>
              <c:f>'25_NarrativeContentPass'!$M$6:$M$10</c:f>
              <c:strCache>
                <c:ptCount val="0"/>
              </c:strCache>
            </c:strRef>
          </c:cat>
          <c:val>
            <c:numRef>
              <c:f>'25_NarrativeContentPass'!$O$6:$O$10</c:f>
              <c:numCache>
                <c:formatCode>General</c:formatCode>
                <c:ptCount val="0"/>
              </c:numCache>
            </c:numRef>
          </c:val>
        </c:ser>
        <c:ser>
          <c:idx val="2"/>
          <c:order val="2"/>
          <c:tx>
            <c:v>폐기</c:v>
          </c:tx>
          <c:cat>
            <c:strRef>
              <c:f>'25_NarrativeContentPass'!$M$6:$M$10</c:f>
              <c:strCache>
                <c:ptCount val="0"/>
              </c:strCache>
            </c:strRef>
          </c:cat>
          <c:val>
            <c:numRef>
              <c:f>'25_NarrativeContentPass'!$P$6:$P$10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2</xdr:row>
      <xdr:rowOff>0</xdr:rowOff>
    </xdr:from>
    <xdr:to>
      <xdr:col>17</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e64bda9a994178"/>
        </a:graphicData>
      </a:graphic>
    </xdr:graphicFrame>
    <xdr:clientData/>
  </xdr:twoCellAnchor>
  <xdr:twoCellAnchor>
    <xdr:from>
      <xdr:col>18</xdr:col>
      <xdr:colOff>0</xdr:colOff>
      <xdr:row>14</xdr:row>
      <xdr:rowOff>0</xdr:rowOff>
    </xdr:from>
    <xdr:to>
      <xdr:col>27</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737c1de6d349f0"/>
        </a:graphicData>
      </a:graphic>
    </xdr:graphicFrame>
    <xdr:clientData/>
  </xdr:twoCellAnchor>
  <xdr:twoCellAnchor>
    <xdr:from>
      <xdr:col>28</xdr:col>
      <xdr:colOff>0</xdr:colOff>
      <xdr:row>15</xdr:row>
      <xdr:rowOff>0</xdr:rowOff>
    </xdr:from>
    <xdr:to>
      <xdr:col>39</xdr:col>
      <xdr:colOff>0</xdr:colOff>
      <xdr:row>32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0375e84a2f45c0"/>
        </a:graphicData>
      </a:graphic>
    </xdr:graphicFrame>
    <xdr:clientData/>
  </xdr:twoCellAnchor>
</xdr:wsDr>
</file>

<file path=xl/drawings/drawing2.xml><?xml version="1.0" encoding="utf-8"?>
<xdr:wsDr xmlns:xdr="http://schemas.openxmlformats.org/drawingml/2006/spreadsheetDrawing">
  <xdr:twoCellAnchor>
    <xdr:from>
      <xdr:col>17</xdr:col>
      <xdr:colOff>0</xdr:colOff>
      <xdr:row>19</xdr:row>
      <xdr:rowOff>0</xdr:rowOff>
    </xdr:from>
    <xdr:to>
      <xdr:col>26</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93ed8c740d469d"/>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43</xdr:row>
      <xdr:rowOff>0</xdr:rowOff>
    </xdr:from>
    <xdr:to>
      <xdr:col>8</xdr:col>
      <xdr:colOff>0</xdr:colOff>
      <xdr:row>60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796efc6d0f49ff"/>
        </a:graphicData>
      </a:graphic>
    </xdr:graphicFrame>
    <xdr:clientData/>
  </xdr:twoCellAnchor>
</xdr:wsDr>
</file>

<file path=xl/drawings/drawing4.xml><?xml version="1.0" encoding="utf-8"?>
<xdr:wsDr xmlns:xdr="http://schemas.openxmlformats.org/drawingml/2006/spreadsheetDrawing">
  <xdr:twoCellAnchor>
    <xdr:from>
      <xdr:col>8</xdr:col>
      <xdr:colOff>0</xdr:colOff>
      <xdr:row>68</xdr:row>
      <xdr:rowOff>0</xdr:rowOff>
    </xdr:from>
    <xdr:to>
      <xdr:col>14</xdr:col>
      <xdr:colOff>0</xdr:colOff>
      <xdr:row>84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d604e6668d4c35"/>
        </a:graphicData>
      </a:graphic>
    </xdr:graphicFrame>
    <xdr:clientData/>
  </xdr:twoCellAnchor>
</xdr:wsDr>
</file>

<file path=xl/drawings/drawing5.xml><?xml version="1.0" encoding="utf-8"?>
<xdr:wsDr xmlns:xdr="http://schemas.openxmlformats.org/drawingml/2006/spreadsheetDrawing">
  <xdr:twoCellAnchor>
    <xdr:from>
      <xdr:col>9</xdr:col>
      <xdr:colOff>0</xdr:colOff>
      <xdr:row>20</xdr:row>
      <xdr:rowOff>0</xdr:rowOff>
    </xdr:from>
    <xdr:to>
      <xdr:col>16</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e7573f371649fc"/>
        </a:graphicData>
      </a:graphic>
    </xdr:graphicFrame>
    <xdr:clientData/>
  </xdr:twoCellAnchor>
</xdr:wsDr>
</file>

<file path=xl/drawings/drawing6.xml><?xml version="1.0" encoding="utf-8"?>
<xdr:wsDr xmlns:xdr="http://schemas.openxmlformats.org/drawingml/2006/spreadsheetDrawing">
  <xdr:twoCellAnchor>
    <xdr:from>
      <xdr:col>9</xdr:col>
      <xdr:colOff>0</xdr:colOff>
      <xdr:row>12</xdr:row>
      <xdr:rowOff>0</xdr:rowOff>
    </xdr:from>
    <xdr:to>
      <xdr:col>16</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d0641132cc4da6"/>
        </a:graphicData>
      </a:graphic>
    </xdr:graphicFrame>
    <xdr:clientData/>
  </xdr:twoCellAnchor>
</xdr:wsDr>
</file>

<file path=xl/drawings/drawing7.xml><?xml version="1.0" encoding="utf-8"?>
<xdr:wsDr xmlns:xdr="http://schemas.openxmlformats.org/drawingml/2006/spreadsheetDrawing">
  <xdr:twoCellAnchor>
    <xdr:from>
      <xdr:col>9</xdr:col>
      <xdr:colOff>0</xdr:colOff>
      <xdr:row>3</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e8d39ad4404abd"/>
        </a:graphicData>
      </a:graphic>
    </xdr:graphicFrame>
    <xdr:clientData/>
  </xdr:twoCellAnchor>
</xdr:wsDr>
</file>

<file path=xl/drawings/drawing8.xml><?xml version="1.0" encoding="utf-8"?>
<xdr:wsDr xmlns:xdr="http://schemas.openxmlformats.org/drawingml/2006/spreadsheetDrawing">
  <xdr:twoCellAnchor>
    <xdr:from>
      <xdr:col>9</xdr:col>
      <xdr:colOff>0</xdr:colOff>
      <xdr:row>97</xdr:row>
      <xdr:rowOff>0</xdr:rowOff>
    </xdr:from>
    <xdr:to>
      <xdr:col>16</xdr:col>
      <xdr:colOff>0</xdr:colOff>
      <xdr:row>114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43a2f3f5b94930"/>
        </a:graphicData>
      </a:graphic>
    </xdr:graphicFrame>
    <xdr:clientData/>
  </xdr:twoCellAnchor>
</xdr:wsDr>
</file>

<file path=xl/drawings/drawing9.xml><?xml version="1.0" encoding="utf-8"?>
<xdr:wsDr xmlns:xdr="http://schemas.openxmlformats.org/drawingml/2006/spreadsheetDrawing">
  <xdr:twoCellAnchor>
    <xdr:from>
      <xdr:col>8</xdr:col>
      <xdr:colOff>0</xdr:colOff>
      <xdr:row>71</xdr:row>
      <xdr:rowOff>0</xdr:rowOff>
    </xdr:from>
    <xdr:to>
      <xdr:col>16</xdr:col>
      <xdr:colOff>0</xdr:colOff>
      <xdr:row>88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f95e0f4af14fe3"/>
        </a:graphicData>
      </a:graphic>
    </xdr:graphicFrame>
    <xdr:clientData/>
  </xdr:twoCellAnchor>
</xdr:wsDr>
</file>

<file path=xl/drawings/drawing10.xml><?xml version="1.0" encoding="utf-8"?>
<xdr:wsDr xmlns:xdr="http://schemas.openxmlformats.org/drawingml/2006/spreadsheetDrawing">
  <xdr:twoCellAnchor>
    <xdr:from>
      <xdr:col>7</xdr:col>
      <xdr:colOff>0</xdr:colOff>
      <xdr:row>39</xdr:row>
      <xdr:rowOff>0</xdr:rowOff>
    </xdr:from>
    <xdr:to>
      <xdr:col>16</xdr:col>
      <xdr:colOff>0</xdr:colOff>
      <xdr:row>48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cfc72ce23e479f"/>
        </a:graphicData>
      </a:graphic>
    </xdr:graphicFrame>
    <xdr:clientData/>
  </xdr:twoCellAnchor>
</xdr:wsDr>
</file>

<file path=xl/drawings/drawing11.xml><?xml version="1.0" encoding="utf-8"?>
<xdr:wsDr xmlns:xdr="http://schemas.openxmlformats.org/drawingml/2006/spreadsheetDrawing">
  <xdr:twoCellAnchor>
    <xdr:from>
      <xdr:col>6</xdr:col>
      <xdr:colOff>0</xdr:colOff>
      <xdr:row>32</xdr:row>
      <xdr:rowOff>0</xdr:rowOff>
    </xdr:from>
    <xdr:to>
      <xdr:col>14</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000b20526843d4"/>
        </a:graphicData>
      </a:graphic>
    </xdr:graphicFrame>
    <xdr:clientData/>
  </xdr:twoCellAnchor>
</xdr:wsDr>
</file>

<file path=xl/drawings/drawing12.xml><?xml version="1.0" encoding="utf-8"?>
<xdr:wsDr xmlns:xdr="http://schemas.openxmlformats.org/drawingml/2006/spreadsheetDrawing">
  <xdr:twoCellAnchor>
    <xdr:from>
      <xdr:col>6</xdr:col>
      <xdr:colOff>0</xdr:colOff>
      <xdr:row>61</xdr:row>
      <xdr:rowOff>0</xdr:rowOff>
    </xdr:from>
    <xdr:to>
      <xdr:col>14</xdr:col>
      <xdr:colOff>0</xdr:colOff>
      <xdr:row>78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6cff8390f24726"/>
        </a:graphicData>
      </a:graphic>
    </xdr:graphicFrame>
    <xdr:clientData/>
  </xdr:twoCellAnchor>
</xdr:wsDr>
</file>

<file path=xl/drawings/drawing13.xml><?xml version="1.0" encoding="utf-8"?>
<xdr:wsDr xmlns:xdr="http://schemas.openxmlformats.org/drawingml/2006/spreadsheetDrawing">
  <xdr:twoCellAnchor>
    <xdr:from>
      <xdr:col>6</xdr:col>
      <xdr:colOff>0</xdr:colOff>
      <xdr:row>64</xdr:row>
      <xdr:rowOff>0</xdr:rowOff>
    </xdr:from>
    <xdr:to>
      <xdr:col>14</xdr:col>
      <xdr:colOff>0</xdr:colOff>
      <xdr:row>79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27b57f9b4d4998"/>
        </a:graphicData>
      </a:graphic>
    </xdr:graphicFrame>
    <xdr:clientData/>
  </xdr:twoCellAnchor>
</xdr:wsDr>
</file>

<file path=xl/drawings/drawing14.xml><?xml version="1.0" encoding="utf-8"?>
<xdr:wsDr xmlns:xdr="http://schemas.openxmlformats.org/drawingml/2006/spreadsheetDrawing">
  <xdr:twoCellAnchor>
    <xdr:from>
      <xdr:col>7</xdr:col>
      <xdr:colOff>0</xdr:colOff>
      <xdr:row>100</xdr:row>
      <xdr:rowOff>0</xdr:rowOff>
    </xdr:from>
    <xdr:to>
      <xdr:col>16</xdr:col>
      <xdr:colOff>0</xdr:colOff>
      <xdr:row>116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340d2c77c940a6"/>
        </a:graphicData>
      </a:graphic>
    </xdr:graphicFrame>
    <xdr:clientData/>
  </xdr:twoCellAnchor>
</xdr:wsDr>
</file>

<file path=xl/drawings/drawing15.xml><?xml version="1.0" encoding="utf-8"?>
<xdr:wsDr xmlns:xdr="http://schemas.openxmlformats.org/drawingml/2006/spreadsheetDrawing">
  <xdr:twoCellAnchor>
    <xdr:from>
      <xdr:col>12</xdr:col>
      <xdr:colOff>0</xdr:colOff>
      <xdr:row>34</xdr:row>
      <xdr:rowOff>0</xdr:rowOff>
    </xdr:from>
    <xdr:to>
      <xdr:col>18</xdr:col>
      <xdr:colOff>0</xdr:colOff>
      <xdr:row>48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fb508da6e6b4ca2"/>
        </a:graphicData>
      </a:graphic>
    </xdr:graphicFrame>
    <xdr:clientData/>
  </xdr:twoCellAnchor>
</xdr:wsDr>
</file>

<file path=xl/drawings/drawing16.xml><?xml version="1.0" encoding="utf-8"?>
<xdr:wsDr xmlns:xdr="http://schemas.openxmlformats.org/drawingml/2006/spreadsheetDrawing">
  <xdr:twoCellAnchor>
    <xdr:from>
      <xdr:col>5</xdr:col>
      <xdr:colOff>0</xdr:colOff>
      <xdr:row>72</xdr:row>
      <xdr:rowOff>0</xdr:rowOff>
    </xdr:from>
    <xdr:to>
      <xdr:col>10</xdr:col>
      <xdr:colOff>0</xdr:colOff>
      <xdr:row>89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55bf3b4aeab44c5"/>
        </a:graphicData>
      </a:graphic>
    </xdr:graphicFrame>
    <xdr:clientData/>
  </xdr:twoCellAnchor>
</xdr:wsDr>
</file>

<file path=xl/drawings/drawing17.xml><?xml version="1.0" encoding="utf-8"?>
<xdr:wsDr xmlns:xdr="http://schemas.openxmlformats.org/drawingml/2006/spreadsheetDrawing">
  <xdr:twoCellAnchor>
    <xdr:from>
      <xdr:col>12</xdr:col>
      <xdr:colOff>0</xdr:colOff>
      <xdr:row>65</xdr:row>
      <xdr:rowOff>0</xdr:rowOff>
    </xdr:from>
    <xdr:to>
      <xdr:col>17</xdr:col>
      <xdr:colOff>0</xdr:colOff>
      <xdr:row>82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f2be39952241bf"/>
        </a:graphicData>
      </a:graphic>
    </xdr:graphicFrame>
    <xdr:clientData/>
  </xdr:twoCellAnchor>
</xdr:wsDr>
</file>

<file path=xl/drawings/drawing18.xml><?xml version="1.0" encoding="utf-8"?>
<xdr:wsDr xmlns:xdr="http://schemas.openxmlformats.org/drawingml/2006/spreadsheetDrawing">
  <xdr:twoCellAnchor>
    <xdr:from>
      <xdr:col>12</xdr:col>
      <xdr:colOff>0</xdr:colOff>
      <xdr:row>11</xdr:row>
      <xdr:rowOff>0</xdr:rowOff>
    </xdr:from>
    <xdr:to>
      <xdr:col>18</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974a37f9ea4b7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ctionBudgetTable" displayName="ActionBudgetTable" ref="A14:Q58" headerRowCount="1" totalsRowCount="0" totalsRowShown="0">
  <x:tableColumns count="17">
    <x:tableColumn id="1" name="ActionID"/>
    <x:tableColumn id="2" name="Day"/>
    <x:tableColumn id="3" name="Week"/>
    <x:tableColumn id="4" name="콘텐츠 / 행동"/>
    <x:tableColumn id="5" name="Type"/>
    <x:tableColumn id="6" name="인물·축"/>
    <x:tableColumn id="7" name="장소"/>
    <x:tableColumn id="8" name="시간(h)"/>
    <x:tableColumn id="9" name="Will"/>
    <x:tableColumn id="10" name="필수도"/>
    <x:tableColumn id="11" name="Deadline"/>
    <x:tableColumn id="12" name="요구 / 오픈 조건"/>
    <x:tableColumn id="13" name="주요 결과"/>
    <x:tableColumn id="14" name="Route"/>
    <x:tableColumn id="15" name="압력 축"/>
    <x:tableColumn id="16" name="콘텐츠 상태"/>
    <x:tableColumn id="17" name="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a1be89ed1e2042aa" /><Relationship Type="http://schemas.openxmlformats.org/officeDocument/2006/relationships/table" Target="/xl/tables/table1.xml" Id="R89665740881740b0" /></Relationships>
</file>

<file path=xl/worksheets/_rels/sheet7.xml.rels>&#65279;<?xml version="1.0" encoding="utf-8"?><Relationships xmlns="http://schemas.openxmlformats.org/package/2006/relationships"><Relationship Type="http://schemas.openxmlformats.org/officeDocument/2006/relationships/drawing" Target="/xl/drawings/drawing2.xml" Id="Ra9a332b80ccb4670" /></Relationships>
</file>

<file path=xl/worksheets/_rels/sheet9.xml.rels>&#65279;<?xml version="1.0" encoding="utf-8"?><Relationships xmlns="http://schemas.openxmlformats.org/package/2006/relationships"><Relationship Type="http://schemas.openxmlformats.org/officeDocument/2006/relationships/drawing" Target="/xl/drawings/drawing3.xml" Id="R4a9cb4a9d98c4b1f" /></Relationships>
</file>

<file path=xl/worksheets/_rels/sheet11.xml.rels>&#65279;<?xml version="1.0" encoding="utf-8"?><Relationships xmlns="http://schemas.openxmlformats.org/package/2006/relationships"><Relationship Type="http://schemas.openxmlformats.org/officeDocument/2006/relationships/drawing" Target="/xl/drawings/drawing4.xml" Id="R02f5df6021684d74" /></Relationships>
</file>

<file path=xl/worksheets/_rels/sheet12.xml.rels>&#65279;<?xml version="1.0" encoding="utf-8"?><Relationships xmlns="http://schemas.openxmlformats.org/package/2006/relationships"><Relationship Type="http://schemas.openxmlformats.org/officeDocument/2006/relationships/drawing" Target="/xl/drawings/drawing5.xml" Id="Rb9a137fa58a844dc" /></Relationships>
</file>

<file path=xl/worksheets/_rels/sheet13.xml.rels>&#65279;<?xml version="1.0" encoding="utf-8"?><Relationships xmlns="http://schemas.openxmlformats.org/package/2006/relationships"><Relationship Type="http://schemas.openxmlformats.org/officeDocument/2006/relationships/drawing" Target="/xl/drawings/drawing6.xml" Id="Rcaa747ead151410d" /></Relationships>
</file>

<file path=xl/worksheets/_rels/sheet14.xml.rels>&#65279;<?xml version="1.0" encoding="utf-8"?><Relationships xmlns="http://schemas.openxmlformats.org/package/2006/relationships"><Relationship Type="http://schemas.openxmlformats.org/officeDocument/2006/relationships/drawing" Target="/xl/drawings/drawing7.xml" Id="R9b4d617ab7064621" /></Relationships>
</file>

<file path=xl/worksheets/_rels/sheet15.xml.rels>&#65279;<?xml version="1.0" encoding="utf-8"?><Relationships xmlns="http://schemas.openxmlformats.org/package/2006/relationships"><Relationship Type="http://schemas.openxmlformats.org/officeDocument/2006/relationships/drawing" Target="/xl/drawings/drawing8.xml" Id="Rb673d31f8a164a6b" /></Relationships>
</file>

<file path=xl/worksheets/_rels/sheet16.xml.rels>&#65279;<?xml version="1.0" encoding="utf-8"?><Relationships xmlns="http://schemas.openxmlformats.org/package/2006/relationships"><Relationship Type="http://schemas.openxmlformats.org/officeDocument/2006/relationships/drawing" Target="/xl/drawings/drawing9.xml" Id="Rb37b810524cb4a47" /></Relationships>
</file>

<file path=xl/worksheets/_rels/sheet17.xml.rels>&#65279;<?xml version="1.0" encoding="utf-8"?><Relationships xmlns="http://schemas.openxmlformats.org/package/2006/relationships"><Relationship Type="http://schemas.openxmlformats.org/officeDocument/2006/relationships/drawing" Target="/xl/drawings/drawing10.xml" Id="Reaab2a6a48924639" /></Relationships>
</file>

<file path=xl/worksheets/_rels/sheet18.xml.rels>&#65279;<?xml version="1.0" encoding="utf-8"?><Relationships xmlns="http://schemas.openxmlformats.org/package/2006/relationships"><Relationship Type="http://schemas.openxmlformats.org/officeDocument/2006/relationships/drawing" Target="/xl/drawings/drawing11.xml" Id="R02207f7c5d6d4cb6" /></Relationships>
</file>

<file path=xl/worksheets/_rels/sheet19.xml.rels>&#65279;<?xml version="1.0" encoding="utf-8"?><Relationships xmlns="http://schemas.openxmlformats.org/package/2006/relationships"><Relationship Type="http://schemas.openxmlformats.org/officeDocument/2006/relationships/drawing" Target="/xl/drawings/drawing12.xml" Id="R0d6de586abc44f48" /></Relationships>
</file>

<file path=xl/worksheets/_rels/sheet20.xml.rels>&#65279;<?xml version="1.0" encoding="utf-8"?><Relationships xmlns="http://schemas.openxmlformats.org/package/2006/relationships"><Relationship Type="http://schemas.openxmlformats.org/officeDocument/2006/relationships/drawing" Target="/xl/drawings/drawing13.xml" Id="Rf9d2ceff09bd4a38" /></Relationships>
</file>

<file path=xl/worksheets/_rels/sheet21.xml.rels>&#65279;<?xml version="1.0" encoding="utf-8"?><Relationships xmlns="http://schemas.openxmlformats.org/package/2006/relationships"><Relationship Type="http://schemas.openxmlformats.org/officeDocument/2006/relationships/drawing" Target="/xl/drawings/drawing14.xml" Id="Rf18add8a11844c99" /></Relationships>
</file>

<file path=xl/worksheets/_rels/sheet22.xml.rels>&#65279;<?xml version="1.0" encoding="utf-8"?><Relationships xmlns="http://schemas.openxmlformats.org/package/2006/relationships"><Relationship Type="http://schemas.openxmlformats.org/officeDocument/2006/relationships/drawing" Target="/xl/drawings/drawing15.xml" Id="Rd40f545705b64164" /></Relationships>
</file>

<file path=xl/worksheets/_rels/sheet23.xml.rels>&#65279;<?xml version="1.0" encoding="utf-8"?><Relationships xmlns="http://schemas.openxmlformats.org/package/2006/relationships"><Relationship Type="http://schemas.openxmlformats.org/officeDocument/2006/relationships/drawing" Target="/xl/drawings/drawing16.xml" Id="R3e1c8844563a443d" /></Relationships>
</file>

<file path=xl/worksheets/_rels/sheet24.xml.rels>&#65279;<?xml version="1.0" encoding="utf-8"?><Relationships xmlns="http://schemas.openxmlformats.org/package/2006/relationships"><Relationship Type="http://schemas.openxmlformats.org/officeDocument/2006/relationships/drawing" Target="/xl/drawings/drawing17.xml" Id="R45ba32b3eaa24f70" /></Relationships>
</file>

<file path=xl/worksheets/_rels/sheet25.xml.rels>&#65279;<?xml version="1.0" encoding="utf-8"?><Relationships xmlns="http://schemas.openxmlformats.org/package/2006/relationships"><Relationship Type="http://schemas.openxmlformats.org/officeDocument/2006/relationships/drawing" Target="/xl/drawings/drawing18.xml" Id="R2892511558324771"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26" hidden="0" customWidth="1"/>
    <x:col min="5" max="5" width="18" hidden="0" customWidth="1"/>
    <x:col min="6" max="6" width="18" hidden="0" customWidth="1"/>
    <x:col min="7" max="7" width="18" hidden="0" customWidth="1"/>
    <x:col min="8" max="8" width="26" hidden="0" customWidth="1"/>
  </x:cols>
  <x:sheetData>
    <x:row r="1" ht="30" hidden="0" customHeight="1">
      <x:c r="A1" s="810" t="str">
        <x:v>Day 1~21 통합 플로우 — ContentDesign v3.1 Canon Sync</x:v>
      </x:c>
      <x:c r="B1" s="810"/>
      <x:c r="C1" s="810"/>
      <x:c r="D1" s="810"/>
      <x:c r="E1" s="810"/>
      <x:c r="F1" s="810"/>
      <x:c r="G1" s="810"/>
      <x:c r="H1" s="810"/>
    </x:row>
    <x:row r="2" ht="42" hidden="0" customHeight="1">
      <x:c r="A2" s="815" t="str">
        <x:v>Day</x:v>
      </x:c>
      <x:c r="B2" s="815" t="str">
        <x:v>Week</x:v>
      </x:c>
      <x:c r="C2" s="815" t="str">
        <x:v>Main / 고정 사건</x:v>
      </x:c>
      <x:c r="D2" s="815" t="str">
        <x:v>Character / Narrative</x:v>
      </x:c>
      <x:c r="E2" s="815" t="str">
        <x:v>플레이어 고민 / 시스템</x:v>
      </x:c>
      <x:c r="F2" s="815" t="str">
        <x:v>그날의 역할</x:v>
      </x:c>
      <x:c r="G2" s="815" t="str">
        <x:v>상태</x:v>
      </x:c>
      <x:c r="H2" s="816"/>
    </x:row>
    <x:row r="3" ht="36" hidden="0" customHeight="1">
      <x:c r="A3" s="798" t="n">
        <x:v>1</x:v>
      </x:c>
      <x:c r="B3" s="798" t="str">
        <x:v>W1</x:v>
      </x:c>
      <x:c r="C3" s="798" t="str">
        <x:v>냉동수면 해제 / 벤자민이 제이를 깨움</x:v>
      </x:c>
      <x:c r="D3" s="798" t="str">
        <x:v>벤자민 첫 서사, 묘지·약혼자 상실 암시</x:v>
      </x:c>
      <x:c r="E3" s="798" t="str">
        <x:v>시간·기본 능력치 튜토리얼, 수송선 상태 첫 확인</x:v>
      </x:c>
      <x:c r="F3" s="798" t="str">
        <x:v>나는 어디에 깨어났나?</x:v>
      </x:c>
      <x:c r="G3" s="798" t="str">
        <x:v>확정</x:v>
      </x:c>
      <x:c r="H3" s="798"/>
    </x:row>
    <x:row r="4" ht="36" hidden="0" customHeight="1">
      <x:c r="A4" s="798" t="n">
        <x:v>2</x:v>
      </x:c>
      <x:c r="B4" s="798" t="str">
        <x:v>W1</x:v>
      </x:c>
      <x:c r="C4" s="798" t="str">
        <x:v>핵심 동료 재회 완료 / 공동체 생활 파악</x:v>
      </x:c>
      <x:c r="D4" s="798" t="str">
        <x:v>지나 10년 시간차와 항해 중 업무 신뢰, 디야·아이들, 페이 성격, 보리치 관측 습관</x:v>
      </x:c>
      <x:c r="E4" s="798" t="str">
        <x:v>Will 튜토리얼, 18:00 이후 야간조 대표 첫 등장</x:v>
      </x:c>
      <x:c r="F4" s="798" t="str">
        <x:v>내가 잠든 동안 사람들은 살아왔다</x:v>
      </x:c>
      <x:c r="G4" s="798" t="str">
        <x:v>확정</x:v>
      </x:c>
      <x:c r="H4" s="798"/>
    </x:row>
    <x:row r="5" ht="24" hidden="0" customHeight="1">
      <x:c r="A5" s="798" t="n">
        <x:v>3</x:v>
      </x:c>
      <x:c r="B5" s="798" t="str">
        <x:v>W1</x:v>
      </x:c>
      <x:c r="C5" s="798" t="str">
        <x:v>샘이 오아시스 펌프·지하수의 장기 안정성 조사 요청</x:v>
      </x:c>
      <x:c r="D5" s="798" t="str">
        <x:v>보리치 조사 협력, 샘이 판단을 제이와 나눔</x:v>
      </x:c>
      <x:c r="E5" s="798" t="str">
        <x:v>관찰→가설→확인, 조사 경로 선택 + W1 Standard Repair 첫 1회</x:v>
      </x:c>
      <x:c r="F5" s="798" t="str">
        <x:v>제이가 지질학자로 돌아오는 날</x:v>
      </x:c>
      <x:c r="G5" s="798" t="str">
        <x:v>확정</x:v>
      </x:c>
      <x:c r="H5" s="798"/>
    </x:row>
    <x:row r="6" ht="24" hidden="0" customHeight="1">
      <x:c r="A6" s="798" t="n">
        <x:v>4</x:v>
      </x:c>
      <x:c r="B6" s="798" t="str">
        <x:v>W1</x:v>
      </x:c>
      <x:c r="C6" s="798" t="str">
        <x:v>오아시스 조사 진행</x:v>
      </x:c>
      <x:c r="D6" s="798" t="str">
        <x:v>지나: 과거 제이 단서 / 페이: 음악 꿈 첫 공개 후보</x:v>
      </x:c>
      <x:c r="E6" s="798" t="str">
        <x:v>Main 진행 vs 캐릭터·수송선 수리(하루 1회) 투자</x:v>
      </x:c>
      <x:c r="F6" s="798" t="str">
        <x:v>사람과 조사 사이 첫 시간 경쟁</x:v>
      </x:c>
      <x:c r="G6" s="798" t="str">
        <x:v>TEMP</x:v>
      </x:c>
      <x:c r="H6" s="798"/>
    </x:row>
    <x:row r="7" ht="36" hidden="0" customHeight="1">
      <x:c r="A7" s="798" t="n">
        <x:v>5</x:v>
      </x:c>
      <x:c r="B7" s="798" t="str">
        <x:v>W1</x:v>
      </x:c>
      <x:c r="C7" s="798" t="str">
        <x:v>조사 핵심 위험 확인 가능</x:v>
      </x:c>
      <x:c r="D7" s="798" t="str">
        <x:v>디야: 임시 거주지가 집이 되었음을 보여줌 / 지구 뜨개질 복선 / 보리치 악몽 암시</x:v>
      </x:c>
      <x:c r="E7" s="798" t="str">
        <x:v>수송선 시설 복구(하루 1회)가 본격적인 시간 경쟁으로 작동</x:v>
      </x:c>
      <x:c r="F7" s="798" t="str">
        <x:v>남는다는 것의 의미를 심는 날</x:v>
      </x:c>
      <x:c r="G7" s="798" t="str">
        <x:v>TEMP</x:v>
      </x:c>
      <x:c r="H7" s="798"/>
    </x:row>
    <x:row r="8" ht="36" hidden="0" customHeight="1">
      <x:c r="A8" s="798" t="n">
        <x:v>6</x:v>
      </x:c>
      <x:c r="B8" s="798" t="str">
        <x:v>W1</x:v>
      </x:c>
      <x:c r="C8" s="798" t="str">
        <x:v>조사 결론 보고: 현재 지하수와 오아시스 펌프의 취수 방식만으로 장기 거주 보장 불가</x:v>
      </x:c>
      <x:c r="D8" s="798" t="str">
        <x:v>샘과 공개 범위 논의 / 주요 인물 반응</x:v>
      </x:c>
      <x:c r="E8" s="798" t="str">
        <x:v>Day7 공개 대비 vs Character Focus A vs 하루 1회 수송선 수리</x:v>
      </x:c>
      <x:c r="F8" s="798" t="str">
        <x:v>진실을 발견한 뒤 책임을 묻는 날</x:v>
      </x:c>
      <x:c r="G8" s="798" t="str">
        <x:v>확정</x:v>
      </x:c>
      <x:c r="H8" s="798"/>
    </x:row>
    <x:row r="9" ht="24" hidden="0" customHeight="1">
      <x:c r="A9" s="798" t="n">
        <x:v>7</x:v>
      </x:c>
      <x:c r="B9" s="798" t="str">
        <x:v>W1</x:v>
      </x:c>
      <x:c r="C9" s="798" t="str">
        <x:v>대형 공동체 Event: 전체 공개 / 제한 공개 선택</x:v>
      </x:c>
      <x:c r="D9" s="798" t="str">
        <x:v>6명 각자 반응, 샘 부담 상승</x:v>
      </x:c>
      <x:c r="E9" s="798" t="str">
        <x:v>공개 Event/Focus B와 마지막 W1 수리 슬롯 사이의 시간 경쟁</x:v>
      </x:c>
      <x:c r="F9" s="798" t="str">
        <x:v>W1 클라이맥스</x:v>
      </x:c>
      <x:c r="G9" s="798" t="str">
        <x:v>확정</x:v>
      </x:c>
      <x:c r="H9" s="798"/>
    </x:row>
    <x:row r="10" ht="36" hidden="0" customHeight="1">
      <x:c r="A10" s="798" t="n">
        <x:v>8</x:v>
      </x:c>
      <x:c r="B10" s="798" t="str">
        <x:v>W2</x:v>
      </x:c>
      <x:c r="C10" s="798" t="str">
        <x:v>샌드웜 Main Event → 피해 없음 → 보리치 분석 → 대형 모래폭풍 발견</x:v>
      </x:c>
      <x:c r="D10" s="798" t="str">
        <x:v>제이가 보리치 반응의 이상함을 느끼고 Character Quest. 과거 관측 사고·죄책감 공개</x:v>
      </x:c>
      <x:c r="E10" s="798" t="str">
        <x:v>모든 준비 우선순위 전환</x:v>
      </x:c>
      <x:c r="F10" s="798" t="str">
        <x:v>무언가 오고 있다</x:v>
      </x:c>
      <x:c r="G10" s="798" t="str">
        <x:v>확정</x:v>
      </x:c>
      <x:c r="H10" s="798"/>
    </x:row>
    <x:row r="11" ht="24" hidden="0" customHeight="1">
      <x:c r="A11" s="798" t="n">
        <x:v>9</x:v>
      </x:c>
      <x:c r="B11" s="798" t="str">
        <x:v>W2</x:v>
      </x:c>
      <x:c r="C11" s="798" t="str">
        <x:v>수송선을 폭풍 피난처로 사용하기로 결정 / 대피 계획 수립</x:v>
      </x:c>
      <x:c r="D11" s="798" t="str">
        <x:v>샘 부담, 페이·벤자민이 수송선 상태에 반응</x:v>
      </x:c>
      <x:c r="E11" s="798" t="str">
        <x:v>수송선 수리 vs 행성 보존 경쟁 시작</x:v>
      </x:c>
      <x:c r="F11" s="798" t="str">
        <x:v>W2 전략 목표 제시</x:v>
      </x:c>
      <x:c r="G11" s="798" t="str">
        <x:v>확정</x:v>
      </x:c>
      <x:c r="H11" s="798"/>
    </x:row>
    <x:row r="12" ht="24" hidden="0" customHeight="1">
      <x:c r="A12" s="798" t="n">
        <x:v>10</x:v>
      </x:c>
      <x:c r="B12" s="798" t="str">
        <x:v>W2</x:v>
      </x:c>
      <x:c r="C12" s="798" t="str">
        <x:v>모래폭풍 뒤 미라 실종 사건</x:v>
      </x:c>
      <x:c r="D12" s="798" t="str">
        <x:v>모래폭풍이 발자국을 지워 미라의 행방이 끊긴다. 제이가 직접 수색해 찾아내며 지나가 현재의 제이를 다시 신뢰하는 계기가 됨.</x:v>
      </x:c>
      <x:c r="E12" s="798" t="str">
        <x:v>수색에 시간 투자, 흔적이 사라진 행성의 위험 체감</x:v>
      </x:c>
      <x:c r="F12" s="798" t="str">
        <x:v>보이지 않는 위험 속에서 사람을 찾는 날</x:v>
      </x:c>
      <x:c r="G12" s="798" t="str">
        <x:v>TEMP</x:v>
      </x:c>
      <x:c r="H12" s="798"/>
    </x:row>
    <x:row r="13" ht="36" hidden="0" customHeight="1">
      <x:c r="A13" s="798" t="n">
        <x:v>11</x:v>
      </x:c>
      <x:c r="B13" s="798" t="str">
        <x:v>W2</x:v>
      </x:c>
      <x:c r="C13" s="798" t="str">
        <x:v>거주지 보존 조건 충족 시 어린이 축제</x:v>
      </x:c>
      <x:c r="D13" s="798" t="str">
        <x:v>축제 후 디야와 대면: 망가진 지구를 물려받은 세대의 냉소와 아이들에게 같은 실패를 넘기지 않으려는 마음</x:v>
      </x:c>
      <x:c r="E13" s="798" t="str">
        <x:v>디야에게 아이 의견도 묻자 / 디야에게 공감 분기</x:v>
      </x:c>
      <x:c r="F13" s="798" t="str">
        <x:v>True/Hidden 디야 분기 씨앗</x:v>
      </x:c>
      <x:c r="G13" s="798" t="str">
        <x:v>TEMP</x:v>
      </x:c>
      <x:c r="H13" s="798"/>
    </x:row>
    <x:row r="14" ht="36" hidden="0" customHeight="1">
      <x:c r="A14" s="798" t="n">
        <x:v>12</x:v>
      </x:c>
      <x:c r="B14" s="798" t="str">
        <x:v>W2</x:v>
      </x:c>
      <x:c r="C14" s="798" t="str">
        <x:v>대피 물자·생활 준비 본격화 / 온실 작물의 행성 시험재배 일상 퀘스트</x:v>
      </x:c>
      <x:c r="D14" s="798" t="str">
        <x:v>지나: 제이의 과거 심화 / 벤자민 후속 Beat / 디야·보리치가 시험밭에서 작물 상태를 확인</x:v>
      </x:c>
      <x:c r="E14" s="798" t="str">
        <x:v>물·오아시스·시설·시험재배 중 우선순위</x:v>
      </x:c>
      <x:c r="F14" s="798" t="str">
        <x:v>온실의 중요성과 행성 정착 시 대체 가능성을 동시에 암시</x:v>
      </x:c>
      <x:c r="G14" s="798" t="str">
        <x:v>TEMP</x:v>
      </x:c>
      <x:c r="H14" s="798"/>
    </x:row>
    <x:row r="15" ht="36" hidden="0" customHeight="1">
      <x:c r="A15" s="798" t="n">
        <x:v>13</x:v>
      </x:c>
      <x:c r="B15" s="798" t="str">
        <x:v>W2</x:v>
      </x:c>
      <x:c r="C15" s="798" t="str">
        <x:v>낮: 최종 시설·보존 작업 / 밤: 온실 고장 + 야간조 모래 함몰 사고</x:v>
      </x:c>
      <x:c r="D15" s="798" t="str">
        <x:v>샘이 온실 인력을 유지하고 혼자 구조 시도, 야간조 1명 사망. 야간조 대표는 생존 목격자</x:v>
      </x:c>
      <x:c r="E15" s="798" t="str">
        <x:v>Overnight 고정 Story. 플레이어 직접 선택 아님</x:v>
      </x:c>
      <x:c r="F15" s="798" t="str">
        <x:v>샘의 책임이 실제 죽음의 무게를 얻음</x:v>
      </x:c>
      <x:c r="G15" s="798" t="str">
        <x:v>TEMP</x:v>
      </x:c>
      <x:c r="H15" s="798"/>
    </x:row>
    <x:row r="16" ht="36" hidden="0" customHeight="1">
      <x:c r="A16" s="798" t="n">
        <x:v>14</x:v>
      </x:c>
      <x:c r="B16" s="798" t="str">
        <x:v>W2</x:v>
      </x:c>
      <x:c r="C16" s="798" t="str">
        <x:v>아침 샘 후속 Event / 마지막 외부 작업 / 전원 대피 / 출입구 봉쇄</x:v>
      </x:c>
      <x:c r="D16" s="798" t="str">
        <x:v>샘: '이 선택이 맞았다면 앞으로도 이런 선택을 해야 한다'</x:v>
      </x:c>
      <x:c r="E16" s="798" t="str">
        <x:v>마지막 배 수리 vs 오아시스·거주지·묘지 보존</x:v>
      </x:c>
      <x:c r="F16" s="798" t="str">
        <x:v>W2 결산 / 문이 닫힘</x:v>
      </x:c>
      <x:c r="G16" s="798" t="str">
        <x:v>확정</x:v>
      </x:c>
      <x:c r="H16" s="798"/>
    </x:row>
    <x:row r="17" ht="36" hidden="0" customHeight="1">
      <x:c r="A17" s="798" t="n">
        <x:v>15</x:v>
      </x:c>
      <x:c r="B17" s="798" t="str">
        <x:v>W3</x:v>
      </x:c>
      <x:c r="C17" s="798" t="str">
        <x:v>폭풍 본격 시작 / 4구역 전환 / 첫 Wave: 내구도 높은 시설 2곳 동시 Emergency</x:v>
      </x:c>
      <x:c r="D17" s="798" t="str">
        <x:v>첫 동시 사고로 NPC 배치·방치·4h Tick 규칙을 실제로 학습</x:v>
      </x:c>
      <x:c r="E17" s="798" t="str">
        <x:v>두 사고 모두 잡나 / 한 Tick 감수하나 / NPC를 나누나</x:v>
      </x:c>
      <x:c r="F17" s="798" t="str">
        <x:v>정신이 없다</x:v>
      </x:c>
      <x:c r="G17" s="798" t="str">
        <x:v>확정방향</x:v>
      </x:c>
      <x:c r="H17" s="798"/>
    </x:row>
    <x:row r="18" ht="24" hidden="0" customHeight="1">
      <x:c r="A18" s="798" t="str">
        <x:v>15 종료</x:v>
      </x:c>
      <x:c r="B18" s="798" t="str">
        <x:v>W3</x:v>
      </x:c>
      <x:c r="C18" s="798" t="str">
        <x:v>일일 정산 후 보리치 제안 → 샘이 '폭풍 뒤 떠날지 남을지 결정' 선언</x:v>
      </x:c>
      <x:c r="D18" s="798" t="str">
        <x:v>샘 '저질렀다…', 주요 인물 짧은 반응</x:v>
      </x:c>
      <x:c r="E18" s="798" t="str">
        <x:v>이후 미래 관련 Character Beat 개방</x:v>
      </x:c>
      <x:c r="F18" s="798" t="str">
        <x:v>생존 → 미래 결정으로 목표 전환</x:v>
      </x:c>
      <x:c r="G18" s="798" t="str">
        <x:v>확정</x:v>
      </x:c>
      <x:c r="H18" s="798"/>
    </x:row>
    <x:row r="19" ht="48" hidden="0" customHeight="1">
      <x:c r="A19" s="798" t="n">
        <x:v>16</x:v>
      </x:c>
      <x:c r="B19" s="798" t="str">
        <x:v>W3</x:v>
      </x:c>
      <x:c r="C19" s="798" t="str">
        <x:v>신규 Wave 없음 / D15 피해 복구 / Character Final 준비</x:v>
      </x:c>
      <x:c r="D19" s="798" t="str">
        <x:v>첫 미래 반응 / 샘 Final 후보. Final 완료 시 Will 회복과 Full Route Mastery가 D17·D19 대응력으로 전환</x:v>
      </x:c>
      <x:c r="E19" s="798" t="str">
        <x:v>사람/배/성장 중 무엇을 D17 전에 준비할지</x:v>
      </x:c>
      <x:c r="F19" s="798" t="str">
        <x:v>폭풍 사이의 짧은 호흡</x:v>
      </x:c>
      <x:c r="G19" s="798" t="str">
        <x:v>TEMP</x:v>
      </x:c>
      <x:c r="H19" s="798"/>
    </x:row>
    <x:row r="20" ht="30" hidden="0" customHeight="1">
      <x:c r="A20" s="807" t="n">
        <x:v>17</x:v>
      </x:c>
      <x:c r="B20" s="807" t="str">
        <x:v>W3</x:v>
      </x:c>
      <x:c r="C20" s="807" t="str">
        <x:v>두 번째 Wave: 아직 안 터진 시설 중 현재 내구도 높은 2곳 동시 Emergency</x:v>
      </x:c>
      <x:c r="D20" s="807" t="str">
        <x:v>지나 Final 등 선택 Character / 두 번째 Wave. 사람을 만나 얻은 보상이 즉시 Emergency 대응력으로 체감</x:v>
      </x:c>
      <x:c r="E20" s="807" t="str">
        <x:v>방치할 시설 선택 / NPC 병렬 대응</x:v>
      </x:c>
      <x:c r="F20" s="807" t="str">
        <x:v>다시 흔들린다</x:v>
      </x:c>
      <x:c r="G20" s="807" t="str">
        <x:v>TEMP</x:v>
      </x:c>
      <x:c r="H20" s="807"/>
    </x:row>
    <x:row r="21" ht="48" hidden="0" customHeight="1">
      <x:c r="A21" s="798" t="n">
        <x:v>18</x:v>
      </x:c>
      <x:c r="B21" s="798" t="str">
        <x:v>W3</x:v>
      </x:c>
      <x:c r="C21" s="798" t="str">
        <x:v>신규 Wave 없음 / 거주 가능성 재점검 / Pre-Boss Character Finale</x:v>
      </x:c>
      <x:c r="D21" s="798" t="str">
        <x:v>보리치 재분석·디야 Final·페이 공연 등이 경쟁. 벤자민은 D19 Boss 중 Crisis Final로 회수. Full Route는 Will/Stat 보상.</x:v>
      </x:c>
      <x:c r="E21" s="798" t="str">
        <x:v>D19 전에 Will·Stat 보상을 얻을 루트를 끝낼지, 시설을 더 고칠지</x:v>
      </x:c>
      <x:c r="F21" s="798" t="str">
        <x:v>폭풍 전 마지막 숨</x:v>
      </x:c>
      <x:c r="G21" s="798" t="str">
        <x:v>TEMP</x:v>
      </x:c>
      <x:c r="H21" s="798"/>
    </x:row>
    <x:row r="22" ht="36" hidden="0" customHeight="1">
      <x:c r="A22" s="798" t="n">
        <x:v>19</x:v>
      </x:c>
      <x:c r="B22" s="798" t="str">
        <x:v>W3</x:v>
      </x:c>
      <x:c r="C22" s="798" t="str">
        <x:v>시스템 보스전: Freezer 고정 + 아직 Emergency가 없었던 2시설 = 총3개 동시</x:v>
      </x:c>
      <x:c r="D22" s="798" t="str">
        <x:v>큰 Character 신규 전개 없음. 앞에서 얻은 Will·Stat·NPC 관계를 세 동시 Emergency에 사용</x:v>
      </x:c>
      <x:c r="E22" s="798" t="str">
        <x:v>세 개 중 누가 맡고 / 무엇을 먼저 해결하고 / 무엇을 한 번 맞을지</x:v>
      </x:c>
      <x:c r="F22" s="798" t="str">
        <x:v>이것만 넘기면 된다</x:v>
      </x:c>
      <x:c r="G22" s="798" t="str">
        <x:v>TEMP</x:v>
      </x:c>
      <x:c r="H22" s="798"/>
    </x:row>
    <x:row r="23" ht="30" hidden="0" customHeight="1">
      <x:c r="A23" s="807" t="n">
        <x:v>20</x:v>
      </x:c>
      <x:c r="B23" s="807" t="str">
        <x:v>W3</x:v>
      </x:c>
      <x:c r="C23" s="807" t="str">
        <x:v>폭풍 약화 / D19 후유증 정리 / 미완료 Character Final</x:v>
      </x:c>
      <x:c r="D23" s="807" t="str">
        <x:v>D19 후유증과 Character Epilogue. 샘·벤자민 등은 Boss 뒤 Stance/감정을 정리하고, 새로운 Mastery는 소급 지급하지 않음.</x:v>
      </x:c>
      <x:c r="E23" s="807" t="str">
        <x:v>마지막 수리·재점검·Stance 변화·출항 준비</x:v>
      </x:c>
      <x:c r="F23" s="807" t="str">
        <x:v>살아남은 뒤의 대답</x:v>
      </x:c>
      <x:c r="G23" s="807" t="str">
        <x:v>확정방향</x:v>
      </x:c>
      <x:c r="H23" s="807" t="str">
        <x:v>D21 판정: Bad3/4 → True → Hidden → Normal. 상세는 18_EndingEvaluator.</x:v>
      </x:c>
    </x:row>
    <x:row r="24" ht="36" hidden="0" customHeight="1">
      <x:c r="A24" s="798" t="n">
        <x:v>21</x:v>
      </x:c>
      <x:c r="B24" s="798" t="str">
        <x:v>W3</x:v>
      </x:c>
      <x:c r="C24" s="798" t="str">
        <x:v>폭풍 종료 / 외부 확인 / 최종 미래 결정</x:v>
      </x:c>
      <x:c r="D24" s="798" t="str">
        <x:v>생존자 마지막 대화</x:v>
      </x:c>
      <x:c r="E24" s="798" t="str">
        <x:v>ShipCondition / Sustainability / Survival / Stance 판정</x:v>
      </x:c>
      <x:c r="F24" s="798" t="str">
        <x:v>그래서 우리는 어디에서 살아갈 것인가?</x:v>
      </x:c>
      <x:c r="G24" s="798" t="str">
        <x:v>확정</x:v>
      </x:c>
      <x:c r="H24" s="798"/>
    </x:row>
  </x:sheetData>
  <x:mergeCells>
    <x:mergeCell ref="A1:G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18" hidden="0" customWidth="1"/>
    <x:col min="5" max="5" width="26" hidden="0" customWidth="1"/>
    <x:col min="6" max="6" width="32" hidden="0" customWidth="1"/>
    <x:col min="7" max="7" width="18" hidden="0" customWidth="1"/>
    <x:col min="8" max="8" width="18" hidden="0" customWidth="1"/>
  </x:cols>
  <x:sheetData>
    <x:row r="1" ht="30" hidden="0" customHeight="1">
      <x:c r="A1" s="810" t="str">
        <x:v>캐릭터 아크 — 제이 + 핵심6 + 미라 + 야간조 대표 (Canon v3.1)</x:v>
      </x:c>
      <x:c r="B1" s="810"/>
      <x:c r="C1" s="810"/>
      <x:c r="D1" s="810"/>
      <x:c r="E1" s="810"/>
      <x:c r="F1" s="810"/>
      <x:c r="G1" s="810"/>
      <x:c r="H1" s="810"/>
    </x:row>
    <x:row r="2" ht="42" hidden="0" customHeight="1">
      <x:c r="A2" s="815" t="str">
        <x:v>인물</x:v>
      </x:c>
      <x:c r="B2" s="815" t="str">
        <x:v>분류</x:v>
      </x:c>
      <x:c r="C2" s="815" t="str">
        <x:v>과거 / 핵심 설정</x:v>
      </x:c>
      <x:c r="D2" s="815" t="str">
        <x:v>Week 1</x:v>
      </x:c>
      <x:c r="E2" s="815" t="str">
        <x:v>Week 2</x:v>
      </x:c>
      <x:c r="F2" s="815" t="str">
        <x:v>Week 3 / 엔딩</x:v>
      </x:c>
      <x:c r="G2" s="815" t="str">
        <x:v>아크 요약</x:v>
      </x:c>
      <x:c r="H2" s="815" t="str">
        <x:v>상태</x:v>
      </x:c>
    </x:row>
    <x:row r="3" ht="30" hidden="0" customHeight="1">
      <x:c r="A3" s="807" t="str">
        <x:v>제이</x:v>
      </x:c>
      <x:c r="B3" s="807" t="str">
        <x:v>주인공</x:v>
      </x:c>
      <x:c r="C3" s="807" t="str">
        <x:v>지구에서 출항한 뒤 약 3개월 동안 목적지 정착 담당으로 항해. 불시착 이후 냉동 상태로 약 10년을 건너뜀.</x:v>
      </x:c>
      <x:c r="D3" s="807" t="str">
        <x:v>W1: 빠진 시간을 따라잡고 조사자로 복귀</x:v>
      </x:c>
      <x:c r="E3" s="807" t="str">
        <x:v>W2: 다른 사람들의 책임과 선택의 대가를 목격</x:v>
      </x:c>
      <x:c r="F3" s="807" t="str">
        <x:v>W3: 분석+관계로 공동체가 선택할 조건을 만듦</x:v>
      </x:c>
      <x:c r="G3" s="807" t="str">
        <x:v>분석하는 사람 → 선택 가능한 미래를 만드는 사람</x:v>
      </x:c>
      <x:c r="H3" s="807" t="str">
        <x:v>확정</x:v>
      </x:c>
    </x:row>
    <x:row r="4" ht="48" hidden="0" customHeight="1">
      <x:c r="A4" s="798" t="str">
        <x:v>샘</x:v>
      </x:c>
      <x:c r="B4" s="798" t="str">
        <x:v>핵심6</x:v>
      </x:c>
      <x:c r="C4" s="798" t="str">
        <x:v>견습 항해사. 사고로 다른 항해사 전원 사망, 유일한 항해사·사실상 선장.</x:v>
      </x:c>
      <x:c r="D4" s="798" t="str">
        <x:v>무거운 결정을 제이와 나눔. 확인해줄 선임이 없다는 부담.</x:v>
      </x:c>
      <x:c r="E4" s="798" t="str">
        <x:v>야간 온실 고장 vs 외부 모래 함몰 구조 요청. 온실을 지키고 야간조 1명 사망.</x:v>
      </x:c>
      <x:c r="F4" s="798" t="str">
        <x:v>D15 미래 선언. D16~18 Final: 책임을 받아들이되 타인의 선택을 대신하지 않음. Full Route → Will+2, Jay 강인함 XP+6. LEAVE 유지.</x:v>
      </x:c>
      <x:c r="G4" s="798" t="str">
        <x:v>모두의 답을 대신 정함 → 모두가 선택할 수 있게 살려두는 선장</x:v>
      </x:c>
      <x:c r="H4" s="798" t="str">
        <x:v>확정</x:v>
      </x:c>
    </x:row>
    <x:row r="5" ht="48" hidden="0" customHeight="1">
      <x:c r="A5" s="798" t="str">
        <x:v>지나</x:v>
      </x:c>
      <x:c r="B5" s="798" t="str">
        <x:v>핵심6</x:v>
      </x:c>
      <x:c r="C5" s="798" t="str">
        <x:v>제이의 친구가 아니라, 약 3개월 항해 중 일이 꼬이면 제이가 의지하던 연상의 실무자. 큰언니처럼 믿을 만하지만 사적인 절친 관계는 아님. 이후 약 10년을 더 살아 공동체 생활 관리의 중심이 됨.</x:v>
      </x:c>
      <x:c r="D5" s="798" t="str">
        <x:v>항해 때의 업무 신뢰와 10년 시간차를 확인. 제이가 기억하는 '믿을 만한 사람'과 현재의 지나 사이를 다시 맞춰감.</x:v>
      </x:c>
      <x:c r="E5" s="798" t="str">
        <x:v>미라가 폭풍 뒤 실종되자 제이가 직접 수색해 찾아낸다. 이 사건을 통해 지나가 과거가 아닌 현재의 제이를 신뢰하기 시작.</x:v>
      </x:c>
      <x:c r="F5" s="798" t="str">
        <x:v>W3 Final/Future: 제이가 더 이상 지나에게 답을 맡기는 후배가 아니라 조건을 함께 계산하는 동료가 됨. 출항 계산을 받아들이면 LEAVE, 생활 기반을 다시 계산하면 STAY 가능. Full Route → Will+2, Jay 교감 XP+6.</x:v>
      </x:c>
      <x:c r="G5" s="798" t="str">
        <x:v>의지하던 연상의 실무자 → 현재의 제이와 나란히 판단하는 동료</x:v>
      </x:c>
      <x:c r="H5" s="798" t="str">
        <x:v>확정</x:v>
      </x:c>
    </x:row>
    <x:row r="6" ht="60" hidden="0" customHeight="1">
      <x:c r="A6" s="798" t="str">
        <x:v>페이</x:v>
      </x:c>
      <x:c r="B6" s="798" t="str">
        <x:v>핵심6</x:v>
      </x:c>
      <x:c r="C6" s="798" t="str">
        <x:v>기술자. 생존만이 아닌 전자음악/일렉 기타의 사적인 꿈.</x:v>
      </x:c>
      <x:c r="D6" s="798" t="str">
        <x:v>꿈을 처음 털어놓음.</x:v>
      </x:c>
      <x:c r="E6" s="798" t="str">
        <x:v>음악·휴식이 생존의 반대가 아니라는 중간 Beat 필요.</x:v>
      </x:c>
      <x:c r="F6" s="798" t="str">
        <x:v>D9 엔진 보조전원↔함교 방송 AUDIO_LINK 실험, D13 회선/장비 보존. D18 공연: 페이+샘 생존, 함교&gt;=1, 엔진&gt;=1, AUDIO_LINK_READY. Will+3, Full Route면 기술XP+6+LEAVE.</x:v>
      </x:c>
      <x:c r="G6" s="798" t="str">
        <x:v>생존만 하는 기술자 → 다시 삶을 상상하는 사람</x:v>
      </x:c>
      <x:c r="H6" s="798" t="str">
        <x:v>부분확정</x:v>
      </x:c>
    </x:row>
    <x:row r="7" ht="48" hidden="0" customHeight="1">
      <x:c r="A7" s="798" t="str">
        <x:v>벤자민</x:v>
      </x:c>
      <x:c r="B7" s="798" t="str">
        <x:v>핵심6</x:v>
      </x:c>
      <x:c r="C7" s="798" t="str">
        <x:v>기술자. 배우자와 자녀는 없다. 불시착 당시 약혼자 한 사람을 잃었고, 그 사람의 무덤 때문에 묘지에 강하게 묶여 있음.</x:v>
      </x:c>
      <x:c r="D7" s="798" t="str">
        <x:v>제이를 깨움. 약혼자의 이름과 묘지를 통해 상실을 처음 드러냄.</x:v>
      </x:c>
      <x:c r="E7" s="798" t="str">
        <x:v>약혼자의 묘비·기록을 보존할지, 기억을 챙기고 사람의 안전을 우선할지 선택. Living Ship Pivot을 통해 살아 있는 사람의 미래도 보기 시작.</x:v>
      </x:c>
      <x:c r="F7" s="798" t="str">
        <x:v>D19 Crisis Final / D20 Epilogue. 장소를 떠나는 것과 약혼자를 잊는 것은 다르다는 결론에 도달할 수 있음. STAY→UNDECIDED, 조건 충족 시 LEAVE 가능.</x:v>
      </x:c>
      <x:c r="G7" s="798" t="str">
        <x:v>약혼자의 무덤 곁에 머묾 → 기억을 가지고 산 사람의 미래로 갈 수 있음</x:v>
      </x:c>
      <x:c r="H7" s="798" t="str">
        <x:v>부분확정</x:v>
      </x:c>
    </x:row>
    <x:row r="8" ht="48" hidden="0" customHeight="1">
      <x:c r="A8" s="798" t="str">
        <x:v>보리치</x:v>
      </x:c>
      <x:c r="B8" s="798" t="str">
        <x:v>핵심6</x:v>
      </x:c>
      <x:c r="C8" s="798" t="str">
        <x:v>항해 중 위험 관측 연구원. 작은 물체 무리를 봤지만 위협으로 판단되지 않아 경고하지 못했고 추락 후 죄책감.</x:v>
      </x:c>
      <x:c r="D8" s="798" t="str">
        <x:v>과잉 관측·악몽 암시. 오아시스 조사 협력.</x:v>
      </x:c>
      <x:c r="E8" s="798" t="str">
        <x:v>샌드웜 Main → PTSD → 샌드웜이 도망친 원인을 끝까지 분석 → 폭풍 발견. 이후 Character Quest로 과거 공개.</x:v>
      </x:c>
      <x:c r="F8" s="798" t="str">
        <x:v>D18 Final Variant: '이번에는 끝까지 확인했다'. LEAVE 유지. 재분석 시 새 증거 수용. Full Route → Will+2, Jay 기술 XP+6.</x:v>
      </x:c>
      <x:c r="G8" s="798" t="str">
        <x:v>과거를 바로잡으려 함 → 현재의 증거를 올바르게 판단함</x:v>
      </x:c>
      <x:c r="H8" s="798" t="str">
        <x:v>확정</x:v>
      </x:c>
    </x:row>
    <x:row r="9" ht="60" hidden="0" customHeight="1">
      <x:c r="A9" s="798" t="str">
        <x:v>디야</x:v>
      </x:c>
      <x:c r="B9" s="798" t="str">
        <x:v>핵심6</x:v>
      </x:c>
      <x:c r="C9" s="798" t="str">
        <x:v>20대 공동체·도시 관점 연구자. 망가진 지구에서 태어나 기성세대가 남긴 실패에 냉소와 불만이 크다. 반대로 자신보다 어린 아이들이 그 체념을 물려받지 않고 잘 지내는 것을 특히 좋아함. 뜨개질을 좋아함.</x:v>
      </x:c>
      <x:c r="D9" s="798" t="str">
        <x:v>거주지가 집이 된 흔적 / 자신이 보지 못한 푸른 지구를 아이들에게 보여주기 위한 뜨개질.</x:v>
      </x:c>
      <x:c r="E9" s="798" t="str">
        <x:v>보존: 아이들에게 또 폐허만 남기지 않으려 집을 지킨다. 철수: 집 때문에 아이들을 위험에 묶는 것도 기성세대의 실패 반복이라 보고 안전을 우선할 수 있다.</x:v>
      </x:c>
      <x:c r="F9" s="798" t="str">
        <x:v>W3 Future: 아이들의 미래를 기준으로 STAY/LEAVE 모두 가능. STAY는 '폐허 대신 살아갈 기반을 만든다', LEAVE는 '집 때문에 아이들을 위험에 묶지 않는다'. Full Route → Will+2, Jay 교감 XP+6.</x:v>
      </x:c>
      <x:c r="G9" s="798" t="str">
        <x:v>망가진 세계를 물려받은 냉소 → 다음 세대에게 더 많은 선택지를 남기는 사람</x:v>
      </x:c>
      <x:c r="H9" s="798" t="str">
        <x:v>확정</x:v>
      </x:c>
    </x:row>
    <x:row r="10" ht="36" hidden="0" customHeight="1">
      <x:c r="A10" s="798" t="str">
        <x:v>미라</x:v>
      </x:c>
      <x:c r="B10" s="798" t="str">
        <x:v>보조</x:v>
      </x:c>
      <x:c r="C10" s="798" t="str">
        <x:v>지나의 딸. 디야가 돌보는 아이들 중 한 명. 호감도 시스템 없음.</x:v>
      </x:c>
      <x:c r="D10" s="798" t="str">
        <x:v>W1부터 평범한 아이로 충분히 노출.</x:v>
      </x:c>
      <x:c r="E10" s="798" t="str">
        <x:v>모래폭풍 뒤 발자국이 지워져 실종된다. 제이가 흔적과 주변 정보를 따라 직접 수색해 찾아낸다. 모래지옥/싱크홀에 빨려 들어가는 사건은 사용하지 않는다.</x:v>
      </x:c>
      <x:c r="F10" s="798" t="str">
        <x:v>지나·디야 아크와 True/Hidden의 감정적 연결점. 사건의 기능은 구조 실패/희생 분기가 아니라 '현재의 제이를 신뢰하게 되는 계기'.</x:v>
      </x:c>
      <x:c r="G10" s="798" t="str">
        <x:v>사건용 NPC가 아니라 아이들의 미래를 대표하는 존재</x:v>
      </x:c>
      <x:c r="H10" s="798" t="str">
        <x:v>부분확정</x:v>
      </x:c>
    </x:row>
    <x:row r="11" ht="24" hidden="0" customHeight="1">
      <x:c r="A11" s="798" t="str">
        <x:v>야간조 대표</x:v>
      </x:c>
      <x:c r="B11" s="798" t="str">
        <x:v>보조</x:v>
      </x:c>
      <x:c r="C11" s="798" t="str">
        <x:v>18:00 이후 수송선에 등장하는 야간 근무 대표. 이름 TBD.</x:v>
      </x:c>
      <x:c r="D11" s="798" t="str">
        <x:v>W1부터 '밤은 우리가 맡는다'는 생활감 제공.</x:v>
      </x:c>
      <x:c r="E11" s="798" t="str">
        <x:v>샘 야간 사건의 최초 연락자/생존 목격자. 동료 1명 사망.</x:v>
      </x:c>
      <x:c r="F11" s="798" t="str">
        <x:v>W3까지 남아 야간조와 샘의 선택을 기억시키는 존재.</x:v>
      </x:c>
      <x:c r="G11" s="798" t="str">
        <x:v>배경 노동을 얼굴 있는 공동체로 만든다</x:v>
      </x:c>
      <x:c r="H11" s="798" t="str">
        <x:v>부분확정</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18" hidden="0" customWidth="1"/>
    <x:col min="5" max="5" width="18" hidden="0" customWidth="1"/>
    <x:col min="6" max="6" width="18" hidden="0" customWidth="1"/>
  </x:cols>
  <x:sheetData>
    <x:row r="1" ht="30" hidden="0" customHeight="1">
      <x:c r="A1" s="810" t="str">
        <x:v>엔딩 역산 — Bad 4 / Normal 3 / True / Hidden</x:v>
      </x:c>
      <x:c r="B1" s="810"/>
      <x:c r="C1" s="810"/>
      <x:c r="D1" s="810"/>
      <x:c r="E1" s="810"/>
      <x:c r="F1" s="810"/>
    </x:row>
    <x:row r="2" ht="42" hidden="0" customHeight="1">
      <x:c r="A2" s="815" t="str">
        <x:v>엔딩</x:v>
      </x:c>
      <x:c r="B2" s="815" t="str">
        <x:v>의미</x:v>
      </x:c>
      <x:c r="C2" s="815" t="str">
        <x:v>현재 조건 방향</x:v>
      </x:c>
      <x:c r="D2" s="815" t="str">
        <x:v>결과 / 주석</x:v>
      </x:c>
      <x:c r="E2" s="815" t="str">
        <x:v>판정 시점</x:v>
      </x:c>
      <x:c r="F2" s="815" t="str">
        <x:v>상태</x:v>
      </x:c>
    </x:row>
    <x:row r="3" ht="24" hidden="0" customHeight="1">
      <x:c r="A3" s="798" t="str">
        <x:v>Bad 1</x:v>
      </x:c>
      <x:c r="B3" s="798" t="str">
        <x:v>생존 직접 붕괴</x:v>
      </x:c>
      <x:c r="C3" s="798" t="str">
        <x:v>치명 Emergency 실패 / Jay 사망 / Living0 등</x:v>
      </x:c>
      <x:c r="D3" s="798" t="str">
        <x:v>즉시 생존 실패</x:v>
      </x:c>
      <x:c r="E3" s="798" t="str">
        <x:v>즉시/강제</x:v>
      </x:c>
      <x:c r="F3" s="798" t="str">
        <x:v>부분확정</x:v>
      </x:c>
    </x:row>
    <x:row r="4" ht="36" hidden="0" customHeight="1">
      <x:c r="A4" s="798" t="str">
        <x:v>Bad 2</x:v>
      </x:c>
      <x:c r="B4" s="798" t="str">
        <x:v>폭풍을 버틸 준비 실패</x:v>
      </x:c>
      <x:c r="C4" s="798" t="str">
        <x:v>D14 ShelterReady=FALSE (Hull&gt;=8, Engine&gt;=2, Oxygen&gt;=3, Living&gt;=3 미충족)</x:v>
      </x:c>
      <x:c r="D4" s="798" t="str">
        <x:v>D15 진입 전 폭풍 첫 충격을 견디지 못함</x:v>
      </x:c>
      <x:c r="E4" s="798" t="str">
        <x:v>D14→D15</x:v>
      </x:c>
      <x:c r="F4" s="798" t="str">
        <x:v>TEMP 확정 후보</x:v>
      </x:c>
    </x:row>
    <x:row r="5" ht="24" hidden="0" customHeight="1">
      <x:c r="A5" s="798" t="str">
        <x:v>Bad 3</x:v>
      </x:c>
      <x:c r="B5" s="798" t="str">
        <x:v>물리적 미래 상실</x:v>
      </x:c>
      <x:c r="C5" s="798" t="str">
        <x:v>DeparturePossible=FALSE AND SettlementPossible=FALSE</x:v>
      </x:c>
      <x:c r="D5" s="798" t="str">
        <x:v>배도 행성도 장기 미래가 될 수 없음</x:v>
      </x:c>
      <x:c r="E5" s="798" t="str">
        <x:v>D21</x:v>
      </x:c>
      <x:c r="F5" s="798" t="str">
        <x:v>TEMP 확정 후보</x:v>
      </x:c>
    </x:row>
    <x:row r="6" ht="36" hidden="0" customHeight="1">
      <x:c r="A6" s="798" t="str">
        <x:v>Bad 4</x:v>
      </x:c>
      <x:c r="B6" s="798" t="str">
        <x:v>공동체 기능 붕괴</x:v>
      </x:c>
      <x:c r="C6" s="798" t="str">
        <x:v>물리적 미래는 남았지만 출항 인력조합과 정착 인력조합이 모두 불성립</x:v>
      </x:c>
      <x:c r="D6" s="798" t="str">
        <x:v>갈 곳은 있어도 그 계획을 실행할 공동체가 남지 않음</x:v>
      </x:c>
      <x:c r="E6" s="798" t="str">
        <x:v>D21</x:v>
      </x:c>
      <x:c r="F6" s="798" t="str">
        <x:v>TEMP 확정 후보</x:v>
      </x:c>
    </x:row>
    <x:row r="7" ht="48" hidden="0" customHeight="1">
      <x:c r="A7" s="798" t="str">
        <x:v>Normal 1</x:v>
      </x:c>
      <x:c r="B7" s="798" t="str">
        <x:v>전원 출항 — 정착 결론 불성립</x:v>
      </x:c>
      <x:c r="C7" s="798" t="str">
        <x:v>DeparturePossible + DepartureCrew, N2/N3/특수엔딩 미충족</x:v>
      </x:c>
      <x:c r="D7" s="798" t="str">
        <x:v>Sustainability LOW가 대표적. Ship 수리 필요면 후속 수리 뒤 출항</x:v>
      </x:c>
      <x:c r="E7" s="798" t="str">
        <x:v>D21</x:v>
      </x:c>
      <x:c r="F7" s="798" t="str">
        <x:v>TEMP 정교화</x:v>
      </x:c>
    </x:row>
    <x:row r="8" ht="36" hidden="0" customHeight="1">
      <x:c r="A8" s="798" t="str">
        <x:v>Normal 2</x:v>
      </x:c>
      <x:c r="B8" s="798" t="str">
        <x:v>분리 출항</x:v>
      </x:c>
      <x:c r="C8" s="798" t="str">
        <x:v>출항/정착 모두 실행 가능 + 생존 STAY/LEAVE가 모두 존재 + Normal3 미충족</x:v>
      </x:c>
      <x:c r="D8" s="798" t="str">
        <x:v>떠나는 사람/남는 사람 분리</x:v>
      </x:c>
      <x:c r="E8" s="798" t="str">
        <x:v>D21</x:v>
      </x:c>
      <x:c r="F8" s="798" t="str">
        <x:v>TEMP 확정 후보</x:v>
      </x:c>
    </x:row>
    <x:row r="9" ht="36" hidden="0" customHeight="1">
      <x:c r="A9" s="798" t="str">
        <x:v>Normal 3</x:v>
      </x:c>
      <x:c r="B9" s="798" t="str">
        <x:v>거주 선택</x:v>
      </x:c>
      <x:c r="C9" s="798" t="str">
        <x:v>SettlementPossible+SettlementCore + (거주 우세 또는 출항 불가/인력불가)</x:v>
      </x:c>
      <x:c r="D9" s="798" t="str">
        <x:v>다수결 거주 또는 출항측 기능 붕괴 속 현실적 정착</x:v>
      </x:c>
      <x:c r="E9" s="798" t="str">
        <x:v>D21</x:v>
      </x:c>
      <x:c r="F9" s="798" t="str">
        <x:v>TEMP 정교화</x:v>
      </x:c>
    </x:row>
    <x:row r="10" ht="48" hidden="0" customHeight="1">
      <x:c r="A10" s="798" t="str">
        <x:v>True</x:v>
      </x:c>
      <x:c r="B10" s="798" t="str">
        <x:v>전원 출항</x:v>
      </x:c>
      <x:c r="C10" s="798" t="str">
        <x:v>핵심6 전원 생존 + ShipCondition 보통/좋음 + Sam/Borichi/Faye LEAVE + Jina/Diya/Benjamin이 LEAVE 또는 UNDECIDED로 출항을 막지 않음</x:v>
      </x:c>
      <x:c r="D10" s="798" t="str">
        <x:v>강한 반대 해소 + 전원 생존 + 즉시 출항가능한 배</x:v>
      </x:c>
      <x:c r="E10" s="798" t="str">
        <x:v>D21</x:v>
      </x:c>
      <x:c r="F10" s="798" t="str">
        <x:v>확정방향</x:v>
      </x:c>
    </x:row>
    <x:row r="11" ht="30" hidden="0" customHeight="1">
      <x:c r="A11" s="807" t="str">
        <x:v>Hidden</x:v>
      </x:c>
      <x:c r="B11" s="807" t="str">
        <x:v>능동적 전원 거주/재평가</x:v>
      </x:c>
      <x:c r="C11" s="807" t="str">
        <x:v>Sustainability HIGH + ShipCondition 보통/좋음 + 보리치 생존/재분석 + 페이/벤자민 최소1 STAY + 정착근거 Route</x:v>
      </x:c>
      <x:c r="D11" s="807" t="str">
        <x:v>떠날 수 있는데도 검증 후 공동체가 남기로 선택</x:v>
      </x:c>
      <x:c r="E11" s="807" t="str">
        <x:v>D21</x:v>
      </x:c>
      <x:c r="F11" s="807" t="str">
        <x:v>확정방향</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18" hidden="0" customWidth="1"/>
  </x:cols>
  <x:sheetData>
    <x:row r="1" ht="30" hidden="0" customHeight="1">
      <x:c r="A1" s="810" t="str">
        <x:v>수송선 / 행성 / 플레이어 자원 통합 — v3.1 Canon Sync</x:v>
      </x:c>
      <x:c r="B1" s="810"/>
      <x:c r="C1" s="810"/>
      <x:c r="D1" s="810"/>
      <x:c r="E1" s="810"/>
      <x:c r="F1" s="810"/>
      <x:c r="G1" s="810"/>
      <x:c r="H1" s="810"/>
    </x:row>
    <x:row r="2" ht="42" hidden="0" customHeight="1">
      <x:c r="A2" s="815" t="str">
        <x:v>구분</x:v>
      </x:c>
      <x:c r="B2" s="815" t="str">
        <x:v>이름</x:v>
      </x:c>
      <x:c r="C2" s="815" t="str">
        <x:v>범주/위치</x:v>
      </x:c>
      <x:c r="D2" s="815" t="str">
        <x:v>값/규칙</x:v>
      </x:c>
      <x:c r="E2" s="815" t="str">
        <x:v>기능/변화</x:v>
      </x:c>
      <x:c r="F2" s="815" t="str">
        <x:v>W3/사용처</x:v>
      </x:c>
      <x:c r="G2" s="815" t="str">
        <x:v>연결/의미</x:v>
      </x:c>
      <x:c r="H2" s="815" t="str">
        <x:v>상태</x:v>
      </x:c>
    </x:row>
    <x:row r="3" ht="15" hidden="0" customHeight="1">
      <x:c r="A3" s="798" t="str">
        <x:v>[수송선 시설]</x:v>
      </x:c>
      <x:c r="B3" s="798" t="str"/>
      <x:c r="C3" s="798" t="str"/>
      <x:c r="D3" s="798" t="str"/>
      <x:c r="E3" s="798" t="str"/>
      <x:c r="F3" s="798" t="str"/>
      <x:c r="G3" s="798" t="str"/>
      <x:c r="H3" s="798" t="str"/>
    </x:row>
    <x:row r="4" ht="30" hidden="0" customHeight="1">
      <x:c r="A4" s="820" t="str">
        <x:v>시설</x:v>
      </x:c>
      <x:c r="B4" s="820" t="str">
        <x:v>전체 외벽</x:v>
      </x:c>
      <x:c r="C4" s="820" t="str">
        <x:v>Global</x:v>
      </x:c>
      <x:c r="D4" s="820" t="n">
        <x:v>5</x:v>
      </x:c>
      <x:c r="E4" s="820" t="n">
        <x:v>20</x:v>
      </x:c>
      <x:c r="F4" s="820" t="str">
        <x:v>선체 전체 구조 여유. 엔지니어 구역 패널에서 관리.</x:v>
      </x:c>
      <x:c r="G4" s="820" t="str">
        <x:v>Breach 미해결 Tick마다 -1. 0이면 장소 무관 Global Emergency.</x:v>
      </x:c>
      <x:c r="H4" s="820" t="str">
        <x:v>출항/생존 핵심</x:v>
      </x:c>
    </x:row>
    <x:row r="5" ht="30" hidden="0" customHeight="1">
      <x:c r="A5" s="820" t="str">
        <x:v>시설</x:v>
      </x:c>
      <x:c r="B5" s="820" t="str">
        <x:v>함교</x:v>
      </x:c>
      <x:c r="C5" s="820" t="str">
        <x:v>함교</x:v>
      </x:c>
      <x:c r="D5" s="820" t="n">
        <x:v>2</x:v>
      </x:c>
      <x:c r="E5" s="820" t="n">
        <x:v>5</x:v>
      </x:c>
      <x:c r="F5" s="820" t="str">
        <x:v>지휘·항해·통신·안내방송.</x:v>
      </x:c>
      <x:c r="G5" s="820" t="str">
        <x:v>본체 0 → 함교 폐쇄(W3).</x:v>
      </x:c>
      <x:c r="H5" s="820" t="str">
        <x:v>5 도달 시 W1~2 통신/방송 콘텐츠, 페이 공연과 연결</x:v>
      </x:c>
    </x:row>
    <x:row r="6" ht="30" hidden="0" customHeight="1">
      <x:c r="A6" s="820" t="str">
        <x:v>시설</x:v>
      </x:c>
      <x:c r="B6" s="820" t="str">
        <x:v>엔진실</x:v>
      </x:c>
      <x:c r="C6" s="820" t="str">
        <x:v>엔지니어 구역</x:v>
      </x:c>
      <x:c r="D6" s="820" t="n">
        <x:v>2</x:v>
      </x:c>
      <x:c r="E6" s="820" t="n">
        <x:v>5</x:v>
      </x:c>
      <x:c r="F6" s="820" t="str">
        <x:v>동력·항해 기반.</x:v>
      </x:c>
      <x:c r="G6" s="820" t="str">
        <x:v>본체 0 → 엔지니어 구역 폐쇄(W3).</x:v>
      </x:c>
      <x:c r="H6" s="820" t="str">
        <x:v>5 도달 시 동력 활용 콘텐츠, 페이 공연과 연결</x:v>
      </x:c>
    </x:row>
    <x:row r="7" ht="30" hidden="0" customHeight="1">
      <x:c r="A7" s="820" t="str">
        <x:v>시설</x:v>
      </x:c>
      <x:c r="B7" s="820" t="str">
        <x:v>산소보급실</x:v>
      </x:c>
      <x:c r="C7" s="820" t="str">
        <x:v>엔지니어 구역</x:v>
      </x:c>
      <x:c r="D7" s="820" t="n">
        <x:v>2</x:v>
      </x:c>
      <x:c r="E7" s="820" t="n">
        <x:v>5</x:v>
      </x:c>
      <x:c r="F7" s="820" t="str">
        <x:v>생명유지·산소 공급.</x:v>
      </x:c>
      <x:c r="G7" s="820" t="str">
        <x:v>산소 사고 연쇄 가능.</x:v>
      </x:c>
      <x:c r="H7" s="820" t="str">
        <x:v>5 도달 시 장기 내부 체류/대피 콘텐츠 후보</x:v>
      </x:c>
    </x:row>
    <x:row r="8" ht="30" hidden="0" customHeight="1">
      <x:c r="A8" s="820" t="str">
        <x:v>시설</x:v>
      </x:c>
      <x:c r="B8" s="820" t="str">
        <x:v>연구실</x:v>
      </x:c>
      <x:c r="C8" s="820" t="str">
        <x:v>연구 구역</x:v>
      </x:c>
      <x:c r="D8" s="820" t="n">
        <x:v>2</x:v>
      </x:c>
      <x:c r="E8" s="820" t="n">
        <x:v>5</x:v>
      </x:c>
      <x:c r="F8" s="820" t="str">
        <x:v>분석·관측·지속가능성 재평가.</x:v>
      </x:c>
      <x:c r="G8" s="820" t="str">
        <x:v>본체 0 → 연구 구역 폐쇄(W3).</x:v>
      </x:c>
      <x:c r="H8" s="820" t="str">
        <x:v>5 도달 시 보리치 연구/재평가 콘텐츠</x:v>
      </x:c>
    </x:row>
    <x:row r="9" ht="30" hidden="0" customHeight="1">
      <x:c r="A9" s="820" t="str">
        <x:v>시설</x:v>
      </x:c>
      <x:c r="B9" s="820" t="str">
        <x:v>냉동창고</x:v>
      </x:c>
      <x:c r="C9" s="820" t="str">
        <x:v>연구 구역</x:v>
      </x:c>
      <x:c r="D9" s="820" t="n">
        <x:v>5</x:v>
      </x:c>
      <x:c r="E9" s="820" t="str">
        <x:v>0 → 6h Recovery Window. D19 Core Critical 포함 모든 성공 해법은 Integrity=2로 복구. 실패 시 영구 기능정지 → 항해 불가.</x:v>
      </x:c>
      <x:c r="F9" s="820" t="str">
        <x:v>Recovery Active 동안 일반 수리 잠금. 성공 후 일반 수리 재개.</x:v>
      </x:c>
      <x:c r="G9" s="820" t="str">
        <x:v>초기 정상 자산. D19에서 살려도 손상2로 남음.</x:v>
      </x:c>
      <x:c r="H9" s="820" t="str">
        <x:v>초기 정상 자산. 지켜야 하는 것.</x:v>
      </x:c>
    </x:row>
    <x:row r="10" ht="30" hidden="0" customHeight="1">
      <x:c r="A10" s="820" t="str">
        <x:v>시설</x:v>
      </x:c>
      <x:c r="B10" s="820" t="str">
        <x:v>온실</x:v>
      </x:c>
      <x:c r="C10" s="820" t="str">
        <x:v>연구 구역</x:v>
      </x:c>
      <x:c r="D10" s="820" t="n">
        <x:v>5</x:v>
      </x:c>
      <x:c r="E10" s="820" t="n">
        <x:v>5</x:v>
      </x:c>
      <x:c r="F10" s="820" t="str">
        <x:v>0 → 24h Recovery Window. 전용 복구 성공 시 1~2 회복. 실패 시 영구 기능정지 → 장거리 항해 불가.</x:v>
      </x:c>
      <x:c r="G10" s="820" t="str">
        <x:v>Overnight에서도 24h Timer 진행. 출항 Hard Gate는 유지하지만 정착 Hard Gate는 아님: D12 시험재배 Side가 행성 외부 재배 가능성을 암시.</x:v>
      </x:c>
      <x:c r="H10" s="820" t="str">
        <x:v>초기 정상 자산. 샘 W2 야간 사건 핵심.</x:v>
      </x:c>
    </x:row>
    <x:row r="11" ht="30" hidden="0" customHeight="1">
      <x:c r="A11" s="820" t="str">
        <x:v>시설</x:v>
      </x:c>
      <x:c r="B11" s="820" t="str">
        <x:v>거주구역</x:v>
      </x:c>
      <x:c r="C11" s="820" t="str">
        <x:v>거주 구역</x:v>
      </x:c>
      <x:c r="D11" s="820" t="n">
        <x:v>2</x:v>
      </x:c>
      <x:c r="E11" s="820" t="n">
        <x:v>5</x:v>
      </x:c>
      <x:c r="F11" s="820" t="str">
        <x:v>&lt;=2 진입 시 Living Panic. 미해결이면 2h마다 예고된 타 시설 -1. 0 → 공동체 대량 사망 Bad.</x:v>
      </x:c>
      <x:c r="G11" s="820" t="str">
        <x:v>5 도달 시 생활/공동체 Event. Panic 해결 후에는 3 이상 복구했다가 다시 2 이하로 내려갈 때만 재발(TEMP).</x:v>
      </x:c>
      <x:c r="H11" s="820" t="str">
        <x:v>5 도달 시 W1~2 생활/공동체 Event 후보</x:v>
      </x:c>
    </x:row>
    <x:row r="12" ht="15" hidden="0" customHeight="1">
      <x:c r="A12" s="798" t="str">
        <x:v>[행성/세계 상태]</x:v>
      </x:c>
      <x:c r="B12" s="798" t="str"/>
      <x:c r="C12" s="798" t="str"/>
      <x:c r="D12" s="798" t="str"/>
      <x:c r="E12" s="798" t="str"/>
      <x:c r="F12" s="798" t="str"/>
      <x:c r="G12" s="798" t="str"/>
      <x:c r="H12" s="798" t="str"/>
    </x:row>
    <x:row r="13" ht="30" hidden="0" customHeight="1">
      <x:c r="A13" s="820" t="str">
        <x:v>상태</x:v>
      </x:c>
      <x:c r="B13" s="820" t="str">
        <x:v>오아시스 펌프·취수정 보존도</x:v>
      </x:c>
      <x:c r="C13" s="820" t="str">
        <x:v>행성</x:v>
      </x:c>
      <x:c r="D13" s="820" t="str">
        <x:v>W1~2 행동으로 변화</x:v>
      </x:c>
      <x:c r="E13" s="820" t="str">
        <x:v>Sustainability 핵심 입력. 'Oasis' 내부 변수는 호환을 위해 유지하되 의미는 펌프/취수정/배관 보존.</x:v>
      </x:c>
      <x:c r="F13" s="820" t="str">
        <x:v>폭풍 뒤 생활용수 공급을 재개할 물리적 기반</x:v>
      </x:c>
      <x:c r="G13" s="820" t="str">
        <x:v>확정</x:v>
      </x:c>
      <x:c r="H13" s="820" t="str"/>
    </x:row>
    <x:row r="14" ht="30" hidden="0" customHeight="1">
      <x:c r="A14" s="820" t="str">
        <x:v>상태</x:v>
      </x:c>
      <x:c r="B14" s="820" t="str">
        <x:v>거주지 보존도</x:v>
      </x:c>
      <x:c r="C14" s="820" t="str">
        <x:v>행성</x:v>
      </x:c>
      <x:c r="D14" s="820" t="str">
        <x:v>W1~2 행동으로 변화</x:v>
      </x:c>
      <x:c r="E14" s="820" t="str">
        <x:v>Sustainability 핵심 입력 / 디야 이벤트</x:v>
      </x:c>
      <x:c r="F14" s="820" t="str">
        <x:v>생활·공동체 기반</x:v>
      </x:c>
      <x:c r="G14" s="820" t="str">
        <x:v>확정</x:v>
      </x:c>
      <x:c r="H14" s="820" t="str"/>
    </x:row>
    <x:row r="15" ht="30" hidden="0" customHeight="1">
      <x:c r="A15" s="820" t="str">
        <x:v>상태</x:v>
      </x:c>
      <x:c r="B15" s="820" t="str">
        <x:v>묘지 보존도</x:v>
      </x:c>
      <x:c r="C15" s="820" t="str">
        <x:v>행성/정서</x:v>
      </x:c>
      <x:c r="D15" s="820" t="str">
        <x:v>W1~2 행동으로 변화</x:v>
      </x:c>
      <x:c r="E15" s="820" t="str">
        <x:v>Sustainability에는 미포함 / 벤자민 서사에 영향</x:v>
      </x:c>
      <x:c r="F15" s="820" t="str">
        <x:v>기억·추모</x:v>
      </x:c>
      <x:c r="G15" s="820" t="str">
        <x:v>확정</x:v>
      </x:c>
      <x:c r="H15" s="820" t="str"/>
    </x:row>
    <x:row r="16" ht="30" hidden="0" customHeight="1">
      <x:c r="A16" s="820" t="str">
        <x:v>상태</x:v>
      </x:c>
      <x:c r="B16" s="820" t="str">
        <x:v>Sustainability</x:v>
      </x:c>
      <x:c r="C16" s="820" t="str">
        <x:v>파생</x:v>
      </x:c>
      <x:c r="D16" s="820" t="str">
        <x:v>재점검이 열리지 않으면 사실상 LOW</x:v>
      </x:c>
      <x:c r="E16" s="820" t="str">
        <x:v>오아시스+거주지 보존을 바탕으로 보리치가 재평가</x:v>
      </x:c>
      <x:c r="F16" s="820" t="str">
        <x:v>Normal2/3/Hidden 판정</x:v>
      </x:c>
      <x:c r="G16" s="820" t="str">
        <x:v>부분확정</x:v>
      </x:c>
      <x:c r="H16" s="820" t="str"/>
    </x:row>
    <x:row r="17" ht="30" hidden="0" customHeight="1">
      <x:c r="A17" s="820" t="str">
        <x:v>상태</x:v>
      </x:c>
      <x:c r="B17" s="820" t="str">
        <x:v>Character Survival</x:v>
      </x:c>
      <x:c r="C17" s="820" t="str">
        <x:v>인물</x:v>
      </x:c>
      <x:c r="D17" s="820" t="str">
        <x:v>사건/응급 결과</x:v>
      </x:c>
      <x:c r="E17" s="820" t="str">
        <x:v>엔딩·퀘스트 잠금</x:v>
      </x:c>
      <x:c r="F17" s="820" t="str">
        <x:v>누가 살아남았는가</x:v>
      </x:c>
      <x:c r="G17" s="820" t="str">
        <x:v>확정</x:v>
      </x:c>
      <x:c r="H17" s="820" t="str"/>
    </x:row>
    <x:row r="18" ht="30" hidden="0" customHeight="1">
      <x:c r="A18" s="807" t="str">
        <x:v>상태</x:v>
      </x:c>
      <x:c r="B18" s="807" t="str">
        <x:v>Affinity</x:v>
      </x:c>
      <x:c r="C18" s="807" t="str">
        <x:v>인물</x:v>
      </x:c>
      <x:c r="D18" s="807" t="str">
        <x:v>NPC별 0~5 / 재회 후 기본1 / authored Event에서 ±</x:v>
      </x:c>
      <x:c r="E18" s="807" t="str">
        <x:v>신뢰·대화·고난도 부탁·W3 이동 요청 조건</x:v>
      </x:c>
      <x:c r="F18" s="807" t="str">
        <x:v>W3 이동: 3+=Will0 / 2=Will1 / 1=Will2 / 0=불가. 특정 Aff4+ 부탁은 해결 후 Aff-1</x:v>
      </x:c>
      <x:c r="G18" s="807" t="str">
        <x:v>Stance와 별개. Generic Talk 반복 파밍 금지.</x:v>
      </x:c>
      <x:c r="H18" s="807" t="str"/>
    </x:row>
    <x:row r="19" ht="30" hidden="0" customHeight="1">
      <x:c r="A19" s="820" t="str">
        <x:v>상태</x:v>
      </x:c>
      <x:c r="B19" s="820" t="str">
        <x:v>Stance</x:v>
      </x:c>
      <x:c r="C19" s="820" t="str">
        <x:v>인물</x:v>
      </x:c>
      <x:c r="D19" s="820" t="str">
        <x:v>LEAVE / UNDECIDED / STAY</x:v>
      </x:c>
      <x:c r="E19" s="820" t="str">
        <x:v>엔딩의 미래 입장</x:v>
      </x:c>
      <x:c r="F19" s="820" t="str">
        <x:v>Affinity로 자동 변화 금지, 서사 Event로 변화</x:v>
      </x:c>
      <x:c r="G19" s="820" t="str">
        <x:v>확정</x:v>
      </x:c>
      <x:c r="H19" s="820" t="str"/>
    </x:row>
    <x:row r="20" ht="30" hidden="0" customHeight="1">
      <x:c r="A20" s="820" t="str">
        <x:v>상태</x:v>
      </x:c>
      <x:c r="B20" s="820" t="str">
        <x:v>ShipCondition</x:v>
      </x:c>
      <x:c r="C20" s="820" t="str">
        <x:v>수송선/파생</x:v>
      </x:c>
      <x:c r="D20" s="820" t="str">
        <x:v>시설 상태·기능 정지·최종 수리상태</x:v>
      </x:c>
      <x:c r="E20" s="820" t="str">
        <x:v>출항 가능성·엔딩</x:v>
      </x:c>
      <x:c r="F20" s="820" t="str">
        <x:v>정확한 계산식 TBD</x:v>
      </x:c>
      <x:c r="G20" s="820" t="str">
        <x:v>TBD</x:v>
      </x:c>
      <x:c r="H20" s="820" t="str"/>
    </x:row>
    <x:row r="21" ht="15" hidden="0" customHeight="1">
      <x:c r="A21" s="798" t="str">
        <x:v>[플레이어 자원]</x:v>
      </x:c>
      <x:c r="B21" s="798" t="str"/>
      <x:c r="C21" s="798" t="str"/>
      <x:c r="D21" s="798" t="str"/>
      <x:c r="E21" s="798" t="str"/>
      <x:c r="F21" s="798" t="str"/>
      <x:c r="G21" s="798" t="str"/>
      <x:c r="H21" s="798" t="str"/>
    </x:row>
    <x:row r="22" ht="30" hidden="0" customHeight="1">
      <x:c r="A22" s="820" t="str">
        <x:v>자원</x:v>
      </x:c>
      <x:c r="B22" s="820" t="str">
        <x:v>시간</x:v>
      </x:c>
      <x:c r="C22" s="820" t="str">
        <x:v>직접 자원</x:v>
      </x:c>
      <x:c r="D22" s="820" t="str">
        <x:v>08:00~22:00 = 14h 활동</x:v>
      </x:c>
      <x:c r="E22" s="820" t="str">
        <x:v>행동·Quest·수리·보존·대화 모두 경쟁</x:v>
      </x:c>
      <x:c r="F22" s="820" t="str">
        <x:v>가장 중요한 통화. 무엇을 포기할지 만든다.</x:v>
      </x:c>
      <x:c r="G22" s="820" t="str">
        <x:v>확정</x:v>
      </x:c>
      <x:c r="H22" s="820" t="str"/>
    </x:row>
    <x:row r="23" ht="30" hidden="0" customHeight="1">
      <x:c r="A23" s="807" t="str">
        <x:v>자원</x:v>
      </x:c>
      <x:c r="B23" s="807" t="str">
        <x:v>Overnight</x:v>
      </x:c>
      <x:c r="C23" s="807" t="str">
        <x:v>세계시간</x:v>
      </x:c>
      <x:c r="D23" s="807" t="str">
        <x:v>22:00→08:00 = 10h</x:v>
      </x:c>
      <x:c r="E23" s="807" t="str">
        <x:v>폭풍·장기 Deadline은 계속 진행. 야간조 근무.</x:v>
      </x:c>
      <x:c r="F23" s="807" t="str">
        <x:v>짧은 치명 Emergency는 End Day 차단.</x:v>
      </x:c>
      <x:c r="G23" s="807" t="str">
        <x:v>확정</x:v>
      </x:c>
      <x:c r="H23" s="807" t="str"/>
    </x:row>
    <x:row r="24" ht="36" hidden="0" customHeight="1">
      <x:c r="A24" s="798" t="str">
        <x:v>자원</x:v>
      </x:c>
      <x:c r="B24" s="798" t="str">
        <x:v>의지(Will)</x:v>
      </x:c>
      <x:c r="C24" s="798" t="str">
        <x:v>소모 자원</x:v>
      </x:c>
      <x:c r="D24" s="798" t="str">
        <x:v>기본 최대 5 / 수면 +1 / 휴식 3h→+1</x:v>
      </x:c>
      <x:c r="E24" s="798" t="str">
        <x:v>① 순수 의지 선택 ② 고난도 스탯 체크의 부족분 보완</x:v>
      </x:c>
      <x:c r="F24" s="798" t="str">
        <x:v>평소 능력과 별개로 '이번 한 번 무리해서 밀어붙이는 힘'. 모든 스탯 체크에 자동 사용 불가.</x:v>
      </x:c>
      <x:c r="G24" s="798" t="str">
        <x:v>확정</x:v>
      </x:c>
      <x:c r="H24" s="798"/>
    </x:row>
    <x:row r="25" ht="36" hidden="0" customHeight="1">
      <x:c r="A25" s="798" t="str">
        <x:v>자원</x:v>
      </x:c>
      <x:c r="B25" s="798" t="str">
        <x:v>강인함</x:v>
      </x:c>
      <x:c r="C25" s="798" t="str">
        <x:v>스탯</x:v>
      </x:c>
      <x:c r="D25" s="798" t="str">
        <x:v>시작 총합 6 / 각 최소 0 / 시작 최대 4 / 성장 후 개별 상한 없음</x:v>
      </x:c>
      <x:c r="E25" s="798" t="str">
        <x:v>공포·고통·피로·압박 속에서 버티고 행동하는 능력</x:v>
      </x:c>
      <x:c r="F25" s="798" t="str">
        <x:v>의지와 구분: 강인함=평소 견딜 능력 / 의지=대가를 감수하고 한계를 넘는 소모</x:v>
      </x:c>
      <x:c r="G25" s="798" t="str">
        <x:v>확정방향</x:v>
      </x:c>
      <x:c r="H25" s="798"/>
    </x:row>
    <x:row r="26" ht="36" hidden="0" customHeight="1">
      <x:c r="A26" s="798" t="str">
        <x:v>자원</x:v>
      </x:c>
      <x:c r="B26" s="798" t="str">
        <x:v>교감</x:v>
      </x:c>
      <x:c r="C26" s="798" t="str">
        <x:v>스탯</x:v>
      </x:c>
      <x:c r="D26" s="798" t="str">
        <x:v>시작 총합 6 / 각 최소 0 / 시작 최대 4 / 성장 후 개별 상한 없음</x:v>
      </x:c>
      <x:c r="E26" s="798" t="str">
        <x:v>타인의 감정 이해·설득·중재·관계·공황 대응</x:v>
      </x:c>
      <x:c r="F26" s="798" t="str">
        <x:v>Affinity와 구분: 교감=제이의 능력 / Affinity=특정 인물과 쌓인 신뢰</x:v>
      </x:c>
      <x:c r="G26" s="798" t="str">
        <x:v>확정방향</x:v>
      </x:c>
      <x:c r="H26" s="798"/>
    </x:row>
    <x:row r="27" ht="36" hidden="0" customHeight="1">
      <x:c r="A27" s="798" t="str">
        <x:v>자원</x:v>
      </x:c>
      <x:c r="B27" s="798" t="str">
        <x:v>기술</x:v>
      </x:c>
      <x:c r="C27" s="798" t="str">
        <x:v>스탯</x:v>
      </x:c>
      <x:c r="D27" s="798" t="str">
        <x:v>시작 총합 6 / 각 최소 0 / 시작 최대 4 / 성장 후 개별 상한 없음</x:v>
      </x:c>
      <x:c r="E27" s="798" t="str">
        <x:v>조사·분석·수리·기계/시설 조작</x:v>
      </x:c>
      <x:c r="F27" s="798" t="str">
        <x:v>W3 시설 관리와 연구에서 시간 절약·고난도 해결 옵션</x:v>
      </x:c>
      <x:c r="G27" s="798" t="str">
        <x:v>확정방향</x:v>
      </x:c>
      <x:c r="H27" s="798"/>
    </x:row>
    <x:row r="28" ht="36" hidden="0" customHeight="1">
      <x:c r="A28" s="798" t="str">
        <x:v>자원</x:v>
      </x:c>
      <x:c r="B28" s="798" t="str">
        <x:v>XP</x:v>
      </x:c>
      <x:c r="C28" s="798" t="str">
        <x:v>성장</x:v>
      </x:c>
      <x:c r="D28" s="798" t="str">
        <x:v>6XP마다 해당 스탯 Lv+1 (기존안, 재검증 예정)</x:v>
      </x:c>
      <x:c r="E28" s="798" t="str">
        <x:v>21일 동안 어떤 사람으로 성장했는지를 결정</x:v>
      </x:c>
      <x:c r="F28" s="798" t="str">
        <x:v>개별 스탯 최대 6 제한은 폐기 방향. 실제 획득량/요구치는 다음 밸런스 단계.</x:v>
      </x:c>
      <x:c r="G28" s="798" t="str">
        <x:v>부분확정</x:v>
      </x:c>
      <x:c r="H28" s="798"/>
    </x:row>
    <x:row r="29" ht="36" hidden="0" customHeight="1">
      <x:c r="A29" s="798" t="str">
        <x:v>자원</x:v>
      </x:c>
      <x:c r="B29" s="798" t="str">
        <x:v>Affinity</x:v>
      </x:c>
      <x:c r="C29" s="798" t="str">
        <x:v>관계 자원</x:v>
      </x:c>
      <x:c r="D29" s="798" t="str">
        <x:v>NPC별 0~5 / 동적 상승·하락</x:v>
      </x:c>
      <x:c r="E29" s="798" t="str">
        <x:v>관계 비용으로 시간을 아끼거나 어려운 부탁을 성립시킴</x:v>
      </x:c>
      <x:c r="F29" s="798" t="str">
        <x:v>갈등 후속 1.5~2h로 +1 복구 가능(해당 갈등당1회)</x:v>
      </x:c>
      <x:c r="G29" s="798" t="str">
        <x:v>Stance와 분리 / authored 변화만</x:v>
      </x:c>
      <x:c r="H29" s="798" t="str"/>
    </x:row>
    <x:row r="30" ht="15" hidden="0" customHeight="1">
      <x:c r="A30" s="804" t="str">
        <x:v>[선택지 체크 문법]</x:v>
      </x:c>
      <x:c r="B30" s="804"/>
      <x:c r="C30" s="804"/>
      <x:c r="D30" s="804"/>
      <x:c r="E30" s="804"/>
      <x:c r="F30" s="804"/>
      <x:c r="G30" s="804"/>
      <x:c r="H30" s="804"/>
    </x:row>
    <x:row r="31" ht="36" hidden="0" customHeight="1">
      <x:c r="A31" s="798" t="str">
        <x:v>체크</x:v>
      </x:c>
      <x:c r="B31" s="798" t="str">
        <x:v>일반 스탯</x:v>
      </x:c>
      <x:c r="C31" s="798" t="str">
        <x:v>예: [기술 6]</x:v>
      </x:c>
      <x:c r="D31" s="798" t="str">
        <x:v>기준 미달 시 선택 불가</x:v>
      </x:c>
      <x:c r="E31" s="798" t="str">
        <x:v>평소 능력 자체를 묻는 선택. 의지 자동 보완 없음.</x:v>
      </x:c>
      <x:c r="F31" s="798" t="str">
        <x:v>기본 문법</x:v>
      </x:c>
      <x:c r="G31" s="798" t="str">
        <x:v>확정</x:v>
      </x:c>
      <x:c r="H31" s="798"/>
    </x:row>
    <x:row r="32" ht="24" hidden="0" customHeight="1">
      <x:c r="A32" s="798" t="str">
        <x:v>[v1.1 관계/지속가능성 패치]</x:v>
      </x:c>
      <x:c r="B32" s="798"/>
      <x:c r="C32" s="798"/>
      <x:c r="D32" s="798"/>
      <x:c r="E32" s="798"/>
      <x:c r="F32" s="798"/>
      <x:c r="G32" s="798"/>
      <x:c r="H32" s="798"/>
    </x:row>
    <x:row r="33" ht="30" hidden="0" customHeight="1">
      <x:c r="A33" s="820" t="str">
        <x:v>상태</x:v>
      </x:c>
      <x:c r="B33" s="820" t="str">
        <x:v>Affinity 이동</x:v>
      </x:c>
      <x:c r="C33" s="820" t="str">
        <x:v>인물</x:v>
      </x:c>
      <x:c r="D33" s="820" t="str">
        <x:v>3+=0Will / 2=Will1 / 1=Will2 / 0=불가</x:v>
      </x:c>
      <x:c r="E33" s="820" t="str">
        <x:v>W3 NPC 이동 요청</x:v>
      </x:c>
      <x:c r="F33" s="820" t="str">
        <x:v>관계투자가 Boss 병렬대응 자원으로 변환</x:v>
      </x:c>
      <x:c r="G33" s="820" t="str">
        <x:v>v1.1</x:v>
      </x:c>
      <x:c r="H33" s="820" t="str">
        <x:v>확정방향</x:v>
      </x:c>
    </x:row>
    <x:row r="34" ht="30" hidden="0" customHeight="1">
      <x:c r="A34" s="820" t="str">
        <x:v>상태</x:v>
      </x:c>
      <x:c r="B34" s="820" t="str">
        <x:v>Affinity 특수부탁</x:v>
      </x:c>
      <x:c r="C34" s="820" t="str">
        <x:v>인물</x:v>
      </x:c>
      <x:c r="D34" s="820" t="str">
        <x:v>특정 authored Event에서 Affinity&gt;=4</x:v>
      </x:c>
      <x:c r="E34" s="820" t="str">
        <x:v>1h 위험/과부하 부탁 후 Affinity-1</x:v>
      </x:c>
      <x:c r="F34" s="820" t="str">
        <x:v>시간을 사는 대신 관계를 소비</x:v>
      </x:c>
      <x:c r="G34" s="820" t="str">
        <x:v>v1.1</x:v>
      </x:c>
      <x:c r="H34" s="820" t="str">
        <x:v>확정방향</x:v>
      </x:c>
    </x:row>
    <x:row r="35" ht="30" hidden="0" customHeight="1">
      <x:c r="A35" s="820" t="str">
        <x:v>상태</x:v>
      </x:c>
      <x:c r="B35" s="820" t="str">
        <x:v>Sustainability LOW</x:v>
      </x:c>
      <x:c r="C35" s="820" t="str">
        <x:v>파생</x:v>
      </x:c>
      <x:c r="D35" s="820" t="str">
        <x:v>재점검 전 항상 LOW / 재점검 후 펌프 보존 또는 거주지 보존 축 하나0이거나 합계&lt;3</x:v>
      </x:c>
      <x:c r="E35" s="820" t="str">
        <x:v>정착 근거 부족</x:v>
      </x:c>
      <x:c r="F35" s="820" t="str">
        <x:v>보존 자체가 자동 엔딩을 열지 않음</x:v>
      </x:c>
      <x:c r="G35" s="820" t="str">
        <x:v>v3.1 의미동기화</x:v>
      </x:c>
      <x:c r="H35" s="820" t="str">
        <x:v>확정방향</x:v>
      </x:c>
    </x:row>
    <x:row r="36" ht="30" hidden="0" customHeight="1">
      <x:c r="A36" s="820" t="str">
        <x:v>상태</x:v>
      </x:c>
      <x:c r="B36" s="820" t="str">
        <x:v>Sustainability MEDIUM</x:v>
      </x:c>
      <x:c r="C36" s="820" t="str">
        <x:v>파생</x:v>
      </x:c>
      <x:c r="D36" s="820" t="str">
        <x:v>재점검 + Oasis(펌프 보존)&gt;=1 + Settlement&gt;=1 + 합계&gt;=3</x:v>
      </x:c>
      <x:c r="E36" s="820" t="str">
        <x:v>일부 정착 가능성</x:v>
      </x:c>
      <x:c r="F36" s="820" t="str">
        <x:v>Normal2/3</x:v>
      </x:c>
      <x:c r="G36" s="820" t="str">
        <x:v>v3.1 의미동기화</x:v>
      </x:c>
      <x:c r="H36" s="820" t="str">
        <x:v>확정방향</x:v>
      </x:c>
    </x:row>
    <x:row r="37" ht="30" hidden="0" customHeight="1">
      <x:c r="A37" s="820" t="str">
        <x:v>상태</x:v>
      </x:c>
      <x:c r="B37" s="820" t="str">
        <x:v>Sustainability HIGH</x:v>
      </x:c>
      <x:c r="C37" s="820" t="str">
        <x:v>파생</x:v>
      </x:c>
      <x:c r="D37" s="820" t="str">
        <x:v>재점검 + Oasis(펌프 보존)&gt;=2 + Settlement&gt;=2 + 합계&gt;=5</x:v>
      </x:c>
      <x:c r="E37" s="820" t="str">
        <x:v>검증된 정착 가능성</x:v>
      </x:c>
      <x:c r="F37" s="820" t="str">
        <x:v>Hidden 핵심</x:v>
      </x:c>
      <x:c r="G37" s="820" t="str">
        <x:v>v3.1 의미동기화</x:v>
      </x:c>
      <x:c r="H37" s="820" t="str">
        <x:v>확정방향</x:v>
      </x:c>
    </x:row>
    <x:row r="38" ht="24" hidden="0" customHeight="1">
      <x:c r="A38" s="798" t="str">
        <x:v>자원</x:v>
      </x:c>
      <x:c r="B38" s="798" t="str">
        <x:v>갈등 회복</x:v>
      </x:c>
      <x:c r="C38" s="798" t="str">
        <x:v>관계</x:v>
      </x:c>
      <x:c r="D38" s="798" t="str">
        <x:v>해당 Affinity 하락 Event 후 1회 / 1.5~2h</x:v>
      </x:c>
      <x:c r="E38" s="798" t="str">
        <x:v>Affinity +1</x:v>
      </x:c>
      <x:c r="F38" s="798" t="str">
        <x:v>실수 2~3개를 시간으로 복구</x:v>
      </x:c>
      <x:c r="G38" s="798" t="str">
        <x:v>v1.1</x:v>
      </x:c>
      <x:c r="H38" s="798" t="str">
        <x:v>확정방향</x:v>
      </x:c>
    </x:row>
    <x:row r="39" ht="24" hidden="0" customHeight="1">
      <x:c r="A39" s="798" t="str">
        <x:v>자원</x:v>
      </x:c>
      <x:c r="B39" s="798" t="str">
        <x:v>XP Pivot</x:v>
      </x:c>
      <x:c r="C39" s="798" t="str">
        <x:v>성장</x:v>
      </x:c>
      <x:c r="D39" s="798" t="str">
        <x:v>Main/Character 전략 선택 +2~3XP 후보</x:v>
      </x:c>
      <x:c r="E39" s="798" t="str">
        <x:v>호감도·시간·Route와 맞교환</x:v>
      </x:c>
      <x:c r="F39" s="798" t="str">
        <x:v>공략 가능한 성장</x:v>
      </x:c>
      <x:c r="G39" s="798" t="str">
        <x:v>v1.1</x:v>
      </x:c>
      <x:c r="H39" s="798" t="str">
        <x:v>확정방향</x:v>
      </x:c>
    </x:row>
  </x:sheetData>
  <x:mergeCells>
    <x:mergeCell ref="A1:H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18" hidden="0" customWidth="1"/>
    <x:col min="5" max="5" width="18" hidden="0" customWidth="1"/>
  </x:cols>
  <x:sheetData>
    <x:row r="1" ht="30" hidden="0" customHeight="1">
      <x:c r="A1" s="810" t="str">
        <x:v>TBD / 충돌 / 다음 의사결정</x:v>
      </x:c>
      <x:c r="B1" s="810"/>
      <x:c r="C1" s="810"/>
      <x:c r="D1" s="810"/>
      <x:c r="E1" s="810"/>
    </x:row>
    <x:row r="2" ht="42" hidden="0" customHeight="1">
      <x:c r="A2" s="815" t="str">
        <x:v>항목</x:v>
      </x:c>
      <x:c r="B2" s="815" t="str">
        <x:v>분류</x:v>
      </x:c>
      <x:c r="C2" s="815" t="str">
        <x:v>미정 내용</x:v>
      </x:c>
      <x:c r="D2" s="815" t="str">
        <x:v>왜 필요한가</x:v>
      </x:c>
      <x:c r="E2" s="815" t="str">
        <x:v>우선순위</x:v>
      </x:c>
    </x:row>
    <x:row r="3" ht="30" hidden="0" customHeight="1">
      <x:c r="A3" s="807" t="str">
        <x:v>Bad Ending 4</x:v>
      </x:c>
      <x:c r="B3" s="807" t="str">
        <x:v>엔딩</x:v>
      </x:c>
      <x:c r="C3" s="807" t="str">
        <x:v>아직 의미·조건 미정</x:v>
      </x:c>
      <x:c r="D3" s="807" t="str">
        <x:v>엔딩 우선순위 확정 전 필요</x:v>
      </x:c>
      <x:c r="E3" s="807" t="str">
        <x:v>높음</x:v>
      </x:c>
    </x:row>
    <x:row r="4" ht="24" hidden="0" customHeight="1">
      <x:c r="A4" s="798" t="str">
        <x:v>페이 W2 중간 Beat</x:v>
      </x:c>
      <x:c r="B4" s="798" t="str">
        <x:v>캐릭터</x:v>
      </x:c>
      <x:c r="C4" s="798" t="str">
        <x:v>음악/휴식이 왜 생존과 반대가 아닌지 보여줄 사건 필요</x:v>
      </x:c>
      <x:c r="D4" s="798" t="str">
        <x:v>공연 설득력</x:v>
      </x:c>
      <x:c r="E4" s="798" t="str">
        <x:v>높음</x:v>
      </x:c>
    </x:row>
    <x:row r="5" ht="36" hidden="0" customHeight="1">
      <x:c r="A5" s="798" t="str">
        <x:v>벤자민 W2 정확한 사건</x:v>
      </x:c>
      <x:c r="B5" s="798" t="str">
        <x:v>캐릭터</x:v>
      </x:c>
      <x:c r="C5" s="798" t="str">
        <x:v>묘지+총 수송선 복구량과 살아 있는 사람의 미래를 연결하는 구체 사건</x:v>
      </x:c>
      <x:c r="D5" s="798" t="str">
        <x:v>벤자민 LEAVE 변화 설득력</x:v>
      </x:c>
      <x:c r="E5" s="798" t="str">
        <x:v>높음</x:v>
      </x:c>
    </x:row>
    <x:row r="6" ht="24" hidden="0" customHeight="1">
      <x:c r="A6" s="798" t="str">
        <x:v>Hidden 추가 조건</x:v>
      </x:c>
      <x:c r="B6" s="798" t="str">
        <x:v>엔딩</x:v>
      </x:c>
      <x:c r="C6" s="798" t="str">
        <x:v>전원 생존 여부, 수송선 출항 가능을 필수로 둘지 등</x:v>
      </x:c>
      <x:c r="D6" s="798" t="str">
        <x:v>True와 충돌 방지</x:v>
      </x:c>
      <x:c r="E6" s="798" t="str">
        <x:v>높음</x:v>
      </x:c>
    </x:row>
    <x:row r="7" ht="24" hidden="0" customHeight="1">
      <x:c r="A7" s="798" t="str">
        <x:v>ShipCondition 계산식</x:v>
      </x:c>
      <x:c r="B7" s="798" t="str">
        <x:v>시스템</x:v>
      </x:c>
      <x:c r="C7" s="798" t="str">
        <x:v>항해 불가/수리 필요/보통/좋음 산식</x:v>
      </x:c>
      <x:c r="D7" s="798" t="str">
        <x:v>엔딩 판정</x:v>
      </x:c>
      <x:c r="E7" s="798" t="str">
        <x:v>높음</x:v>
      </x:c>
    </x:row>
    <x:row r="8" ht="24" hidden="0" customHeight="1">
      <x:c r="A8" s="798" t="str">
        <x:v>W2→W3 Bad2 판정 방식</x:v>
      </x:c>
      <x:c r="B8" s="798" t="str">
        <x:v>엔딩/시스템</x:v>
      </x:c>
      <x:c r="C8" s="798" t="str">
        <x:v>D14 즉시 실패 vs W3 초반 사실상 붕괴</x:v>
      </x:c>
      <x:c r="D8" s="798" t="str">
        <x:v>플레이 체감</x:v>
      </x:c>
      <x:c r="E8" s="798" t="str">
        <x:v>중간</x:v>
      </x:c>
    </x:row>
    <x:row r="9" ht="24" hidden="0" customHeight="1">
      <x:c r="A9" s="798" t="str">
        <x:v>시설 5 도달 콘텐츠 목록</x:v>
      </x:c>
      <x:c r="B9" s="798" t="str">
        <x:v>수송선</x:v>
      </x:c>
      <x:c r="C9" s="798" t="str">
        <x:v>함교/엔진/산소/연구/거주 각 unlock 정확히 설계</x:v>
      </x:c>
      <x:c r="D9" s="798" t="str">
        <x:v>W1~2 콘텐츠 밀도</x:v>
      </x:c>
      <x:c r="E9" s="798" t="str">
        <x:v>중간</x:v>
      </x:c>
    </x:row>
    <x:row r="10" ht="30" hidden="0" customHeight="1">
      <x:c r="A10" s="807" t="str">
        <x:v>Day별 실제 시간 예산</x:v>
      </x:c>
      <x:c r="B10" s="807" t="str">
        <x:v>밸런스</x:v>
      </x:c>
      <x:c r="C10" s="807" t="str">
        <x:v>Day 1~21 Action Budget v0.3 완료. 다음 단계는 True/Hidden Route Simulation과 시간·수치 재조정.</x:v>
      </x:c>
      <x:c r="D10" s="807" t="str">
        <x:v>W2/W3 과밀·공백 및 True/Hidden 실제 가능성 검증</x:v>
      </x:c>
      <x:c r="E10" s="807" t="str">
        <x:v>높음</x:v>
      </x:c>
    </x:row>
    <x:row r="11" ht="30" hidden="0" customHeight="1">
      <x:c r="A11" s="807" t="str">
        <x:v>W3 사고 발생 규칙</x:v>
      </x:c>
      <x:c r="B11" s="807" t="str">
        <x:v>시스템</x:v>
      </x:c>
      <x:c r="C11" s="807" t="str">
        <x:v>Breach/Oxygen/Panic 빈도·랜덤/조건 규칙</x:v>
      </x:c>
      <x:c r="D11" s="807" t="str">
        <x:v>생존 난이도</x:v>
      </x:c>
      <x:c r="E11" s="807" t="str">
        <x:v>높음</x:v>
      </x:c>
    </x:row>
    <x:row r="12" ht="15" hidden="0" customHeight="1">
      <x:c r="A12" s="798" t="str">
        <x:v>야간조 대표 이름/말투</x:v>
      </x:c>
      <x:c r="B12" s="798" t="str">
        <x:v>보조 캐릭터</x:v>
      </x:c>
      <x:c r="C12" s="798" t="str">
        <x:v>역할은 확정, 디자인 세부 미정</x:v>
      </x:c>
      <x:c r="D12" s="798" t="str">
        <x:v>W1부터 반복 노출</x:v>
      </x:c>
      <x:c r="E12" s="798" t="str">
        <x:v>낮음</x:v>
      </x:c>
    </x:row>
    <x:row r="13" ht="30" hidden="0" customHeight="1">
      <x:c r="A13" s="807" t="str">
        <x:v>W1 압력 테스트 결과</x:v>
      </x:c>
      <x:c r="B13" s="807" t="str">
        <x:v>검증</x:v>
      </x:c>
      <x:c r="C13" s="807" t="str">
        <x:v>D1 여유, D2~D7 대체로 적정. D5가 가장 높은 상한 압력(100%).</x:v>
      </x:c>
      <x:c r="D13" s="807" t="str">
        <x:v>W2 추가 후 실제 병목과 선택 강도를 비교할 기준선</x:v>
      </x:c>
      <x:c r="E13" s="807" t="str">
        <x:v>완료</x:v>
      </x:c>
    </x:row>
    <x:row r="14" ht="60" hidden="0" customHeight="1">
      <x:c r="A14" s="798" t="str">
        <x:v>W2 압력 테스트 결과</x:v>
      </x:c>
      <x:c r="B14" s="798" t="str">
        <x:v>검증</x:v>
      </x:c>
      <x:c r="C14" s="798" t="str">
        <x:v>D8~14를 실제 행동 후보로 전개. 미라 구조·축제·보존·수리·Character가 동시에 경쟁하도록 구성.</x:v>
      </x:c>
      <x:c r="D14" s="798" t="str">
        <x:v>다음 단계에서 True/Hidden 최소 필요 행동을 따로 골라 실제 경로 가능성을 검증해야 함.</x:v>
      </x:c>
      <x:c r="E14" s="798" t="str">
        <x:v>완료</x:v>
      </x:c>
    </x:row>
    <x:row r="15" ht="60" hidden="0" customHeight="1">
      <x:c r="A15" s="798" t="str">
        <x:v>미라 실종 사건과 야간조 사고의 위험 유형 분리</x:v>
      </x:c>
      <x:c r="B15" s="798" t="str">
        <x:v>서사 충돌</x:v>
      </x:c>
      <x:c r="C15" s="798" t="str">
        <x:v>미라는 모래폭풍으로 발자국이 사라져 실종되고 제이가 수색해 찾는 것으로 확정. D13 야간조 사고는 별도의 모래 함몰/외부 사고로 유지할 수 있으나 미라 사건과 같은 '모래지옥 구조' 문법을 반복하지 않는다.</x:v>
      </x:c>
      <x:c r="D15" s="798" t="str">
        <x:v>Week2 사건 체감의 반복감 방지</x:v>
      </x:c>
      <x:c r="E15" s="798" t="str">
        <x:v>중간</x:v>
      </x:c>
    </x:row>
    <x:row r="16" ht="60" hidden="0" customHeight="1">
      <x:c r="A16" s="798" t="str">
        <x:v>W3 Emergency Buffer</x:v>
      </x:c>
      <x:c r="B16" s="798" t="str">
        <x:v>검증</x:v>
      </x:c>
      <x:c r="C16" s="798" t="str">
        <x:v>Day15~20 계획 콘텐츠와 Emergency 시간을 분리. 기본 권장 대응 버퍼를 D15 6h, D16~19 5h, D20 3h로 TEMP 설정.</x:v>
      </x:c>
      <x:c r="D16" s="798" t="str">
        <x:v>W3가 별도 관리게임처럼 과밀해지지 않고 Character Final과 생존 위기가 공존하는지 검증</x:v>
      </x:c>
      <x:c r="E16" s="798" t="str">
        <x:v>완료</x:v>
      </x:c>
    </x:row>
    <x:row r="17" ht="30" hidden="0" customHeight="1">
      <x:c r="A17" s="807" t="str">
        <x:v>W3 Final 배치</x:v>
      </x:c>
      <x:c r="B17" s="807" t="str">
        <x:v>서사/밸런스</x:v>
      </x:c>
      <x:c r="C17" s="807" t="str">
        <x:v>지나 D17, Sustainability/디야 D18, 페이·벤자민 D19, 샘/잔여 D20을 '권장 창'으로 배치. 실제로는 D16~20 조건 충족 시 유연하게 열리도록 설계 필요.</x:v>
      </x:c>
      <x:c r="D17" s="807" t="str">
        <x:v>플레이어별 사고·시설 폐쇄 때문에 고정 날짜가 지나치게 강하면 진행 불가 발생</x:v>
      </x:c>
      <x:c r="E17" s="807" t="str">
        <x:v>높음</x:v>
      </x:c>
    </x:row>
    <x:row r="18" ht="30" hidden="0" customHeight="1">
      <x:c r="A18" s="807" t="str">
        <x:v>Emergency 실제 시간</x:v>
      </x:c>
      <x:c r="B18" s="807" t="str">
        <x:v>밸런스</x:v>
      </x:c>
      <x:c r="C18" s="807" t="str">
        <x:v>ActionBudget의 4h 슬롯은 계획용 대표값. 실제 Breach/산소/Global Hull/샘 붕괴 해결시간은 Stat·NPC 배치·선택에 따라 달라짐.</x:v>
      </x:c>
      <x:c r="D18" s="807" t="str">
        <x:v>Route Simulation에서 저/중/고 스탯 케이스를 따로 검증</x:v>
      </x:c>
      <x:c r="E18" s="807" t="str">
        <x:v>높음</x:v>
      </x:c>
    </x:row>
    <x:row r="19" ht="30" hidden="0" customHeight="1">
      <x:c r="A19" s="807" t="str">
        <x:v>Route Simulation v0.1</x:v>
      </x:c>
      <x:c r="B19" s="807" t="str">
        <x:v>검증</x:v>
      </x:c>
      <x:c r="C19" s="807" t="str">
        <x:v>Normal/True/Hidden 21일 종이 플레이 완료. 시간·Will은 통과. XP/Affinity/ShipCondition/Sustainability 실제 임계치는 미확정이라 Proxy 사용.</x:v>
      </x:c>
      <x:c r="D19" s="807" t="str">
        <x:v>다음 수치 설계에서 무엇을 먼저 확정할지 우선순위 기준</x:v>
      </x:c>
      <x:c r="E19" s="807" t="str">
        <x:v>완료</x:v>
      </x:c>
    </x:row>
    <x:row r="20" ht="36" hidden="0" customHeight="1">
      <x:c r="A20" s="798" t="str">
        <x:v>True 반복 수리량</x:v>
      </x:c>
      <x:c r="B20" s="798" t="str">
        <x:v>밸런스</x:v>
      </x:c>
      <x:c r="C20" s="798" t="str">
        <x:v>기존 '총 내구도 약40' 목표 폐기. 13_FacilityTransition에서 Benjamin semantic milestone로 교체.</x:v>
      </x:c>
      <x:c r="D20" s="798" t="str">
        <x:v>True를 반복 수리 노가다로 만들던 오래된 Proxy 제거.</x:v>
      </x:c>
      <x:c r="E20" s="798" t="str">
        <x:v>해결</x:v>
      </x:c>
    </x:row>
    <x:row r="21" ht="30" hidden="0" customHeight="1">
      <x:c r="A21" s="807" t="str">
        <x:v>Will 존재감</x:v>
      </x:c>
      <x:c r="B21" s="807" t="str">
        <x:v>밸런스</x:v>
      </x:c>
      <x:c r="C21" s="807" t="str">
        <x:v>Overnight 회복을 +2 → +1로 변경. Route Simulation을 다시 계산해 Will 압박이 실제로 생기는지 재검증.</x:v>
      </x:c>
      <x:c r="D21" s="807" t="str">
        <x:v>Soft Requirement/긴급 압축/Character 선택과 결합 강도 조정 필요</x:v>
      </x:c>
      <x:c r="E21" s="807" t="str">
        <x:v>높음</x:v>
      </x:c>
    </x:row>
    <x:row r="22" ht="30" hidden="0" customHeight="1">
      <x:c r="A22" s="807" t="str">
        <x:v>Will Overnight 회복</x:v>
      </x:c>
      <x:c r="B22" s="807" t="str">
        <x:v>밸런스</x:v>
      </x:c>
      <x:c r="C22" s="807" t="str">
        <x:v>수면 회복 +2 → +1로 변경. 최대 Will 5와 휴식 3h→+1은 유지.</x:v>
      </x:c>
      <x:c r="D22" s="807" t="str">
        <x:v>Will을 매일 자동 완충되는 자원이 아니라 누적 압박 자원으로 만들기 위함.</x:v>
      </x:c>
      <x:c r="E22" s="807" t="str">
        <x:v>확정</x:v>
      </x:c>
    </x:row>
    <x:row r="23" ht="36" hidden="0" customHeight="1">
      <x:c r="A23" s="798" t="str">
        <x:v>플레이어 스탯 명칭</x:v>
      </x:c>
      <x:c r="B23" s="798" t="str">
        <x:v>시스템</x:v>
      </x:c>
      <x:c r="C23" s="798" t="str">
        <x:v>Personal/Social/Technical → 강인함/교감/기술</x:v>
      </x:c>
      <x:c r="D23" s="798" t="str">
        <x:v>각 능력의 판타지와 의지 자원의 역할을 명확히 분리</x:v>
      </x:c>
      <x:c r="E23" s="798" t="str">
        <x:v>확정방향</x:v>
      </x:c>
    </x:row>
    <x:row r="24" ht="48" hidden="0" customHeight="1">
      <x:c r="A24" s="798" t="str">
        <x:v>스탯 개별 상한</x:v>
      </x:c>
      <x:c r="B24" s="798" t="str">
        <x:v>성장</x:v>
      </x:c>
      <x:c r="C24" s="798" t="str">
        <x:v>기존 각 스탯 최대 6 제한은 폐기 방향. 극단 전문화 허용.</x:v>
      </x:c>
      <x:c r="D24" s="798" t="str">
        <x:v>기술10 같은 고난도 선택을 실제 빌드로도 도달 가능하게 만들기 위함</x:v>
      </x:c>
      <x:c r="E24" s="798" t="str">
        <x:v>높음</x:v>
      </x:c>
    </x:row>
    <x:row r="25" ht="48" hidden="0" customHeight="1">
      <x:c r="A25" s="798" t="str">
        <x:v>의지 선택 문법</x:v>
      </x:c>
      <x:c r="B25" s="798" t="str">
        <x:v>시스템</x:v>
      </x:c>
      <x:c r="C25" s="798" t="str">
        <x:v>일반 스탯 / 스탯+의지 보완 / 순수 의지 3종으로 구분</x:v>
      </x:c>
      <x:c r="D25" s="798" t="str">
        <x:v>의지가 만능 스탯 보정이 되지 않고 개인적 결단 자원으로 기능하게 함</x:v>
      </x:c>
      <x:c r="E25" s="798" t="str">
        <x:v>확정방향</x:v>
      </x:c>
    </x:row>
    <x:row r="26" ht="60" hidden="0" customHeight="1">
      <x:c r="A26" s="798" t="str">
        <x:v>시작 스탯 분배</x:v>
      </x:c>
      <x:c r="B26" s="798" t="str">
        <x:v>성장</x:v>
      </x:c>
      <x:c r="C26" s="798" t="str">
        <x:v>총합 6 / 각 최소 0 / 시작 최대 4. 4/2/0, 4/0/2 등 극단 시작 허용.</x:v>
      </x:c>
      <x:c r="D26" s="798" t="str">
        <x:v>초기 빌드 자유도를 넓히고, 한 분야를 완전히 포기하는 선택도 플레이어가 감수할 수 있게 함.</x:v>
      </x:c>
      <x:c r="E26" s="798" t="str">
        <x:v>확정</x:v>
      </x:c>
    </x:row>
    <x:row r="27" ht="30" hidden="0" customHeight="1">
      <x:c r="A27" s="807" t="str">
        <x:v>W1 체크 상한</x:v>
      </x:c>
      <x:c r="B27" s="807" t="str">
        <x:v>밸런스</x:v>
      </x:c>
      <x:c r="C27" s="807" t="str">
        <x:v>Day1~3 최대 요구치 3 / Day4~7 최대 요구치 4</x:v>
      </x:c>
      <x:c r="D27" s="807" t="str">
        <x:v>초반 빌드 선택을 즉시 체감시키고 W1 후반부터 첫 성장 결과를 사용</x:v>
      </x:c>
      <x:c r="E27" s="807" t="str">
        <x:v>확정</x:v>
      </x:c>
    </x:row>
    <x:row r="28" ht="36" hidden="0" customHeight="1">
      <x:c r="A28" s="798" t="str">
        <x:v>스탯 성장 계산</x:v>
      </x:c>
      <x:c r="B28" s="798" t="str">
        <x:v>밸런스</x:v>
      </x:c>
      <x:c r="C28" s="798" t="str">
        <x:v>6XP=Lv+1 유지 TEMP. 집중 성장 기준 W1 +2Lv, W2 +2Lv, W3 +2Lv를 목표로 계산.</x:v>
      </x:c>
      <x:c r="D28" s="798" t="str">
        <x:v>시작 2→최종 8, 시작 4→최종 10의 전문화 곡선 형성</x:v>
      </x:c>
      <x:c r="E28" s="798" t="str">
        <x:v>TEMP</x:v>
      </x:c>
    </x:row>
    <x:row r="29" ht="30" hidden="0" customHeight="1">
      <x:c r="A29" s="807" t="str">
        <x:v>Breach 해결 문법</x:v>
      </x:c>
      <x:c r="B29" s="807" t="str">
        <x:v>W3 Emergency</x:v>
      </x:c>
      <x:c r="C29" s="807" t="str">
        <x:v>기본4h / 기술7=2h / 기술9+의지 보완=1h. 해결과 Integrity 복구 분리.</x:v>
      </x:c>
      <x:c r="D29" s="807" t="str">
        <x:v>W3 스탯·의지·시간을 하나의 선택 구조로 연결</x:v>
      </x:c>
      <x:c r="E29" s="807" t="str">
        <x:v>TEMP 추천</x:v>
      </x:c>
    </x:row>
    <x:row r="30" ht="48" hidden="0" customHeight="1">
      <x:c r="A30" s="798" t="str">
        <x:v>Breach 순수 의지</x:v>
      </x:c>
      <x:c r="B30" s="798" t="str">
        <x:v>W3 Emergency</x:v>
      </x:c>
      <x:c r="C30" s="798" t="str">
        <x:v>비전문 NPC 희생 루트에서 [의지1] 1h로 철수. Breach 자체는 미해결 유지.</x:v>
      </x:c>
      <x:c r="D30" s="798" t="str">
        <x:v>순수 의지를 기술 대체가 아니라 사람을 포기하지 않는 개인적 결단으로 사용</x:v>
      </x:c>
      <x:c r="E30" s="798" t="str">
        <x:v>확정방향</x:v>
      </x:c>
    </x:row>
    <x:row r="31" ht="36" hidden="0" customHeight="1">
      <x:c r="A31" s="798" t="str">
        <x:v>Breach Tick 동시처리</x:v>
      </x:c>
      <x:c r="B31" s="798" t="str">
        <x:v>W3 Emergency</x:v>
      </x:c>
      <x:c r="C31" s="798" t="str">
        <x:v>4h 해결 완료와 Tick이 같은 시각이면 해결 우선, 피해 없음.</x:v>
      </x:c>
      <x:c r="D31" s="798" t="str">
        <x:v>기본 4h 해결이 정상적인 안전망으로 기능하도록 함</x:v>
      </x:c>
      <x:c r="E31" s="798" t="str">
        <x:v>TEMP 추천</x:v>
      </x:c>
    </x:row>
    <x:row r="32" ht="36" hidden="0" customHeight="1">
      <x:c r="A32" s="798" t="str">
        <x:v>혼합 NPC 우선순위</x:v>
      </x:c>
      <x:c r="B32" s="798" t="str">
        <x:v>W3 Emergency</x:v>
      </x:c>
      <x:c r="C32" s="798" t="str">
        <x:v>전문가가 함께 있으면 비전문 희생이 발동하지 않는 방향. 세부 우선순위 TBD.</x:v>
      </x:c>
      <x:c r="D32" s="798" t="str">
        <x:v>불합리한 자동 사망 방지</x:v>
      </x:c>
      <x:c r="E32" s="798" t="str">
        <x:v>높음</x:v>
      </x:c>
    </x:row>
    <x:row r="33" ht="48" hidden="0" customHeight="1">
      <x:c r="A33" s="798" t="str">
        <x:v>Oxygen Target 의미</x:v>
      </x:c>
      <x:c r="B33" s="798" t="str">
        <x:v>W3 Emergency</x:v>
      </x:c>
      <x:c r="C33" s="798" t="str">
        <x:v>SourceZone 없이 AffectedZone 1개를 지정하는 단순 구조 권장. 정확 선정 방식은 추후.</x:v>
      </x:c>
      <x:c r="D33" s="798" t="str">
        <x:v>기존 '산소실 고장→다른 방'의 애매한 Source/Target 문제 제거</x:v>
      </x:c>
      <x:c r="E33" s="798" t="str">
        <x:v>TEMP 추천</x:v>
      </x:c>
    </x:row>
    <x:row r="34" ht="36" hidden="0" customHeight="1">
      <x:c r="A34" s="798" t="str">
        <x:v>Oxygen 해결 문법</x:v>
      </x:c>
      <x:c r="B34" s="798" t="str">
        <x:v>W3 Emergency</x:v>
      </x:c>
      <x:c r="C34" s="798" t="str">
        <x:v>기본4h / 기술7=2h / 강인함7=2h / 기술9+의지 보완=1h</x:v>
      </x:c>
      <x:c r="D34" s="798" t="str">
        <x:v>강인함을 극한 환경 대응 능력으로 실제 사용</x:v>
      </x:c>
      <x:c r="E34" s="798" t="str">
        <x:v>TEMP 추천</x:v>
      </x:c>
    </x:row>
    <x:row r="35" ht="30" hidden="0" customHeight="1">
      <x:c r="A35" s="807" t="str">
        <x:v>Oxygen Tick</x:v>
      </x:c>
      <x:c r="B35" s="807" t="str">
        <x:v>W3 Emergency</x:v>
      </x:c>
      <x:c r="C35" s="807" t="str">
        <x:v>4h마다 TargetZone 시설 감소, Hull 피해 0. 피해는 원자적 배치 후 Trigger 평가.</x:v>
      </x:c>
      <x:c r="D35" s="807" t="str">
        <x:v>Breach와 차별화하면서 시설/자산 압박 유지</x:v>
      </x:c>
      <x:c r="E35" s="807" t="str">
        <x:v>확정방향</x:v>
      </x:c>
    </x:row>
    <x:row r="36" ht="36" hidden="0" customHeight="1">
      <x:c r="A36" s="798" t="str">
        <x:v>Oxygen NPC</x:v>
      </x:c>
      <x:c r="B36" s="798" t="str">
        <x:v>W3 Emergency</x:v>
      </x:c>
      <x:c r="C36" s="798" t="str">
        <x:v>벤자민/페이는 2h(둘이면1h) 복구. 비전문 핵심 NPC는 1h 대피 기본, 자동 희생 없음.</x:v>
      </x:c>
      <x:c r="D36" s="798" t="str">
        <x:v>Breach와 NPC 감정/위험 패턴 차별화</x:v>
      </x:c>
      <x:c r="E36" s="798" t="str">
        <x:v>TEMP 추천</x:v>
      </x:c>
    </x:row>
    <x:row r="37" ht="36" hidden="0" customHeight="1">
      <x:c r="A37" s="798" t="str">
        <x:v>Oxygen → 연쇄</x:v>
      </x:c>
      <x:c r="B37" s="798" t="str">
        <x:v>W3 Emergency</x:v>
      </x:c>
      <x:c r="C37" s="798" t="str">
        <x:v>거주구역 저하는 Panic, 연구구역 저하는 냉동/온실 기능상실로 이어질 수 있음.</x:v>
      </x:c>
      <x:c r="D37" s="798" t="str">
        <x:v>Emergency끼리 상태를 통해 연결</x:v>
      </x:c>
      <x:c r="E37" s="798" t="str">
        <x:v>확정방향</x:v>
      </x:c>
    </x:row>
    <x:row r="38" ht="24" hidden="0" customHeight="1">
      <x:c r="A38" s="798" t="str">
        <x:v>산소보급실 0</x:v>
      </x:c>
      <x:c r="B38" s="798" t="str">
        <x:v>W3 Emergency</x:v>
      </x:c>
      <x:c r="C38" s="798" t="str">
        <x:v>0일 때 전역 산소위기/발생 강화 여부는 아직 미정.</x:v>
      </x:c>
      <x:c r="D38" s="798" t="str">
        <x:v>산소 시설 자체의 0 의미를 완성해야 함</x:v>
      </x:c>
      <x:c r="E38" s="798" t="str">
        <x:v>높음</x:v>
      </x:c>
    </x:row>
    <x:row r="39" ht="36" hidden="0" customHeight="1">
      <x:c r="A39" s="798" t="str">
        <x:v>Living Panic Trigger</x:v>
      </x:c>
      <x:c r="B39" s="798" t="str">
        <x:v>W3 Emergency</x:v>
      </x:c>
      <x:c r="C39" s="798" t="str">
        <x:v>거주구역이 3+에서 2 이하로 하락할 때 Panic 시작. Living0은 즉시 대량사망 Bad.</x:v>
      </x:c>
      <x:c r="D39" s="798" t="str">
        <x:v>거주구역 2의 의미를 명확한 시스템 위기로 전환</x:v>
      </x:c>
      <x:c r="E39" s="798" t="str">
        <x:v>TEMP 추천</x:v>
      </x:c>
    </x:row>
    <x:row r="40" ht="30" hidden="0" customHeight="1">
      <x:c r="A40" s="807" t="str">
        <x:v>Living Panic Tick</x:v>
      </x:c>
      <x:c r="B40" s="807" t="str">
        <x:v>W3 Emergency</x:v>
      </x:c>
      <x:c r="C40" s="807" t="str">
        <x:v>미해결 시 2h마다 미리 예고된 Target 시설 -1. Target은 거주구역·폐쇄구역 제외.</x:v>
      </x:c>
      <x:c r="D40" s="807" t="str">
        <x:v>빠른 위기지만 결과를 예측 가능하게 만들어 선택권 보장</x:v>
      </x:c>
      <x:c r="E40" s="807" t="str">
        <x:v>TEMP 추천</x:v>
      </x:c>
    </x:row>
    <x:row r="41" ht="36" hidden="0" customHeight="1">
      <x:c r="A41" s="798" t="str">
        <x:v>Living Panic 해결</x:v>
      </x:c>
      <x:c r="B41" s="798" t="str">
        <x:v>W3 Emergency</x:v>
      </x:c>
      <x:c r="C41" s="798" t="str">
        <x:v>기본4h / 교감7=2h / 교감9+의지 보완=1h</x:v>
      </x:c>
      <x:c r="D41" s="798" t="str">
        <x:v>교감을 W3 사회적 위기의 주력 스탯으로 사용</x:v>
      </x:c>
      <x:c r="E41" s="798" t="str">
        <x:v>TEMP 추천</x:v>
      </x:c>
    </x:row>
    <x:row r="42" ht="24" hidden="0" customHeight="1">
      <x:c r="A42" s="798" t="str">
        <x:v>Living Panic 강인함</x:v>
      </x:c>
      <x:c r="B42" s="798" t="str">
        <x:v>W3 Emergency</x:v>
      </x:c>
      <x:c r="C42" s="798" t="str">
        <x:v>강인함7=2h로 다음 Tick 1회 무효화. Panic 자체는 지속.</x:v>
      </x:c>
      <x:c r="D42" s="798" t="str">
        <x:v>강인함과 교감 역할 중복 방지</x:v>
      </x:c>
      <x:c r="E42" s="798" t="str">
        <x:v>TEMP 추천</x:v>
      </x:c>
    </x:row>
    <x:row r="43" ht="36" hidden="0" customHeight="1">
      <x:c r="A43" s="798" t="str">
        <x:v>Living Panic 재발</x:v>
      </x:c>
      <x:c r="B43" s="798" t="str">
        <x:v>W3 Emergency</x:v>
      </x:c>
      <x:c r="C43" s="798" t="str">
        <x:v>해결 후 Living&lt;=2 유지 중에는 재발 없음. 3+ 복구 후 다시 &lt;=2로 하락해야 재발.</x:v>
      </x:c>
      <x:c r="D43" s="798" t="str">
        <x:v>진정 반복 스팸 방지 + 거주구역 수리 의미 강화</x:v>
      </x:c>
      <x:c r="E43" s="798" t="str">
        <x:v>TEMP 추천</x:v>
      </x:c>
    </x:row>
    <x:row r="44" ht="36" hidden="0" customHeight="1">
      <x:c r="A44" s="798" t="str">
        <x:v>Living Panic NPC</x:v>
      </x:c>
      <x:c r="B44" s="798" t="str">
        <x:v>W3 Emergency</x:v>
      </x:c>
      <x:c r="C44" s="798" t="str">
        <x:v>지나 2h 해결 / 디야 2h 완화 / 샘은 함교 상태 연동 / 지나+디야 1h 해결</x:v>
      </x:c>
      <x:c r="D44" s="798" t="str">
        <x:v>NPC 배치·생존을 사회적 위기 대응 자원으로 사용</x:v>
      </x:c>
      <x:c r="E44" s="798" t="str">
        <x:v>TEMP 추천</x:v>
      </x:c>
    </x:row>
    <x:row r="45" ht="24" hidden="0" customHeight="1">
      <x:c r="A45" s="798" t="str">
        <x:v>Global Hull 0 Deadline</x:v>
      </x:c>
      <x:c r="B45" s="798" t="str">
        <x:v>W3 Emergency</x:v>
      </x:c>
      <x:c r="C45" s="798" t="str">
        <x:v>Hull 0 진입 즉시 Forced Emergency, 4h 안에 안정화 실패 시 Bad1.</x:v>
      </x:c>
      <x:c r="D45" s="798" t="str">
        <x:v>일반 Emergency보다 상위의 최종 생존 위기</x:v>
      </x:c>
      <x:c r="E45" s="798" t="str">
        <x:v>TEMP 추천</x:v>
      </x:c>
    </x:row>
    <x:row r="46" ht="36" hidden="0" customHeight="1">
      <x:c r="A46" s="798" t="str">
        <x:v>Global Hull 기술 해법</x:v>
      </x:c>
      <x:c r="B46" s="798" t="str">
        <x:v>W3 Emergency</x:v>
      </x:c>
      <x:c r="C46" s="798" t="str">
        <x:v>기술8=4h Hull4 / 기술10+의지 보완=2h Hull4</x:v>
      </x:c>
      <x:c r="D46" s="798" t="str">
        <x:v>후반 성장곡선 8~10을 그대로 클라이맥스에 사용</x:v>
      </x:c>
      <x:c r="E46" s="798" t="str">
        <x:v>TEMP 추천</x:v>
      </x:c>
    </x:row>
    <x:row r="47" ht="48" hidden="0" customHeight="1">
      <x:c r="A47" s="798" t="str">
        <x:v>Global Hull 순수 의지</x:v>
      </x:c>
      <x:c r="B47" s="798" t="str">
        <x:v>W3 Emergency</x:v>
      </x:c>
      <x:c r="C47" s="798" t="str">
        <x:v>[의지2] 4h 전원 비상지지 → 전원 생존 / Hull1</x:v>
      </x:c>
      <x:c r="D47" s="798" t="str">
        <x:v>의지가 기술을 대체하기보다 사람을 희생하지 않는 안전망으로 기능</x:v>
      </x:c>
      <x:c r="E47" s="798" t="str">
        <x:v>TEMP 추천</x:v>
      </x:c>
    </x:row>
    <x:row r="48" ht="36" hidden="0" customHeight="1">
      <x:c r="A48" s="798" t="str">
        <x:v>Global Hull 전문가</x:v>
      </x:c>
      <x:c r="B48" s="798" t="str">
        <x:v>W3 Emergency</x:v>
      </x:c>
      <x:c r="C48" s="798" t="str">
        <x:v>벤자민/페이 1명=4h 안전수리, 둘=2h 안전수리. 2h 희생은 플레이어 명시 선택.</x:v>
      </x:c>
      <x:c r="D48" s="798" t="str">
        <x:v>전문가 생존·배치 보상과 비극적 대안 분리</x:v>
      </x:c>
      <x:c r="E48" s="798" t="str">
        <x:v>TEMP 추천</x:v>
      </x:c>
    </x:row>
    <x:row r="49" ht="36" hidden="0" customHeight="1">
      <x:c r="A49" s="798" t="str">
        <x:v>Global Hull 중첩사건</x:v>
      </x:c>
      <x:c r="B49" s="798" t="str">
        <x:v>W3 Emergency</x:v>
      </x:c>
      <x:c r="C49" s="798" t="str">
        <x:v>해결 중 신규 랜덤 Emergency는 생성하지 않되 기존 타이머는 진행하는 방향.</x:v>
      </x:c>
      <x:c r="D49" s="798" t="str">
        <x:v>과도한 RNG 폭사 방지 + 이전 미룸의 대가는 유지</x:v>
      </x:c>
      <x:c r="E49" s="798" t="str">
        <x:v>TEMP 추천</x:v>
      </x:c>
    </x:row>
    <x:row r="50" ht="36" hidden="0" customHeight="1">
      <x:c r="A50" s="798" t="str">
        <x:v>Global Hull 늦은 시각</x:v>
      </x:c>
      <x:c r="B50" s="798" t="str">
        <x:v>W3 Emergency</x:v>
      </x:c>
      <x:c r="C50" s="798" t="str">
        <x:v>20:00 이후 Trigger 시 4h Deadline과 22:00 경계가 충돌. 발생 제한/전용시간 처리 TBD.</x:v>
      </x:c>
      <x:c r="D50" s="798" t="str">
        <x:v>No all-nighter 원칙과 충돌 해결 필요</x:v>
      </x:c>
      <x:c r="E50" s="798" t="str">
        <x:v>높음</x:v>
      </x:c>
    </x:row>
    <x:row r="51" ht="36" hidden="0" customHeight="1">
      <x:c r="A51" s="798" t="str">
        <x:v>냉동창고 Recovery</x:v>
      </x:c>
      <x:c r="B51" s="798" t="str">
        <x:v>W3 Emergency</x:v>
      </x:c>
      <x:c r="C51" s="798" t="str">
        <x:v>0→6h 복구창. 기본4h→1 / 기술8 2h→2 / 기술10+의지1h→2 / 전문가2h(둘1h).</x:v>
      </x:c>
      <x:c r="D51" s="798" t="str">
        <x:v>짧은 기술 레이스로 설계</x:v>
      </x:c>
      <x:c r="E51" s="798" t="str">
        <x:v>TEMP 추천</x:v>
      </x:c>
    </x:row>
    <x:row r="52" ht="36" hidden="0" customHeight="1">
      <x:c r="A52" s="798" t="str">
        <x:v>온실 Recovery</x:v>
      </x:c>
      <x:c r="B52" s="798" t="str">
        <x:v>W3 Emergency</x:v>
      </x:c>
      <x:c r="C52" s="798" t="str">
        <x:v>0→24h 복구창. 기본6h→1 / 기술8 4h→2 / 기술10+의지2h→2 / 전문가4h(둘2h).</x:v>
      </x:c>
      <x:c r="D52" s="798" t="str">
        <x:v>Overnight를 넘길 수 있는 장기 Deadline</x:v>
      </x:c>
      <x:c r="E52" s="798" t="str">
        <x:v>TEMP 추천</x:v>
      </x:c>
    </x:row>
    <x:row r="53" ht="30" hidden="0" customHeight="1">
      <x:c r="A53" s="807" t="str">
        <x:v>보리치 온실 보존</x:v>
      </x:c>
      <x:c r="B53" s="807" t="str">
        <x:v>W3 Emergency</x:v>
      </x:c>
      <x:c r="C53" s="807" t="str">
        <x:v>2h 사용해 해당 Recovery Cycle Deadline +6h, 1회만. Integrity는 0 유지.</x:v>
      </x:c>
      <x:c r="D53" s="807" t="str">
        <x:v>연구자로서 수리 대신 생물 자산의 시간을 벌어줌</x:v>
      </x:c>
      <x:c r="E53" s="807" t="str">
        <x:v>TEMP 추천</x:v>
      </x:c>
    </x:row>
    <x:row r="54" ht="36" hidden="0" customHeight="1">
      <x:c r="A54" s="798" t="str">
        <x:v>Critical 일반수리 잠금</x:v>
      </x:c>
      <x:c r="B54" s="798" t="str">
        <x:v>W3 Emergency</x:v>
      </x:c>
      <x:c r="C54" s="798" t="str">
        <x:v>Freezer/Greenhouse 0 Recovery Active 동안 generic +1 수리 불가. 전용 복구로 먼저 0→양수.</x:v>
      </x:c>
      <x:c r="D54" s="798" t="str">
        <x:v>복구창이 일반 수리 1회로 무력화되는 문제 방지</x:v>
      </x:c>
      <x:c r="E54" s="798" t="str">
        <x:v>TEMP 추천</x:v>
      </x:c>
    </x:row>
    <x:row r="55" ht="36" hidden="0" customHeight="1">
      <x:c r="A55" s="798" t="str">
        <x:v>Critical Overnight</x:v>
      </x:c>
      <x:c r="B55" s="798" t="str">
        <x:v>W3 Emergency</x:v>
      </x:c>
      <x:c r="C55" s="798" t="str">
        <x:v>Timer는 Overnight에도 감소. 수면 중 만료 예정이면 강한 경고 후 의도적 포기 가능.</x:v>
      </x:c>
      <x:c r="D55" s="798" t="str">
        <x:v>세계시간 지속과 플레이어 선택권 동시 유지</x:v>
      </x:c>
      <x:c r="E55" s="798" t="str">
        <x:v>TEMP 추천</x:v>
      </x:c>
    </x:row>
    <x:row r="56" ht="30" hidden="0" customHeight="1">
      <x:c r="A56" s="807" t="str">
        <x:v>Critical D21</x:v>
      </x:c>
      <x:c r="B56" s="807" t="str">
        <x:v>W3 Ending</x:v>
      </x:c>
      <x:c r="C56" s="807" t="str">
        <x:v>Recovery Active가 남아 있으면 엔딩 판정 보류. 복구 완료 또는 명시적 포기 후 판정.</x:v>
      </x:c>
      <x:c r="D56" s="807" t="str">
        <x:v>회복 가능한 배를 Bad3의 '대안 없음'으로 오판하는 문제 방지</x:v>
      </x:c>
      <x:c r="E56" s="807" t="str">
        <x:v>TEMP 추천</x:v>
      </x:c>
    </x:row>
    <x:row r="57" ht="30" hidden="0" customHeight="1">
      <x:c r="A57" s="807" t="str">
        <x:v>Critical 재진입</x:v>
      </x:c>
      <x:c r="B57" s="807" t="str">
        <x:v>W3 Emergency</x:v>
      </x:c>
      <x:c r="C57" s="807" t="str">
        <x:v>복구 후 다시 0이면 새 Window. 0 상태의 추가 피해는 Timer 리셋 없음.</x:v>
      </x:c>
      <x:c r="D57" s="807" t="str">
        <x:v>상태 재진입 의미 보존 + 무한 연장 방지</x:v>
      </x:c>
      <x:c r="E57" s="807" t="str">
        <x:v>TEMP 추천</x:v>
      </x:c>
    </x:row>
    <x:row r="58" ht="30" hidden="0" customHeight="1">
      <x:c r="A58" s="807" t="str">
        <x:v>Critical 영구 실패</x:v>
      </x:c>
      <x:c r="B58" s="807" t="str">
        <x:v>W3 Ending</x:v>
      </x:c>
      <x:c r="C58" s="807" t="str">
        <x:v>냉동/온실 Deadline 실패 시 PERMANENT 기능정지, 이후 복구 불가, ShipCondition 항해불가.</x:v>
      </x:c>
      <x:c r="D58" s="807" t="str">
        <x:v>기존 출항 Hard Gate 구체화</x:v>
      </x:c>
      <x:c r="E58" s="807" t="str">
        <x:v>확정방향</x:v>
      </x:c>
    </x:row>
    <x:row r="59" ht="36" hidden="0" customHeight="1">
      <x:c r="A59" s="798" t="str">
        <x:v>W3 Root 발생 방식</x:v>
      </x:c>
      <x:c r="B59" s="798" t="str">
        <x:v>구 W3 v0.2 Pattern</x:v>
      </x:c>
      <x:c r="C59" s="798" t="str">
        <x:v>하루 1건 고정 폐기. 매 런 총 5 Root + 최소 1회 동시 2건 Cluster 보장.</x:v>
      </x:c>
      <x:c r="D59" s="798" t="str">
        <x:v>NPC 배치·방치·연쇄 선택을 실제로 만들기 위함</x:v>
      </x:c>
      <x:c r="E59" s="798" t="str">
        <x:v>폐기/대체 — 87~103행 및 15_W3BossRebalance 참조</x:v>
      </x:c>
    </x:row>
    <x:row r="60" ht="30" hidden="0" customHeight="1">
      <x:c r="A60" s="807" t="str">
        <x:v>Storm Pattern</x:v>
      </x:c>
      <x:c r="B60" s="807" t="str">
        <x:v>구 W3 v0.2 Pattern</x:v>
      </x:c>
      <x:c r="C60" s="807" t="str">
        <x:v>A/B/C 3개 authored pattern 중 런 시작 시 1개 선택. D15·D19 공통, Cluster Day/Quiet Day가 달라짐.</x:v>
      </x:c>
      <x:c r="D60" s="807" t="str">
        <x:v>다회차 불규칙성 + QA 가능성 동시 확보</x:v>
      </x:c>
      <x:c r="E60" s="807" t="str">
        <x:v>폐기/대체 — 87~103행 및 15_W3BossRebalance 참조</x:v>
      </x:c>
    </x:row>
    <x:row r="61" ht="30" hidden="0" customHeight="1">
      <x:c r="A61" s="807" t="str">
        <x:v>Cluster 예보</x:v>
      </x:c>
      <x:c r="B61" s="807" t="str">
        <x:v>구 W3 v0.2 Pattern</x:v>
      </x:c>
      <x:c r="C61" s="807" t="str">
        <x:v>Day Start에 시간창·위험 구역·2건 동시 가능성 공개. 정확 Event 타입은 발생 때 공개 가능.</x:v>
      </x:c>
      <x:c r="D61" s="807" t="str">
        <x:v>불규칙하지만 불공정하지 않게 함</x:v>
      </x:c>
      <x:c r="E61" s="807" t="str">
        <x:v>폐기/대체 — 87~103행 및 15_W3BossRebalance 참조</x:v>
      </x:c>
    </x:row>
    <x:row r="62" ht="36" hidden="0" customHeight="1">
      <x:c r="A62" s="798" t="str">
        <x:v>방치의 의미</x:v>
      </x:c>
      <x:c r="B62" s="798" t="str">
        <x:v>구 W3 v0.2 Pattern</x:v>
      </x:c>
      <x:c r="C62" s="798" t="str">
        <x:v>동시 2건을 혼자 처리하면 낮은/비전문 빌드는 한 사건 1 Tick을 감수할 수 있음.</x:v>
      </x:c>
      <x:c r="D62" s="798" t="str">
        <x:v>시설 여유·W2 준비·엔딩 우선순위에 따라 합리적 Triage 발생</x:v>
      </x:c>
      <x:c r="E62" s="798" t="str">
        <x:v>폐기/대체 — 87~103행 및 15_W3BossRebalance 참조</x:v>
      </x:c>
    </x:row>
    <x:row r="63" ht="36" hidden="0" customHeight="1">
      <x:c r="A63" s="798" t="str">
        <x:v>D20 Root</x:v>
      </x:c>
      <x:c r="B63" s="798" t="str">
        <x:v>구 W3 v0.2 Pattern</x:v>
      </x:c>
      <x:c r="C63" s="798" t="str">
        <x:v>신규 Root 없음. 누적 Recovery/시설손상/Character Final 정리.</x:v>
      </x:c>
      <x:c r="D63" s="798" t="str">
        <x:v>Cluster가 만든 후유증을 수습하는 회복 구간</x:v>
      </x:c>
      <x:c r="E63" s="798" t="str">
        <x:v>폐기/대체 — 87~103행 및 15_W3BossRebalance 참조</x:v>
      </x:c>
    </x:row>
    <x:row r="64" ht="36" hidden="0" customHeight="1">
      <x:c r="A64" s="798" t="str">
        <x:v>18시 이후 신규사건</x:v>
      </x:c>
      <x:c r="B64" s="798" t="str">
        <x:v>구 W3 v0.2 Pattern</x:v>
      </x:c>
      <x:c r="C64" s="798" t="str">
        <x:v>모든 Pattern Root는 18:00 이전. 향후 변주에서도 신규 Root 금지.</x:v>
      </x:c>
      <x:c r="D64" s="798" t="str">
        <x:v>4h 기본 해법 공정성 유지</x:v>
      </x:c>
      <x:c r="E64" s="798" t="str">
        <x:v>폐기/대체 — 87~103행 및 15_W3BossRebalance 참조</x:v>
      </x:c>
    </x:row>
    <x:row r="65" ht="48" hidden="0" customHeight="1">
      <x:c r="A65" s="798" t="str">
        <x:v>22시 미해결</x:v>
      </x:c>
      <x:c r="B65" s="798" t="str">
        <x:v>구 W3 v0.2 Pattern</x:v>
      </x:c>
      <x:c r="C65" s="798" t="str">
        <x:v>Short Emergency는 End Day 차단+Emergency-only Overtime. Critical Recovery는 경고 후 포기 가능.</x:v>
      </x:c>
      <x:c r="D65" s="798" t="str">
        <x:v>Overnight 무대응 사망 방지</x:v>
      </x:c>
      <x:c r="E65" s="798" t="str">
        <x:v>폐기/대체 — 87~103행 및 15_W3BossRebalance 참조</x:v>
      </x:c>
    </x:row>
    <x:row r="66" ht="36" hidden="0" customHeight="1">
      <x:c r="A66" s="798" t="str">
        <x:v>RNG 확장</x:v>
      </x:c>
      <x:c r="B66" s="798" t="str">
        <x:v>구 W3 v0.2 Pattern</x:v>
      </x:c>
      <x:c r="C66" s="798" t="str">
        <x:v>현재는 authored 3 Pattern. 추후 Pattern 내부 후보 교체 정도로 확장 가능, 치명 결과 숨은 RNG 금지.</x:v>
      </x:c>
      <x:c r="D66" s="798" t="str">
        <x:v>다회차 이후 검토</x:v>
      </x:c>
      <x:c r="E66" s="798" t="str">
        <x:v>폐기/대체 — 87~103행 및 15_W3BossRebalance 참조</x:v>
      </x:c>
    </x:row>
    <x:row r="67" ht="36" hidden="0" customHeight="1">
      <x:c r="A67" s="798" t="str">
        <x:v>W3 Build Simulation v0.2</x:v>
      </x:c>
      <x:c r="B67" s="798" t="str">
        <x:v>검증</x:v>
      </x:c>
      <x:c r="C67" s="798" t="str">
        <x:v>Pattern B(D18 동시2)로 기술/강인함/교감+관계/균형 4개 빌드 Stress Test 완료.</x:v>
      </x:c>
      <x:c r="D67" s="798" t="str">
        <x:v>Cluster가 배치·Triage·Will 차이를 실제로 만드는지 확인</x:v>
      </x:c>
      <x:c r="E67" s="798" t="str">
        <x:v>구 v0.2 검증 — 현재 참고용</x:v>
      </x:c>
    </x:row>
    <x:row r="68" ht="24" hidden="0" customHeight="1">
      <x:c r="A68" s="798" t="str">
        <x:v>기술 빌드</x:v>
      </x:c>
      <x:c r="B68" s="798" t="str">
        <x:v>검증</x:v>
      </x:c>
      <x:c r="C68" s="798" t="str">
        <x:v>기술8이면 동시2건을 2h+2h로 T+4에 무피해 처리.</x:v>
      </x:c>
      <x:c r="D68" s="798" t="str">
        <x:v>직접 빠른 해결 정체성 성립</x:v>
      </x:c>
      <x:c r="E68" s="798" t="str">
        <x:v>구 v0.2 검증 — 현재 참고용</x:v>
      </x:c>
    </x:row>
    <x:row r="69" ht="36" hidden="0" customHeight="1">
      <x:c r="A69" s="798" t="str">
        <x:v>강인함 빌드</x:v>
      </x:c>
      <x:c r="B69" s="798" t="str">
        <x:v>검증</x:v>
      </x:c>
      <x:c r="C69" s="798" t="str">
        <x:v>Oxygen 2h 후 Breach4h → Engineering 1 Tick을 합리적으로 감수. 후속 수리 필요.</x:v>
      </x:c>
      <x:c r="D69" s="798" t="str">
        <x:v>방치를 선택하는 Triage 성립</x:v>
      </x:c>
      <x:c r="E69" s="798" t="str">
        <x:v>구 v0.2 검증 — 현재 참고용</x:v>
      </x:c>
    </x:row>
    <x:row r="70" ht="30" hidden="0" customHeight="1">
      <x:c r="A70" s="807" t="str">
        <x:v>교감+관계 빌드</x:v>
      </x:c>
      <x:c r="B70" s="807" t="str">
        <x:v>검증</x:v>
      </x:c>
      <x:c r="C70" s="807" t="str">
        <x:v>두 전문가를 미리 나눠 배치하면 Cluster 동시 2h 해결, Jay 시간0.</x:v>
      </x:c>
      <x:c r="D70" s="807" t="str">
        <x:v>Affinity/생존/배치 조건을 관계투자의 보상으로 유지해야 함</x:v>
      </x:c>
      <x:c r="E70" s="807" t="str">
        <x:v>구 v0.2 검증 — 현재 참고용</x:v>
      </x:c>
    </x:row>
    <x:row r="71" ht="48" hidden="0" customHeight="1">
      <x:c r="A71" s="798" t="str">
        <x:v>균형 빌드</x:v>
      </x:c>
      <x:c r="B71" s="798" t="str">
        <x:v>검증</x:v>
      </x:c>
      <x:c r="C71" s="798" t="str">
        <x:v>전문가1명 있으면 무피해 4h. NPC 없으면 D18 14.5h + 1 Tick. Will5 사용은 시간을 줄여도 Tick을 완전히 없애지 못함.</x:v>
      </x:c>
      <x:c r="D71" s="798" t="str">
        <x:v>NPC 배치 의미 확인</x:v>
      </x:c>
      <x:c r="E71" s="798" t="str">
        <x:v>구 v0.2 검증 — 현재 참고용</x:v>
      </x:c>
    </x:row>
    <x:row r="72" ht="30" hidden="0" customHeight="1">
      <x:c r="A72" s="807" t="str">
        <x:v>다음 검증</x:v>
      </x:c>
      <x:c r="B72" s="807" t="str">
        <x:v>시설 밸런스</x:v>
      </x:c>
      <x:c r="C72" s="807" t="str">
        <x:v>W2 종료 시설값을 실제로 넣고 Pattern A/B/C에서 1 Tick이 Panic/Recovery/Hull0로 연결되는 빈도 계산.</x:v>
      </x:c>
      <x:c r="D72" s="807" t="str">
        <x:v>W2 수리량→W3 난이도 연결</x:v>
      </x:c>
      <x:c r="E72" s="807" t="str">
        <x:v>구 v0.2 검증 — 현재 참고용</x:v>
      </x:c>
    </x:row>
    <x:row r="73" ht="24" hidden="0" customHeight="1">
      <x:c r="A73" s="798" t="str">
        <x:v>D15 Shelter Minimum</x:v>
      </x:c>
      <x:c r="B73" s="798" t="str">
        <x:v>시설 밸런스</x:v>
      </x:c>
      <x:c r="C73" s="798" t="str">
        <x:v>Repair 3회: Hull9 / Oxygen3 / Living3 / Engine2 → Shelter PASS, Total29.</x:v>
      </x:c>
      <x:c r="D73" s="798" t="str">
        <x:v>Bad2는 피하지만 W3 Buffer는 거의 없음</x:v>
      </x:c>
      <x:c r="E73" s="798" t="str">
        <x:v>TEMP 기준</x:v>
      </x:c>
    </x:row>
    <x:row r="74" ht="36" hidden="0" customHeight="1">
      <x:c r="A74" s="798" t="str">
        <x:v>D15 Departure Normal</x:v>
      </x:c>
      <x:c r="B74" s="798" t="str">
        <x:v>시설 밸런스</x:v>
      </x:c>
      <x:c r="C74" s="798" t="str">
        <x:v>Repair 5회: Hull13 / Engine3 / Oxygen3 / Living3 → Total34, Normal 정확선.</x:v>
      </x:c>
      <x:c r="D74" s="798" t="str">
        <x:v>Cluster 1 Tick이면 후속수리 필요</x:v>
      </x:c>
      <x:c r="E74" s="798" t="str">
        <x:v>TEMP 기준</x:v>
      </x:c>
    </x:row>
    <x:row r="75" ht="24" hidden="0" customHeight="1">
      <x:c r="A75" s="798" t="str">
        <x:v>D15 Storm Buffer</x:v>
      </x:c>
      <x:c r="B75" s="798" t="str">
        <x:v>시설 밸런스</x:v>
      </x:c>
      <x:c r="C75" s="798" t="str">
        <x:v>Repair 8회: Hull13 / Engine4 / Oxygen4 / Living4 → Total37.</x:v>
      </x:c>
      <x:c r="D75" s="798" t="str">
        <x:v>Pattern A/B/C 합리적 1 Tick 후에도 Normal 유지</x:v>
      </x:c>
      <x:c r="E75" s="798" t="str">
        <x:v>TEMP 기준</x:v>
      </x:c>
    </x:row>
    <x:row r="76" ht="36" hidden="0" customHeight="1">
      <x:c r="A76" s="798" t="str">
        <x:v>D15 Hidden/Recheck</x:v>
      </x:c>
      <x:c r="B76" s="798" t="str">
        <x:v>시설 밸런스</x:v>
      </x:c>
      <x:c r="C76" s="798" t="str">
        <x:v>Repair 8회: Hull13 / Engine3 / Oxygen3 / Research5 / Living3 → Total37.</x:v>
      </x:c>
      <x:c r="D76" s="798" t="str">
        <x:v>Pattern A/재점검에 강하고 B/C는 수리 필요</x:v>
      </x:c>
      <x:c r="E76" s="798" t="str">
        <x:v>TEMP 기준</x:v>
      </x:c>
    </x:row>
    <x:row r="77" ht="36" hidden="0" customHeight="1">
      <x:c r="A77" s="798" t="str">
        <x:v>D15 Good</x:v>
      </x:c>
      <x:c r="B77" s="798" t="str">
        <x:v>시설 밸런스</x:v>
      </x:c>
      <x:c r="C77" s="798" t="str">
        <x:v>Repair 12회: Hull17 / Bridge4 / Engine4 / Oxygen4 / Living5, Greenhouse3 → Total44 Good.</x:v>
      </x:c>
      <x:c r="D77" s="798" t="str">
        <x:v>W1 5 + W2 7 Standard Slot 전부 사용</x:v>
      </x:c>
      <x:c r="E77" s="798" t="str">
        <x:v>TEMP 기준</x:v>
      </x:c>
    </x:row>
    <x:row r="78" ht="48" hidden="0" customHeight="1">
      <x:c r="A78" s="798" t="str">
        <x:v>D13 Greenhouse 후유증</x:v>
      </x:c>
      <x:c r="B78" s="798" t="str">
        <x:v>시설/서사</x:v>
      </x:c>
      <x:c r="C78" s="798" t="str">
        <x:v>샘 야간사건 후 Greenhouse 5→3 TEMP 채택.</x:v>
      </x:c>
      <x:c r="D78" s="798" t="str">
        <x:v>온실 생존을 유지하면서 W3 Critical Recovery가 심한 방치에서 실제 발생</x:v>
      </x:c>
      <x:c r="E78" s="798" t="str">
        <x:v>TEMP 추천</x:v>
      </x:c>
    </x:row>
    <x:row r="79" ht="36" hidden="0" customHeight="1">
      <x:c r="A79" s="798" t="str">
        <x:v>Benjamin 전환</x:v>
      </x:c>
      <x:c r="B79" s="798" t="str">
        <x:v>Character/시설</x:v>
      </x:c>
      <x:c r="C79" s="798" t="str">
        <x:v>Hull&gt;=10 + Bridge/Engine/Oxygen/Research/Living 중 3개&gt;=3.</x:v>
      </x:c>
      <x:c r="D79" s="798" t="str">
        <x:v>총40 Proxy보다 분배·기능 의미가 명확</x:v>
      </x:c>
      <x:c r="E79" s="798" t="str">
        <x:v>TEMP 추천</x:v>
      </x:c>
    </x:row>
    <x:row r="80" ht="36" hidden="0" customHeight="1">
      <x:c r="A80" s="798" t="str">
        <x:v>Normal34 검증</x:v>
      </x:c>
      <x:c r="B80" s="798" t="str">
        <x:v>ShipCondition</x:v>
      </x:c>
      <x:c r="C80" s="798" t="str">
        <x:v>Departure Normal은 Pattern A/B/C 후 각각 1/3/1회 Standard Repair로 Normal 복구.</x:v>
      </x:c>
      <x:c r="D80" s="798" t="str">
        <x:v>최소선과 W3 복구 플레이가 모두 의미 있음</x:v>
      </x:c>
      <x:c r="E80" s="798" t="str">
        <x:v>구 스케줄 검증 / v0.3 재검증 필요</x:v>
      </x:c>
    </x:row>
    <x:row r="81" ht="48" hidden="0" customHeight="1">
      <x:c r="A81" s="798" t="str">
        <x:v>Good44 검증</x:v>
      </x:c>
      <x:c r="B81" s="798" t="str">
        <x:v>ShipCondition</x:v>
      </x:c>
      <x:c r="C81" s="798" t="str">
        <x:v>Departure Normal은 Good까지 8/8/7회 필요해 W3 6회만으로 불가. Storm Buffer는 5/4/6회, Max Good은1/1/3회.</x:v>
      </x:c>
      <x:c r="D81" s="798" t="str">
        <x:v>극단 준비 보상으로 적절</x:v>
      </x:c>
      <x:c r="E81" s="798" t="str">
        <x:v>구 스케줄 검증 / v0.3 재검증 필요</x:v>
      </x:c>
    </x:row>
    <x:row r="82" ht="36" hidden="0" customHeight="1">
      <x:c r="A82" s="798" t="str">
        <x:v>W3 3 Repair 기준</x:v>
      </x:c>
      <x:c r="B82" s="798" t="str">
        <x:v>W3 Balance</x:v>
      </x:c>
      <x:c r="C82" s="798" t="str">
        <x:v>Departure Normal도 모든 Pattern에서 3회 이내 Normal 회복.</x:v>
      </x:c>
      <x:c r="D82" s="798" t="str">
        <x:v>D17 Quiet/D20 회복일을 이용한 중간 복구량으로 채택 가능</x:v>
      </x:c>
      <x:c r="E82" s="798" t="str">
        <x:v>구 스케줄 검증 / v0.3 재검증 필요</x:v>
      </x:c>
    </x:row>
    <x:row r="83" ht="48" hidden="0" customHeight="1">
      <x:c r="A83" s="798" t="str">
        <x:v>Hidden Normal+</x:v>
      </x:c>
      <x:c r="B83" s="798" t="str">
        <x:v>Ending</x:v>
      </x:c>
      <x:c r="C83" s="798" t="str">
        <x:v>Hidden/Recheck는 Pattern A/B/C에서 Normal 복구 0/2/1회.</x:v>
      </x:c>
      <x:c r="D83" s="798" t="str">
        <x:v>Hidden을 '배가 고장나서 남음'이 아닌 자발적 정착으로 만들 수 있음</x:v>
      </x:c>
      <x:c r="E83" s="798" t="str">
        <x:v>구 스케줄 검증 / v0.3 재검증 필요</x:v>
      </x:c>
    </x:row>
    <x:row r="84" ht="60" hidden="0" customHeight="1">
      <x:c r="A84" s="798" t="str">
        <x:v>Freezer Recovery 빈도</x:v>
      </x:c>
      <x:c r="B84" s="798" t="str">
        <x:v>W3 Emergency</x:v>
      </x:c>
      <x:c r="C84" s="798" t="str">
        <x:v>Freezer5는 현재 Pattern에서 0 도달이 매우 희귀.</x:v>
      </x:c>
      <x:c r="D84" s="798" t="str">
        <x:v>6h Recovery를 보여주려면 별도 authored 손상 또는 더 직접적인 위기 필요 여부 검토</x:v>
      </x:c>
      <x:c r="E84" s="798" t="str">
        <x:v>구 스케줄 검증 / v0.3 재검증 필요</x:v>
      </x:c>
    </x:row>
    <x:row r="85" ht="36" hidden="0" customHeight="1">
      <x:c r="A85" s="798" t="str">
        <x:v>Greenhouse Recovery 빈도</x:v>
      </x:c>
      <x:c r="B85" s="798" t="str">
        <x:v>W3 Emergency</x:v>
      </x:c>
      <x:c r="C85" s="798" t="str">
        <x:v>D13 3/5 기준 Pattern A 누적 방치 시 D19 18:00에 0 가능.</x:v>
      </x:c>
      <x:c r="D85" s="798" t="str">
        <x:v>24h Recovery는 심한 누적 방치의 결과로 적절</x:v>
      </x:c>
      <x:c r="E85" s="798" t="str">
        <x:v>구 스케줄 검증 / v0.3 재검증 필요</x:v>
      </x:c>
    </x:row>
    <x:row r="86" ht="36" hidden="0" customHeight="1">
      <x:c r="A86" s="798" t="str">
        <x:v>다음 검증</x:v>
      </x:c>
      <x:c r="B86" s="798" t="str">
        <x:v>Narrative/System</x:v>
      </x:c>
      <x:c r="C86" s="798" t="str">
        <x:v>Freezer 6h Recovery를 실제 콘텐츠로 노출할지, 희귀 안전망으로만 둘지 결정.</x:v>
      </x:c>
      <x:c r="D86" s="798" t="str">
        <x:v>시스템 과잉 여부 판단</x:v>
      </x:c>
      <x:c r="E86" s="798" t="str">
        <x:v>구 스케줄 검증 / v0.3 재검증 필요</x:v>
      </x:c>
    </x:row>
    <x:row r="87" ht="36" hidden="0" customHeight="1">
      <x:c r="A87" s="798" t="str">
        <x:v>W3 Wave Schedule v0.3</x:v>
      </x:c>
      <x:c r="B87" s="798" t="str">
        <x:v>W3 Schedule</x:v>
      </x:c>
      <x:c r="C87" s="798" t="str">
        <x:v>D15=동시2 / D16=0 / D17=동시2 / D18=0 / D19=동시3 Boss / D20=0.</x:v>
      </x:c>
      <x:c r="D87" s="798" t="str">
        <x:v>숙제형 일일1건 폐기. 위기-호흡-위기-호흡-보스 리듬</x:v>
      </x:c>
      <x:c r="E87" s="798" t="str">
        <x:v>TEMP 추천</x:v>
      </x:c>
    </x:row>
    <x:row r="88" ht="36" hidden="0" customHeight="1">
      <x:c r="A88" s="798" t="str">
        <x:v>Wave Target Pool</x:v>
      </x:c>
      <x:c r="B88" s="798" t="str">
        <x:v>W3 Schedule</x:v>
      </x:c>
      <x:c r="C88" s="798" t="str">
        <x:v>Bridge/Engine/Oxygen/Research/Greenhouse/Living 6개. Freezer는 D15/D17 제외.</x:v>
      </x:c>
      <x:c r="D88" s="798" t="str">
        <x:v>D19까지 각 Pool 시설 전용 Crisis 정확히1회</x:v>
      </x:c>
      <x:c r="E88" s="798" t="str">
        <x:v>TEMP 추천</x:v>
      </x:c>
    </x:row>
    <x:row r="89" ht="36" hidden="0" customHeight="1">
      <x:c r="A89" s="798" t="str">
        <x:v>Target Director</x:v>
      </x:c>
      <x:c r="B89" s="798" t="str">
        <x:v>W3 Schedule</x:v>
      </x:c>
      <x:c r="C89" s="798" t="str">
        <x:v>Wave 시점 현재 Integrity 높은 순으로 2개, 컷 동률 Run Seed 랜덤. 이미 CrisisSeen은 제외.</x:v>
      </x:c>
      <x:c r="D89" s="798" t="str">
        <x:v>초반 안전/후반 취약 구조 + 다회차 변주</x:v>
      </x:c>
      <x:c r="E89" s="798" t="str">
        <x:v>TEMP 추천</x:v>
      </x:c>
    </x:row>
    <x:row r="90" ht="30" hidden="0" customHeight="1">
      <x:c r="A90" s="807" t="str">
        <x:v>D19 Boss Target</x:v>
      </x:c>
      <x:c r="B90" s="807" t="str">
        <x:v>W3 Schedule</x:v>
      </x:c>
      <x:c r="C90" s="807" t="str">
        <x:v>남은 미발생 2시설 + Freezer Core Critical 고정.</x:v>
      </x:c>
      <x:c r="D90" s="807" t="str">
        <x:v>3개 동시, Freezer 6h Deadline</x:v>
      </x:c>
      <x:c r="E90" s="807" t="str">
        <x:v>TEMP 추천</x:v>
      </x:c>
    </x:row>
    <x:row r="91" ht="24" hidden="0" customHeight="1">
      <x:c r="A91" s="798" t="str">
        <x:v>D19 Narrative</x:v>
      </x:c>
      <x:c r="B91" s="798" t="str">
        <x:v>Narrative</x:v>
      </x:c>
      <x:c r="C91" s="798" t="str">
        <x:v>큰 Character 신규 전개 금지. 짧은 보스전 전후 반응만.</x:v>
      </x:c>
      <x:c r="D91" s="798" t="str">
        <x:v>시스템 클라이맥스의 집중도 확보</x:v>
      </x:c>
      <x:c r="E91" s="798" t="str">
        <x:v>TEMP 추천</x:v>
      </x:c>
    </x:row>
    <x:row r="92" ht="24" hidden="0" customHeight="1">
      <x:c r="A92" s="798" t="str">
        <x:v>Faye Performance 이동</x:v>
      </x:c>
      <x:c r="B92" s="798" t="str">
        <x:v>Character</x:v>
      </x:c>
      <x:c r="C92" s="798" t="str">
        <x:v>D19→D18, 1h 유지. Will+3(Max5) TEMP.</x:v>
      </x:c>
      <x:c r="D92" s="798" t="str">
        <x:v>Boss 전 실제 준비 보상으로 전환</x:v>
      </x:c>
      <x:c r="E92" s="798" t="str">
        <x:v>TEMP 추천</x:v>
      </x:c>
    </x:row>
    <x:row r="93" ht="30" hidden="0" customHeight="1">
      <x:c r="A93" s="807" t="str">
        <x:v>Character Final Will</x:v>
      </x:c>
      <x:c r="B93" s="807" t="str">
        <x:v>Character/System</x:v>
      </x:c>
      <x:c r="C93" s="807" t="str">
        <x:v>W3 Final 완료 시 Will+2(Max5) 후보.</x:v>
      </x:c>
      <x:c r="D93" s="807" t="str">
        <x:v>W3 퀘스트가 D19 자원 회복으로 기능</x:v>
      </x:c>
      <x:c r="E93" s="807" t="str">
        <x:v>TEMP 추천</x:v>
      </x:c>
    </x:row>
    <x:row r="94" ht="30" hidden="0" customHeight="1">
      <x:c r="A94" s="807" t="str">
        <x:v>Route Mastery Stat</x:v>
      </x:c>
      <x:c r="B94" s="807" t="str">
        <x:v>Growth</x:v>
      </x:c>
      <x:c r="C94" s="807" t="str">
        <x:v>완주 Character Route는 관련 Stat XP+6(=Lv+1) 후보.</x:v>
      </x:c>
      <x:c r="D94" s="807" t="str">
        <x:v>집요하게 한 루트를 민 플레이의 영구적 보스 보상</x:v>
      </x:c>
      <x:c r="E94" s="807" t="str">
        <x:v>TEMP 추천</x:v>
      </x:c>
    </x:row>
    <x:row r="95" ht="36" hidden="0" customHeight="1">
      <x:c r="A95" s="798" t="str">
        <x:v>Director 표적조작</x:v>
      </x:c>
      <x:c r="B95" s="798" t="str">
        <x:v>W3 Strategy</x:v>
      </x:c>
      <x:c r="C95" s="798" t="str">
        <x:v>D16/D18 수리로 시설 Integrity 순위를 높여 D17에 먼저 맞게 하고 D19에서 빼는 전략 가능.</x:v>
      </x:c>
      <x:c r="D95" s="798" t="str">
        <x:v>수리가 회복+보스 표적관리 역할</x:v>
      </x:c>
      <x:c r="E95" s="798" t="str">
        <x:v>의도적 emergent</x:v>
      </x:c>
    </x:row>
    <x:row r="96" ht="36" hidden="0" customHeight="1">
      <x:c r="A96" s="798" t="str">
        <x:v>기존 Pattern A/B/C</x:v>
      </x:c>
      <x:c r="B96" s="798" t="str">
        <x:v>W3 Schedule</x:v>
      </x:c>
      <x:c r="C96" s="798" t="str">
        <x:v>v0.2 패턴 구조 폐기. 12/14 시트는 과거 검증 참고용.</x:v>
      </x:c>
      <x:c r="D96" s="798" t="str">
        <x:v>현재는 15_W3BossRebalance 우선</x:v>
      </x:c>
      <x:c r="E96" s="798" t="str">
        <x:v>폐기/대체</x:v>
      </x:c>
    </x:row>
    <x:row r="97" ht="36" hidden="0" customHeight="1">
      <x:c r="A97" s="798" t="str">
        <x:v>v0.3 Normal Stress</x:v>
      </x:c>
      <x:c r="B97" s="798" t="str">
        <x:v>W3 Balance</x:v>
      </x:c>
      <x:c r="C97" s="798" t="str">
        <x:v>D15/D17 각1 Tick + D19 Freezer 성공(2) + 1 Tick 가정.</x:v>
      </x:c>
      <x:c r="D97" s="798" t="str">
        <x:v>완벽플레이가 아닌 현실적 Hard-Normal 기준</x:v>
      </x:c>
      <x:c r="E97" s="798" t="str">
        <x:v>검증 Proxy</x:v>
      </x:c>
    </x:row>
    <x:row r="98" ht="24" hidden="0" customHeight="1">
      <x:c r="A98" s="798" t="str">
        <x:v>Departure Normal v0.3</x:v>
      </x:c>
      <x:c r="B98" s="798" t="str">
        <x:v>W3 Balance</x:v>
      </x:c>
      <x:c r="C98" s="798" t="str">
        <x:v>합리적 Triage 시 Target Seed별 Normal 복구 3~4 Standard Repair.</x:v>
      </x:c>
      <x:c r="D98" s="798" t="str">
        <x:v>Normal도 벅차지만 충분히 가능</x:v>
      </x:c>
      <x:c r="E98" s="798" t="str">
        <x:v>PASS</x:v>
      </x:c>
    </x:row>
    <x:row r="99" ht="24" hidden="0" customHeight="1">
      <x:c r="A99" s="798" t="str">
        <x:v>Storm Buffer v0.3</x:v>
      </x:c>
      <x:c r="B99" s="798" t="str">
        <x:v>W3 Balance</x:v>
      </x:c>
      <x:c r="C99" s="798" t="str">
        <x:v>모든 Target Seed에서 Normal 복구2회.</x:v>
      </x:c>
      <x:c r="D99" s="798" t="str">
        <x:v>True 생존준비 기준 후보</x:v>
      </x:c>
      <x:c r="E99" s="798" t="str">
        <x:v>PASS</x:v>
      </x:c>
    </x:row>
    <x:row r="100" ht="24" hidden="0" customHeight="1">
      <x:c r="A100" s="798" t="str">
        <x:v>Hidden/Recheck v0.3</x:v>
      </x:c>
      <x:c r="B100" s="798" t="str">
        <x:v>W3 Balance</x:v>
      </x:c>
      <x:c r="C100" s="798" t="str">
        <x:v>Target Seed별 Normal 복구1~3회.</x:v>
      </x:c>
      <x:c r="D100" s="798" t="str">
        <x:v>Sustainability/Research와 출항가능 상태 양립</x:v>
      </x:c>
      <x:c r="E100" s="798" t="str">
        <x:v>PASS</x:v>
      </x:c>
    </x:row>
    <x:row r="101" ht="24" hidden="0" customHeight="1">
      <x:c r="A101" s="798" t="str">
        <x:v>Good44 v0.3</x:v>
      </x:c>
      <x:c r="B101" s="798" t="str">
        <x:v>ShipCondition</x:v>
      </x:c>
      <x:c r="C101" s="798" t="str">
        <x:v>Storm Buffer는 Good 복구8~9회, Max Good은4~5회.</x:v>
      </x:c>
      <x:c r="D101" s="798" t="str">
        <x:v>좋음은 희귀한 극단 준비 등급으로 유지</x:v>
      </x:c>
      <x:c r="E101" s="798" t="str">
        <x:v>PASS</x:v>
      </x:c>
    </x:row>
    <x:row r="102" ht="30" hidden="0" customHeight="1">
      <x:c r="A102" s="807" t="str">
        <x:v>Will Reward Stress</x:v>
      </x:c>
      <x:c r="B102" s="807" t="str">
        <x:v>Growth</x:v>
      </x:c>
      <x:c r="C102" s="807" t="str">
        <x:v>D15 Will4 + D17 Will3 사용 시 보상 없으면 D19 시작2, D16 Final+2/D18 Faye+3이면 D19 시작5 Proxy.</x:v>
      </x:c>
      <x:c r="D102" s="807" t="str">
        <x:v>Character Route가 Boss 대응자원으로 실제 변환</x:v>
      </x:c>
      <x:c r="E102" s="807" t="str">
        <x:v>PASS/TEMP</x:v>
      </x:c>
    </x:row>
    <x:row r="103" ht="30" hidden="0" customHeight="1">
      <x:c r="A103" s="807" t="str">
        <x:v>Route Mastery XP</x:v>
      </x:c>
      <x:c r="B103" s="807" t="str">
        <x:v>Growth</x:v>
      </x:c>
      <x:c r="C103" s="807" t="str">
        <x:v>Stat8→9이면 요구9 1h 특수 Will1→0, Freezer 요구10 Will2→1.</x:v>
      </x:c>
      <x:c r="D103" s="807" t="str">
        <x:v>+1 Lv가 강하지만 만능은 아님</x:v>
      </x:c>
      <x:c r="E103" s="807" t="str">
        <x:v>PASS/TEMP</x:v>
      </x:c>
    </x:row>
    <x:row r="104" ht="36" hidden="0" customHeight="1">
      <x:c r="A104" s="798" t="str">
        <x:v>함교 용어</x:v>
      </x:c>
      <x:c r="B104" s="798" t="str">
        <x:v>Terminology</x:v>
      </x:c>
      <x:c r="C104" s="798" t="str">
        <x:v>플레이어/기획서 표시 '조타실' → '함교'. 내부 기술키 Bridge는 당분간 유지.</x:v>
      </x:c>
      <x:c r="D104" s="798" t="str">
        <x:v>SF 공간 명칭 통일</x:v>
      </x:c>
      <x:c r="E104" s="798" t="str">
        <x:v>확정방향</x:v>
      </x:c>
    </x:row>
    <x:row r="105" ht="36" hidden="0" customHeight="1">
      <x:c r="A105" s="798" t="str">
        <x:v>온실 Hard Gate</x:v>
      </x:c>
      <x:c r="B105" s="798" t="str">
        <x:v>Facility/Ending</x:v>
      </x:c>
      <x:c r="C105" s="798" t="str">
        <x:v>온실 PERMANENT 기능정지 시 장거리 항해 불가 유지. 단 정착 자체를 막는 Hard Gate는 아님.</x:v>
      </x:c>
      <x:c r="D105" s="798" t="str">
        <x:v>배의 식량 생산 기반과 행성 농업 가능성을 구분</x:v>
      </x:c>
      <x:c r="E105" s="798" t="str">
        <x:v>확정</x:v>
      </x:c>
    </x:row>
    <x:row r="106" ht="36" hidden="0" customHeight="1">
      <x:c r="A106" s="798" t="str">
        <x:v>온실 시험재배 Side</x:v>
      </x:c>
      <x:c r="B106" s="798" t="str">
        <x:v>W2 Narrative</x:v>
      </x:c>
      <x:c r="C106" s="798" t="str">
        <x:v>D12: 온실 작물을 모래행성 토양+처리수에 옮겨 심는 1.5h 일상 퀘스트.</x:v>
      </x:c>
      <x:c r="D106" s="798" t="str">
        <x:v>온실 중요성 + 행성에서 대체 가능한 농업 가능성 동시 암시</x:v>
      </x:c>
      <x:c r="E106" s="798" t="str">
        <x:v>확정방향</x:v>
      </x:c>
    </x:row>
    <x:row r="107" ht="48" hidden="0" customHeight="1">
      <x:c r="A107" s="798" t="str">
        <x:v>온실 전용 Emergency</x:v>
      </x:c>
      <x:c r="B107" s="798" t="str">
        <x:v>W3 Emergency</x:v>
      </x:c>
      <x:c r="C107" s="798" t="str">
        <x:v>새 미니시스템은 만들지 않음. Wave Target일 때는 단순 '온실 설비 파손' → 온실-1, 0이면 기존 24h Recovery.</x:v>
      </x:c>
      <x:c r="D107" s="798" t="str">
        <x:v>복잡도 억제</x:v>
      </x:c>
      <x:c r="E107" s="798" t="str">
        <x:v>확정방향</x:v>
      </x:c>
    </x:row>
    <x:row r="108" ht="30" hidden="0" customHeight="1">
      <x:c r="A108" s="807" t="str">
        <x:v>함교 Crisis</x:v>
      </x:c>
      <x:c r="B108" s="807" t="str">
        <x:v>W3 Emergency</x:v>
      </x:c>
      <x:c r="C108" s="807" t="str">
        <x:v>교감7 또는 기술7=2h / 교감9 또는 기술9+Will=1h. Tick 함교-1+Hull-1. 샘 Primary.</x:v>
      </x:c>
      <x:c r="D108" s="807" t="str">
        <x:v>함교가 교감과 기술의 교차시설 역할</x:v>
      </x:c>
      <x:c r="E108" s="807" t="str">
        <x:v>TEMP 확정 후보</x:v>
      </x:c>
    </x:row>
    <x:row r="109" ht="30" hidden="0" customHeight="1">
      <x:c r="A109" s="807" t="str">
        <x:v>연구 Crisis</x:v>
      </x:c>
      <x:c r="B109" s="807" t="str">
        <x:v>W3 Emergency</x:v>
      </x:c>
      <x:c r="C109" s="807" t="str">
        <x:v>기술7=2h / 기술9+Will=1h. Tick 연구/냉동/온실 -1. 보리치 Primary, 페이 Support.</x:v>
      </x:c>
      <x:c r="D109" s="807" t="str">
        <x:v>연구 Route/보리치 생존 가치 강화</x:v>
      </x:c>
      <x:c r="E109" s="807" t="str">
        <x:v>TEMP 확정 후보</x:v>
      </x:c>
    </x:row>
    <x:row r="110" ht="30" hidden="0" customHeight="1">
      <x:c r="A110" s="807" t="str">
        <x:v>거주 Crisis</x:v>
      </x:c>
      <x:c r="B110" s="807" t="str">
        <x:v>W3 Emergency</x:v>
      </x:c>
      <x:c r="C110" s="807" t="str">
        <x:v>교감7 또는 강인함7=2h / 교감9+Will=1h. Tick Living-1, &lt;=2 Panic.</x:v>
      </x:c>
      <x:c r="D110" s="807" t="str">
        <x:v>교감/강인함 교차시설</x:v>
      </x:c>
      <x:c r="E110" s="807" t="str">
        <x:v>TEMP 확정 후보</x:v>
      </x:c>
    </x:row>
    <x:row r="111" ht="30" hidden="0" customHeight="1">
      <x:c r="A111" s="807" t="str">
        <x:v>온실 Crisis</x:v>
      </x:c>
      <x:c r="B111" s="807" t="str">
        <x:v>W3 Emergency</x:v>
      </x:c>
      <x:c r="C111" s="807" t="str">
        <x:v>별도 미니시스템 없음. 기술7=2h / 기술9+Will=1h, Tick 온실-1. 보리치 Primary/디야 Support.</x:v>
      </x:c>
      <x:c r="D111" s="807" t="str">
        <x:v>온실 중요성은 Side+HardGate, Emergency 복잡도는 낮춤</x:v>
      </x:c>
      <x:c r="E111" s="807" t="str">
        <x:v>확정방향</x:v>
      </x:c>
    </x:row>
    <x:row r="112" ht="48" hidden="0" customHeight="1">
      <x:c r="A112" s="798" t="str">
        <x:v>NPC Wave 배치</x:v>
      </x:c>
      <x:c r="B112" s="798" t="str">
        <x:v>W3 Schedule</x:v>
      </x:c>
      <x:c r="C112" s="798" t="str">
        <x:v>Target 1h 전 명시 배치 우선. 이동1h. 한 NPC는 한 Crisis. 여러 사건이면 분산 우선, Pair는 명시배치 시.</x:v>
      </x:c>
      <x:c r="D112" s="798" t="str">
        <x:v>동시 사고에서 배치가 실제 플레이가 됨</x:v>
      </x:c>
      <x:c r="E112" s="798" t="str">
        <x:v>TEMP 확정 후보</x:v>
      </x:c>
    </x:row>
    <x:row r="113" ht="36" hidden="0" customHeight="1">
      <x:c r="A113" s="798" t="str">
        <x:v>NPC 희생 보호</x:v>
      </x:c>
      <x:c r="B113" s="798" t="str">
        <x:v>W3 Emergency</x:v>
      </x:c>
      <x:c r="C113" s="798" t="str">
        <x:v>Structural Breach에서 전문 NPC가 배치/도착 가능하면 비전문 희생루트 발동 금지.</x:v>
      </x:c>
      <x:c r="D113" s="798" t="str">
        <x:v>불필요한 자동사망 방지</x:v>
      </x:c>
      <x:c r="E113" s="798" t="str">
        <x:v>확정 추천</x:v>
      </x:c>
    </x:row>
    <x:row r="114" ht="30" hidden="0" customHeight="1">
      <x:c r="A114" s="807" t="str">
        <x:v>D19 All Alive 보상</x:v>
      </x:c>
      <x:c r="B114" s="807" t="str">
        <x:v>W3 Boss</x:v>
      </x:c>
      <x:c r="C114" s="807" t="str">
        <x:v>6명 모두 살아 있으면 각 시설 Primary가 분산되어 Boss 3개 병렬 대응 가능성이 크게 증가.</x:v>
      </x:c>
      <x:c r="D114" s="807" t="str">
        <x:v>True의 all-alive 조건을 시스템 보상으로 연결</x:v>
      </x:c>
      <x:c r="E114" s="807" t="str">
        <x:v>방향 확인</x:v>
      </x:c>
    </x:row>
    <x:row r="115" ht="36" hidden="0" customHeight="1">
      <x:c r="A115" s="798" t="str">
        <x:v>다음 단계</x:v>
      </x:c>
      <x:c r="B115" s="798" t="str">
        <x:v>Character Final</x:v>
      </x:c>
      <x:c r="C115" s="798" t="str">
        <x:v>6인 Final의 Stance/Will/Stat XP 보상을 확정해 D19 이전 자원과 Ending 조건에 연결.</x:v>
      </x:c>
      <x:c r="D115" s="798" t="str">
        <x:v>W3 사람 이야기 마감</x:v>
      </x:c>
      <x:c r="E115" s="798" t="str">
        <x:v>NEXT</x:v>
      </x:c>
    </x:row>
    <x:row r="116" ht="24" hidden="0" customHeight="1">
      <x:c r="A116" s="798" t="str">
        <x:v>Character Final Will</x:v>
      </x:c>
      <x:c r="B116" s="798" t="str">
        <x:v>W3 Character</x:v>
      </x:c>
      <x:c r="C116" s="798" t="str">
        <x:v>샘/지나/벤자민/보리치/디야 +2, 페이 공연 +3, Max5.</x:v>
      </x:c>
      <x:c r="D116" s="798" t="str">
        <x:v>Final을 D19 직접 자원으로 연결</x:v>
      </x:c>
      <x:c r="E116" s="798" t="str">
        <x:v>TEMP 확정 후보</x:v>
      </x:c>
    </x:row>
    <x:row r="117" ht="30" hidden="0" customHeight="1">
      <x:c r="A117" s="807" t="str">
        <x:v>Route Mastery 공통</x:v>
      </x:c>
      <x:c r="B117" s="807" t="str">
        <x:v>Growth</x:v>
      </x:c>
      <x:c r="C117" s="807" t="str">
        <x:v>Full Route에만 Jay 관련 Stat XP+6(=Lv+1), 캐릭터별 1회.</x:v>
      </x:c>
      <x:c r="D117" s="807" t="str">
        <x:v>Final만 찍는 파밍 방지</x:v>
      </x:c>
      <x:c r="E117" s="807" t="str">
        <x:v>TEMP 확정 후보</x:v>
      </x:c>
    </x:row>
    <x:row r="118" ht="24" hidden="0" customHeight="1">
      <x:c r="A118" s="798" t="str">
        <x:v>Mastery 강인함</x:v>
      </x:c>
      <x:c r="B118" s="798" t="str">
        <x:v>Growth</x:v>
      </x:c>
      <x:c r="C118" s="798" t="str">
        <x:v>샘 / 벤자민</x:v>
      </x:c>
      <x:c r="D118" s="798" t="str">
        <x:v>책임을 견딤 / 슬픔을 지닌 채 미래로 감</x:v>
      </x:c>
      <x:c r="E118" s="798" t="str">
        <x:v>TEMP 확정 후보</x:v>
      </x:c>
    </x:row>
    <x:row r="119" ht="24" hidden="0" customHeight="1">
      <x:c r="A119" s="798" t="str">
        <x:v>Mastery 교감</x:v>
      </x:c>
      <x:c r="B119" s="798" t="str">
        <x:v>Growth</x:v>
      </x:c>
      <x:c r="C119" s="798" t="str">
        <x:v>지나 / 디야</x:v>
      </x:c>
      <x:c r="D119" s="798" t="str">
        <x:v>신뢰 / 아이·공동체의 선택을 들음</x:v>
      </x:c>
      <x:c r="E119" s="798" t="str">
        <x:v>TEMP 확정 후보</x:v>
      </x:c>
    </x:row>
    <x:row r="120" ht="24" hidden="0" customHeight="1">
      <x:c r="A120" s="798" t="str">
        <x:v>Mastery 기술</x:v>
      </x:c>
      <x:c r="B120" s="798" t="str">
        <x:v>Growth</x:v>
      </x:c>
      <x:c r="C120" s="798" t="str">
        <x:v>페이 / 보리치</x:v>
      </x:c>
      <x:c r="D120" s="798" t="str">
        <x:v>기술을 삶으로 확장 / 관측·검증 완주</x:v>
      </x:c>
      <x:c r="E120" s="798" t="str">
        <x:v>TEMP 확정 후보</x:v>
      </x:c>
    </x:row>
    <x:row r="121" ht="30" hidden="0" customHeight="1">
      <x:c r="A121" s="807" t="str">
        <x:v>True Stance 역산</x:v>
      </x:c>
      <x:c r="B121" s="807" t="str">
        <x:v>Ending</x:v>
      </x:c>
      <x:c r="C121" s="807" t="str">
        <x:v>Sam/Borichi/Faye LEAVE / Jina·Diya·Benjamin은 LEAVE 또는 UNDECIDED. 즉 핵심6 전원이 살아 있고 출항을 막는 STAY가 없는 상태.</x:v>
      </x:c>
      <x:c r="D121" s="807" t="str">
        <x:v>True가 4개의 Stay-side Final을 요구하는 고난도 구조</x:v>
      </x:c>
      <x:c r="E121" s="807" t="str">
        <x:v>TEMP 확정 후보</x:v>
      </x:c>
    </x:row>
    <x:row r="122" ht="30" hidden="0" customHeight="1">
      <x:c r="A122" s="807" t="str">
        <x:v>Hidden Stance 역산</x:v>
      </x:c>
      <x:c r="B122" s="807" t="str">
        <x:v>Ending</x:v>
      </x:c>
      <x:c r="C122" s="807" t="str">
        <x:v>Sustainability HIGH + Ship Normal+ + Borichi 재분석 + Faye/Benjamin 중 최소1명 STAY.</x:v>
      </x:c>
      <x:c r="D122" s="807" t="str">
        <x:v>Departure Final을 모두 밀면 Hidden이 오히려 닫힐 수 있음</x:v>
      </x:c>
      <x:c r="E122" s="807" t="str">
        <x:v>TEMP 확정 후보</x:v>
      </x:c>
    </x:row>
    <x:row r="123" ht="36" hidden="0" customHeight="1">
      <x:c r="A123" s="798" t="str">
        <x:v>Faye Final</x:v>
      </x:c>
      <x:c r="B123" s="798" t="str">
        <x:v>Character</x:v>
      </x:c>
      <x:c r="C123" s="798" t="str">
        <x:v>D18 공연1h: Will+3, Full Route Tech XP+6, Faye→LEAVE.</x:v>
      </x:c>
      <x:c r="D123" s="798" t="str">
        <x:v>가장 쉬운 departure 전환 + 강한 Pre-Boss 보상</x:v>
      </x:c>
      <x:c r="E123" s="798" t="str">
        <x:v>TEMP 확정 후보</x:v>
      </x:c>
    </x:row>
    <x:row r="124" ht="36" hidden="0" customHeight="1">
      <x:c r="A124" s="798" t="str">
        <x:v>Benjamin Final</x:v>
      </x:c>
      <x:c r="B124" s="798" t="str">
        <x:v>Character</x:v>
      </x:c>
      <x:c r="C124" s="798" t="str">
        <x:v>Living Ship이면 STAY→UNDECIDED; Faye 공연까지 봤으면 LEAVE 가능. Will+2, Strong XP+6.</x:v>
      </x:c>
      <x:c r="D124" s="798" t="str">
        <x:v>Faye보다 어려운 departure 전환</x:v>
      </x:c>
      <x:c r="E124" s="798" t="str">
        <x:v>TEMP 확정 후보</x:v>
      </x:c>
    </x:row>
    <x:row r="125" ht="36" hidden="0" customHeight="1">
      <x:c r="A125" s="798" t="str">
        <x:v>Jina/Diya</x:v>
      </x:c>
      <x:c r="B125" s="798" t="str">
        <x:v>Character</x:v>
      </x:c>
      <x:c r="C125" s="798" t="str">
        <x:v>둘 다 True에서 STAY→UNDECIDED까지만, 절대 LEAVE 아님.</x:v>
      </x:c>
      <x:c r="D125" s="798" t="str">
        <x:v>원래 가치관을 지운 설득 방지</x:v>
      </x:c>
      <x:c r="E125" s="798" t="str">
        <x:v>확정방향</x:v>
      </x:c>
    </x:row>
    <x:row r="126" ht="30" hidden="0" customHeight="1">
      <x:c r="A126" s="807" t="str">
        <x:v>다음 단계</x:v>
      </x:c>
      <x:c r="B126" s="807" t="str">
        <x:v>Ending Evaluator</x:v>
      </x:c>
      <x:c r="C126" s="807" t="str">
        <x:v>Bad4 정의 + Bad/True/Hidden/Normal 판정 우선순위와 정확 조건 확정.</x:v>
      </x:c>
      <x:c r="D126" s="807" t="str">
        <x:v>W3 종료 판정 마감</x:v>
      </x:c>
      <x:c r="E126" s="807" t="str">
        <x:v>NEXT</x:v>
      </x:c>
    </x:row>
    <x:row r="127" ht="36" hidden="0" customHeight="1">
      <x:c r="A127" s="798" t="str">
        <x:v>Bad4 정의</x:v>
      </x:c>
      <x:c r="B127" s="798" t="str">
        <x:v>Ending</x:v>
      </x:c>
      <x:c r="C127" s="798" t="str">
        <x:v>공동체 기능 붕괴: 물리적 미래는 남았지만 출항/정착 어느 인적 조합도 실행 불가.</x:v>
      </x:c>
      <x:c r="D127" s="798" t="str">
        <x:v>사람 축의 실패를 Bad3와 분리</x:v>
      </x:c>
      <x:c r="E127" s="798" t="str">
        <x:v>TEMP 확정 후보</x:v>
      </x:c>
    </x:row>
    <x:row r="128" ht="30" hidden="0" customHeight="1">
      <x:c r="A128" s="807" t="str">
        <x:v>DeparturePossible</x:v>
      </x:c>
      <x:c r="B128" s="807" t="str">
        <x:v>Ending</x:v>
      </x:c>
      <x:c r="C128" s="807" t="str">
        <x:v>ShipCondition != 항해 불가. 수리 필요도 후속 수리 후 출항 가능성은 남음.</x:v>
      </x:c>
      <x:c r="D128" s="807" t="str">
        <x:v>Bad3를 영구적 선택지 상실로 제한</x:v>
      </x:c>
      <x:c r="E128" s="807" t="str">
        <x:v>TEMP 확정 후보</x:v>
      </x:c>
    </x:row>
    <x:row r="129" ht="30" hidden="0" customHeight="1">
      <x:c r="A129" s="807" t="str">
        <x:v>DepartureReady</x:v>
      </x:c>
      <x:c r="B129" s="807" t="str">
        <x:v>Ending</x:v>
      </x:c>
      <x:c r="C129" s="807" t="str">
        <x:v>ShipCondition 보통/좋음.</x:v>
      </x:c>
      <x:c r="D129" s="807" t="str">
        <x:v>True/Hidden은 즉시 선택 가능한 배를 요구</x:v>
      </x:c>
      <x:c r="E129" s="807" t="str">
        <x:v>TEMP 확정 후보</x:v>
      </x:c>
    </x:row>
    <x:row r="130" ht="24" hidden="0" customHeight="1">
      <x:c r="A130" s="798" t="str">
        <x:v>DepartureCrew</x:v>
      </x:c>
      <x:c r="B130" s="798" t="str">
        <x:v>Ending</x:v>
      </x:c>
      <x:c r="C130" s="798" t="str">
        <x:v>Sam 생존 + Faye/Benjamin 중 최소1 생존.</x:v>
      </x:c>
      <x:c r="D130" s="798" t="str">
        <x:v>항법 + 기술 인력</x:v>
      </x:c>
      <x:c r="E130" s="798" t="str">
        <x:v>TEMP 확정 후보</x:v>
      </x:c>
    </x:row>
    <x:row r="131" ht="24" hidden="0" customHeight="1">
      <x:c r="A131" s="798" t="str">
        <x:v>SettlementCore</x:v>
      </x:c>
      <x:c r="B131" s="798" t="str">
        <x:v>Ending</x:v>
      </x:c>
      <x:c r="C131" s="798" t="str">
        <x:v>Jina/Diya 중 최소1 생존 + Faye/Benjamin 중 최소1 생존.</x:v>
      </x:c>
      <x:c r="D131" s="798" t="str">
        <x:v>공동체 Anchor + 기술 인력</x:v>
      </x:c>
      <x:c r="E131" s="798" t="str">
        <x:v>TEMP 확정 후보</x:v>
      </x:c>
    </x:row>
    <x:row r="132" ht="30" hidden="0" customHeight="1">
      <x:c r="A132" s="807" t="str">
        <x:v>Bad2 판정</x:v>
      </x:c>
      <x:c r="B132" s="807" t="str">
        <x:v>Ending</x:v>
      </x:c>
      <x:c r="C132" s="807" t="str">
        <x:v>D14 종료 시 ShelterReady 실패면 D15 진입 전 Bad2.</x:v>
      </x:c>
      <x:c r="D132" s="807" t="str">
        <x:v>W2 실패 피드백을 즉시 돌려줌</x:v>
      </x:c>
      <x:c r="E132" s="807" t="str">
        <x:v>TEMP 확정 후보</x:v>
      </x:c>
    </x:row>
    <x:row r="133" ht="24" hidden="0" customHeight="1">
      <x:c r="A133" s="798" t="str">
        <x:v>Normal3</x:v>
      </x:c>
      <x:c r="B133" s="798" t="str">
        <x:v>Ending</x:v>
      </x:c>
      <x:c r="C133" s="798" t="str">
        <x:v>정착 실행 가능 + 거주 우세 또는 출항 실행 불가.</x:v>
      </x:c>
      <x:c r="D133" s="798" t="str">
        <x:v>기존 다수결 거주를 현실적 정착까지 확장</x:v>
      </x:c>
      <x:c r="E133" s="798" t="str">
        <x:v>TEMP 정교화</x:v>
      </x:c>
    </x:row>
    <x:row r="134" ht="24" hidden="0" customHeight="1">
      <x:c r="A134" s="798" t="str">
        <x:v>Normal2</x:v>
      </x:c>
      <x:c r="B134" s="798" t="str">
        <x:v>Ending</x:v>
      </x:c>
      <x:c r="C134" s="798" t="str">
        <x:v>출항/정착 둘 다 가능 + STAY/LEAVE 모두 생존 + N3 미충족.</x:v>
      </x:c>
      <x:c r="D134" s="798" t="str">
        <x:v>분리 출항</x:v>
      </x:c>
      <x:c r="E134" s="798" t="str">
        <x:v>TEMP 확정 후보</x:v>
      </x:c>
    </x:row>
    <x:row r="135" ht="30" hidden="0" customHeight="1">
      <x:c r="A135" s="807" t="str">
        <x:v>Normal1</x:v>
      </x:c>
      <x:c r="B135" s="807" t="str">
        <x:v>Ending</x:v>
      </x:c>
      <x:c r="C135" s="807" t="str">
        <x:v>출항 실행 가능하고 다른 Ending 미충족.</x:v>
      </x:c>
      <x:c r="D135" s="807" t="str">
        <x:v>Sustainability LOW 대표 / 수리필요면 후속 수리 뒤 출항</x:v>
      </x:c>
      <x:c r="E135" s="807" t="str">
        <x:v>TEMP 정교화</x:v>
      </x:c>
    </x:row>
    <x:row r="136" ht="30" hidden="0" customHeight="1">
      <x:c r="A136" s="807" t="str">
        <x:v>Evaluator 테스트</x:v>
      </x:c>
      <x:c r="B136" s="807" t="str">
        <x:v>Ending</x:v>
      </x:c>
      <x:c r="C136" s="807" t="str">
        <x:v>11개 대표 상태에서 기대 Ending과 Formula 결과 대조.</x:v>
      </x:c>
      <x:c r="D136" s="807" t="str">
        <x:v>충돌/미분류 방지</x:v>
      </x:c>
      <x:c r="E136" s="807" t="str">
        <x:v>완료</x:v>
      </x:c>
    </x:row>
    <x:row r="137" ht="30" hidden="0" customHeight="1">
      <x:c r="A137" s="807" t="str">
        <x:v>다음 단계</x:v>
      </x:c>
      <x:c r="B137" s="807" t="str">
        <x:v>W2 Reverse Design</x:v>
      </x:c>
      <x:c r="C137" s="807" t="str">
        <x:v>Full Route 선행 Beat와 수리/보존/성장 경쟁을 D8~14에 재배치.</x:v>
      </x:c>
      <x:c r="D137" s="807" t="str">
        <x:v>True/Hidden이 실제 시간 안에 가능한지 검증</x:v>
      </x:c>
      <x:c r="E137" s="807" t="str">
        <x:v>NEXT</x:v>
      </x:c>
    </x:row>
    <x:row r="138" ht="36" hidden="0" customHeight="1">
      <x:c r="A138" s="798" t="str">
        <x:v>True W2 Target</x:v>
      </x:c>
      <x:c r="B138" s="798" t="str">
        <x:v>W2 Reverse</x:v>
      </x:c>
      <x:c r="C138" s="798" t="str">
        <x:v>W1 Repair1 + W2 Repair7 + 거주지 보존2 + Jina/Diya/Faye/Benjamin Final Seed.</x:v>
      </x:c>
      <x:c r="D138" s="798" t="str">
        <x:v>Storm Buffer + True stance 준비</x:v>
      </x:c>
      <x:c r="E138" s="798" t="str">
        <x:v>검증 PASS</x:v>
      </x:c>
    </x:row>
    <x:row r="139" ht="24" hidden="0" customHeight="1">
      <x:c r="A139" s="798" t="str">
        <x:v>Hidden W2 Target</x:v>
      </x:c>
      <x:c r="B139" s="798" t="str">
        <x:v>W2 Reverse</x:v>
      </x:c>
      <x:c r="C139" s="798" t="str">
        <x:v>W1 Repair3 + W2 Repair5 + Oasis3 + Settlement3 + Diya B + Borichi.</x:v>
      </x:c>
      <x:c r="D139" s="798" t="str">
        <x:v>Hidden/Recheck + HIGH Proxy 준비</x:v>
      </x:c>
      <x:c r="E139" s="798" t="str">
        <x:v>검증 PASS</x:v>
      </x:c>
    </x:row>
    <x:row r="140" ht="24" hidden="0" customHeight="1">
      <x:c r="A140" s="798" t="str">
        <x:v>Festival Gate</x:v>
      </x:c>
      <x:c r="B140" s="798" t="str">
        <x:v>W2 Character</x:v>
      </x:c>
      <x:c r="C140" s="798" t="str">
        <x:v>거주지 보존&gt;=2를 D11 축제 TEMP Proxy로 사용.</x:v>
      </x:c>
      <x:c r="D140" s="798" t="str">
        <x:v>True/Hidden Diya 분기를 D8~10 보존과 연결</x:v>
      </x:c>
      <x:c r="E140" s="798" t="str">
        <x:v>TEMP 확정 후보</x:v>
      </x:c>
    </x:row>
    <x:row r="141" ht="24" hidden="0" customHeight="1">
      <x:c r="A141" s="798" t="str">
        <x:v>Faye Mastery Deepening</x:v>
      </x:c>
      <x:c r="B141" s="798" t="str">
        <x:v>W2 Character</x:v>
      </x:c>
      <x:c r="C141" s="798" t="str">
        <x:v>D13 2h: 공연용 음향·악기 장비를 생존 수리 대신 보존.</x:v>
      </x:c>
      <x:c r="D141" s="798" t="str">
        <x:v>True에서 Faye LEAVE를 얻는 Full Route 비용</x:v>
      </x:c>
      <x:c r="E141" s="798" t="str">
        <x:v>TEMP 확정 후보</x:v>
      </x:c>
    </x:row>
    <x:row r="142" ht="15" hidden="0" customHeight="1">
      <x:c r="A142" s="798" t="str">
        <x:v>Jina Mastery Deepening</x:v>
      </x:c>
      <x:c r="B142" s="798" t="str">
        <x:v>W2 Character</x:v>
      </x:c>
      <x:c r="C142" s="798" t="str">
        <x:v>D12 과거 심화 대화.</x:v>
      </x:c>
      <x:c r="D142" s="798" t="str">
        <x:v>Final과 +1Lv를 분리</x:v>
      </x:c>
      <x:c r="E142" s="798" t="str">
        <x:v>TEMP 확정 후보</x:v>
      </x:c>
    </x:row>
    <x:row r="143" ht="24" hidden="0" customHeight="1">
      <x:c r="A143" s="798" t="str">
        <x:v>Benjamin Mastery Deepening</x:v>
      </x:c>
      <x:c r="B143" s="798" t="str">
        <x:v>W2 Character</x:v>
      </x:c>
      <x:c r="C143" s="798" t="str">
        <x:v>D10 묘지/추모 후속.</x:v>
      </x:c>
      <x:c r="D143" s="798" t="str">
        <x:v>Living Ship Final Seed와 +1Lv 분리</x:v>
      </x:c>
      <x:c r="E143" s="798" t="str">
        <x:v>TEMP 확정 후보</x:v>
      </x:c>
    </x:row>
    <x:row r="144" ht="36" hidden="0" customHeight="1">
      <x:c r="A144" s="798" t="str">
        <x:v>Sam Mastery Deepening</x:v>
      </x:c>
      <x:c r="B144" s="798" t="str">
        <x:v>W2 Character</x:v>
      </x:c>
      <x:c r="C144" s="798" t="str">
        <x:v>D9 부담 Episode 또는 D13 인계전 대화 + W1 반복지원.</x:v>
      </x:c>
      <x:c r="D144" s="798" t="str">
        <x:v>야간 비극 자체는 강제, Mastery는 자발적 관심에서 나옴</x:v>
      </x:c>
      <x:c r="E144" s="798" t="str">
        <x:v>TEMP 확정 후보</x:v>
      </x:c>
    </x:row>
    <x:row r="145" ht="24" hidden="0" customHeight="1">
      <x:c r="A145" s="798" t="str">
        <x:v>Diya/Borichi Deepening</x:v>
      </x:c>
      <x:c r="B145" s="798" t="str">
        <x:v>W2 Character</x:v>
      </x:c>
      <x:c r="C145" s="798" t="str">
        <x:v>D12 온실 시험재배가 이전 Route 충족 시 Deepening으로 기능.</x:v>
      </x:c>
      <x:c r="D145" s="798" t="str">
        <x:v>한 Side가 두 아크를 세계관적으로 연결</x:v>
      </x:c>
      <x:c r="E145" s="798" t="str">
        <x:v>TEMP 확정 후보</x:v>
      </x:c>
    </x:row>
    <x:row r="146" ht="36" hidden="0" customHeight="1">
      <x:c r="A146" s="798" t="str">
        <x:v>Mastery 희소성</x:v>
      </x:c>
      <x:c r="B146" s="798" t="str">
        <x:v>Growth</x:v>
      </x:c>
      <x:c r="C146" s="798" t="str">
        <x:v>W2만으로는 여러 Mastery 준비가 여전히 가능.</x:v>
      </x:c>
      <x:c r="D146" s="798" t="str">
        <x:v>W1 Seed 시간압력까지 포함해 다음 단계에서 재검증</x:v>
      </x:c>
      <x:c r="E146" s="798" t="str">
        <x:v>중요</x:v>
      </x:c>
    </x:row>
    <x:row r="147" ht="36" hidden="0" customHeight="1">
      <x:c r="A147" s="798" t="str">
        <x:v>D14 역할</x:v>
      </x:c>
      <x:c r="B147" s="798" t="str">
        <x:v>W2 Structure</x:v>
      </x:c>
      <x:c r="C147" s="798" t="str">
        <x:v>마지막 몰아치기보다 방향 마감. 핵심 Diya/Faye/Jina 결정은 D8~13에 끝내기.</x:v>
      </x:c>
      <x:c r="D147" s="798" t="str">
        <x:v>D14 Softlock/과밀 완화</x:v>
      </x:c>
      <x:c r="E147" s="798" t="str">
        <x:v>TEMP 확정 후보</x:v>
      </x:c>
    </x:row>
    <x:row r="148" ht="36" hidden="0" customHeight="1">
      <x:c r="A148" s="798" t="str">
        <x:v>다음 단계</x:v>
      </x:c>
      <x:c r="B148" s="798" t="str">
        <x:v>W1 Reverse Audit</x:v>
      </x:c>
      <x:c r="C148" s="798" t="str">
        <x:v>6인 Full Route Seed를 W1 D1~7에 실제 배치해 Mastery 수/True/Hidden 가능성 검증.</x:v>
      </x:c>
      <x:c r="D148" s="798" t="str">
        <x:v>21일 전체 역산의 마지막 큰 구간</x:v>
      </x:c>
      <x:c r="E148" s="798" t="str">
        <x:v>NEXT</x:v>
      </x:c>
    </x:row>
    <x:row r="149" ht="36" hidden="0" customHeight="1">
      <x:c r="A149" s="798" t="str">
        <x:v>W1 Focus A</x:v>
      </x:c>
      <x:c r="B149" s="798" t="str">
        <x:v>W1 Character</x:v>
      </x:c>
      <x:c r="C149" s="798" t="str">
        <x:v>D6: 지나/페이/보리치 중 1명만 2h 깊게 따라감.</x:v>
      </x:c>
      <x:c r="D149" s="798" t="str">
        <x:v>선택 인물만 Full Route Mastery 자격, Final 접근은 유지</x:v>
      </x:c>
      <x:c r="E149" s="798" t="str">
        <x:v>TEMP 확정 후보</x:v>
      </x:c>
    </x:row>
    <x:row r="150" ht="24" hidden="0" customHeight="1">
      <x:c r="A150" s="798" t="str">
        <x:v>W1 Focus B</x:v>
      </x:c>
      <x:c r="B150" s="798" t="str">
        <x:v>W1 Character</x:v>
      </x:c>
      <x:c r="C150" s="798" t="str">
        <x:v>D7 공개 후: 벤자민/디야 중 1명만 2h 깊게 따라감.</x:v>
      </x:c>
      <x:c r="D150" s="798" t="str">
        <x:v>선택 인물만 Full Route Mastery 자격</x:v>
      </x:c>
      <x:c r="E150" s="798" t="str">
        <x:v>TEMP 확정 후보</x:v>
      </x:c>
    </x:row>
    <x:row r="151" ht="24" hidden="0" customHeight="1">
      <x:c r="A151" s="798" t="str">
        <x:v>Sam W1 Anchor</x:v>
      </x:c>
      <x:c r="B151" s="798" t="str">
        <x:v>W1 Character</x:v>
      </x:c>
      <x:c r="C151" s="798" t="str">
        <x:v>공유 Focus 대신 D3+D6 책임 Episode 둘 다 수행.</x:v>
      </x:c>
      <x:c r="D151" s="798" t="str">
        <x:v>시간4h+Will2로 독립 Mastery 자격</x:v>
      </x:c>
      <x:c r="E151" s="798" t="str">
        <x:v>TEMP 확정 후보</x:v>
      </x:c>
    </x:row>
    <x:row r="152" ht="24" hidden="0" customHeight="1">
      <x:c r="A152" s="798" t="str">
        <x:v>Mastery 실전 상한</x:v>
      </x:c>
      <x:c r="B152" s="798" t="str">
        <x:v>Growth</x:v>
      </x:c>
      <x:c r="C152" s="798" t="str">
        <x:v>Focus A1 + Focus B1 + Sam1 = 한 Run 최대3 Character Mastery.</x:v>
      </x:c>
      <x:c r="D152" s="798" t="str">
        <x:v>'한 루트를 집요하게' 보상 희소성 확보</x:v>
      </x:c>
      <x:c r="E152" s="798" t="str">
        <x:v>검증 PASS</x:v>
      </x:c>
    </x:row>
    <x:row r="153" ht="30" hidden="0" customHeight="1">
      <x:c r="A153" s="807" t="str">
        <x:v>True W1 Focus</x:v>
      </x:c>
      <x:c r="B153" s="807" t="str">
        <x:v>Ending/W1</x:v>
      </x:c>
      <x:c r="C153" s="807" t="str">
        <x:v>Focus A=Faye 사실상 고정. Focus B는 Diya/Benjamin 선택 가능.</x:v>
      </x:c>
      <x:c r="D153" s="807" t="str">
        <x:v>Faye Full Route→LEAVE가 True 필수</x:v>
      </x:c>
      <x:c r="E153" s="807" t="str">
        <x:v>핵심</x:v>
      </x:c>
    </x:row>
    <x:row r="154" ht="36" hidden="0" customHeight="1">
      <x:c r="A154" s="798" t="str">
        <x:v>Hidden W1 Focus</x:v>
      </x:c>
      <x:c r="B154" s="798" t="str">
        <x:v>Ending/W1</x:v>
      </x:c>
      <x:c r="C154" s="798" t="str">
        <x:v>Focus A=Borichi, Focus B=Diya 권장.</x:v>
      </x:c>
      <x:c r="D154" s="798" t="str">
        <x:v>재분석+정착 Character와 W1부터 플레이 감각 분리</x:v>
      </x:c>
      <x:c r="E154" s="798" t="str">
        <x:v>핵심</x:v>
      </x:c>
    </x:row>
    <x:row r="155" ht="36" hidden="0" customHeight="1">
      <x:c r="A155" s="798" t="str">
        <x:v>Research Restoration</x:v>
      </x:c>
      <x:c r="B155" s="798" t="str">
        <x:v>W1 Ship</x:v>
      </x:c>
      <x:c r="C155" s="798" t="str">
        <x:v>W1 Research 수리 3회: 기록→환경센서→장기표본. 즉시 조사 보상 + Research5.</x:v>
      </x:c>
      <x:c r="D155" s="798" t="str">
        <x:v>Hidden 준비를 미래지식 메타플레이로 보이지 않게 함</x:v>
      </x:c>
      <x:c r="E155" s="798" t="str">
        <x:v>TEMP 확정 후보</x:v>
      </x:c>
    </x:row>
    <x:row r="156" ht="24" hidden="0" customHeight="1">
      <x:c r="A156" s="798" t="str">
        <x:v>Final vs Mastery</x:v>
      </x:c>
      <x:c r="B156" s="798" t="str">
        <x:v>Character</x:v>
      </x:c>
      <x:c r="C156" s="798" t="str">
        <x:v>Focus Anchor 미선택 Character도 W2/W3 Final 가능. +1Lv만 불가.</x:v>
      </x:c>
      <x:c r="D156" s="798" t="str">
        <x:v>엔딩 소프트락 방지</x:v>
      </x:c>
      <x:c r="E156" s="798" t="str">
        <x:v>확정방향</x:v>
      </x:c>
    </x:row>
    <x:row r="157" ht="24" hidden="0" customHeight="1">
      <x:c r="A157" s="798" t="str">
        <x:v>W1 시간검증</x:v>
      </x:c>
      <x:c r="B157" s="798" t="str">
        <x:v>W1 Balance</x:v>
      </x:c>
      <x:c r="C157" s="798" t="str">
        <x:v>True/Hidden 권장선 모두 하루14h 이내.</x:v>
      </x:c>
      <x:c r="D157" s="798" t="str">
        <x:v>Seed 가능성 유지</x:v>
      </x:c>
      <x:c r="E157" s="798" t="str">
        <x:v>PASS</x:v>
      </x:c>
    </x:row>
    <x:row r="158" ht="30" hidden="0" customHeight="1">
      <x:c r="A158" s="807" t="str">
        <x:v>21일 역산</x:v>
      </x:c>
      <x:c r="B158" s="807" t="str">
        <x:v>Project</x:v>
      </x:c>
      <x:c r="C158" s="807" t="str">
        <x:v>Ending→W3→W2→W1의 큰 구조가 모두 연결됨.</x:v>
      </x:c>
      <x:c r="D158" s="807" t="str">
        <x:v>다음은 통합 Route Simulation로 수치/소프트락 최종검증</x:v>
      </x:c>
      <x:c r="E158" s="807" t="str">
        <x:v>완료</x:v>
      </x:c>
    </x:row>
    <x:row r="159" ht="30" hidden="0" customHeight="1">
      <x:c r="A159" s="807" t="str">
        <x:v>다음 단계</x:v>
      </x:c>
      <x:c r="B159" s="807" t="str">
        <x:v>Integrated Simulation</x:v>
      </x:c>
      <x:c r="C159" s="807" t="str">
        <x:v>Normal/True/Hidden 21일을 최신 v0.9 기준으로 다시 굴리고 Will/Stat/Repair/Preservation/Mastery/Ending을 한 표로 검증.</x:v>
      </x:c>
      <x:c r="D159" s="807" t="str">
        <x:v>구 RouteSimulation v0.2 대체</x:v>
      </x:c>
      <x:c r="E159" s="807" t="str">
        <x:v>NEXT</x:v>
      </x:c>
    </x:row>
    <x:row r="160" ht="30" hidden="0" customHeight="1">
      <x:c r="A160" s="807" t="str">
        <x:v>통합 RouteSim</x:v>
      </x:c>
      <x:c r="B160" s="807" t="str">
        <x:v>Integrated</x:v>
      </x:c>
      <x:c r="C160" s="807" t="str">
        <x:v>Normal1/True/Hidden D1~21 대표 Route 통합 완료.</x:v>
      </x:c>
      <x:c r="D160" s="807" t="str">
        <x:v>일별14h/Will 비음수/Ending 연결 구조 PASS</x:v>
      </x:c>
      <x:c r="E160" s="807" t="str">
        <x:v>완료</x:v>
      </x:c>
    </x:row>
    <x:row r="161" ht="24" hidden="0" customHeight="1">
      <x:c r="A161" s="798" t="str">
        <x:v>통합 HIGH 1</x:v>
      </x:c>
      <x:c r="B161" s="798" t="str">
        <x:v>Affinity</x:v>
      </x:c>
      <x:c r="C161" s="798" t="str">
        <x:v>NPC 이동 Affinity 지급량 미작성.</x:v>
      </x:c>
      <x:c r="D161" s="798" t="str">
        <x:v>D19 병렬대응 접근권 검증 불가</x:v>
      </x:c>
      <x:c r="E161" s="798" t="str">
        <x:v>패치 대기</x:v>
      </x:c>
    </x:row>
    <x:row r="162" ht="24" hidden="0" customHeight="1">
      <x:c r="A162" s="798" t="str">
        <x:v>통합 HIGH 2</x:v>
      </x:c>
      <x:c r="B162" s="798" t="str">
        <x:v>XP</x:v>
      </x:c>
      <x:c r="C162" s="798" t="str">
        <x:v>Action별 XP 공급 미작성.</x:v>
      </x:c>
      <x:c r="D162" s="798" t="str">
        <x:v>D19 Stat9~10 실제 달성 검증 불가</x:v>
      </x:c>
      <x:c r="E162" s="798" t="str">
        <x:v>패치 대기</x:v>
      </x:c>
    </x:row>
    <x:row r="163" ht="24" hidden="0" customHeight="1">
      <x:c r="A163" s="798" t="str">
        <x:v>통합 HIGH 3</x:v>
      </x:c>
      <x:c r="B163" s="798" t="str">
        <x:v>Freezer</x:v>
      </x:c>
      <x:c r="C163" s="798" t="str">
        <x:v>Boss 성공 후 Freezer Integrity 값 미정.</x:v>
      </x:c>
      <x:c r="D163" s="798" t="str">
        <x:v>ShipCondition 최종값에 영향</x:v>
      </x:c>
      <x:c r="E163" s="798" t="str">
        <x:v>패치 대기</x:v>
      </x:c>
    </x:row>
    <x:row r="164" ht="24" hidden="0" customHeight="1">
      <x:c r="A164" s="798" t="str">
        <x:v>통합 HIGH 4</x:v>
      </x:c>
      <x:c r="B164" s="798" t="str">
        <x:v>Global Hull0</x:v>
      </x:c>
      <x:c r="C164" s="798" t="str">
        <x:v>최신 Crisis grammar와 기존 GlobalHull 해법 불일치.</x:v>
      </x:c>
      <x:c r="D164" s="798" t="str">
        <x:v>Boss 연쇄 최악경로 미검증</x:v>
      </x:c>
      <x:c r="E164" s="798" t="str">
        <x:v>패치 대기</x:v>
      </x:c>
    </x:row>
    <x:row r="165" ht="24" hidden="0" customHeight="1">
      <x:c r="A165" s="798" t="str">
        <x:v>통합 HIGH 5</x:v>
      </x:c>
      <x:c r="B165" s="798" t="str">
        <x:v>Sustainability</x:v>
      </x:c>
      <x:c r="C165" s="798" t="str">
        <x:v>Oasis3+Settlement3=HIGH는 아직 Proxy.</x:v>
      </x:c>
      <x:c r="D165" s="798" t="str">
        <x:v>Hidden exact evaluator 미검증</x:v>
      </x:c>
      <x:c r="E165" s="798" t="str">
        <x:v>패치 대기</x:v>
      </x:c>
    </x:row>
    <x:row r="166" ht="30" hidden="0" customHeight="1">
      <x:c r="A166" s="820" t="str">
        <x:v>통합 MED 1</x:v>
      </x:c>
      <x:c r="B166" s="820" t="str">
        <x:v>Will</x:v>
      </x:c>
      <x:c r="C166" s="820" t="str">
        <x:v>D18 Final 보상 집중으로 Max5 초과 소멸 가능.</x:v>
      </x:c>
      <x:c r="D166" s="820" t="str">
        <x:v>보상 체감/일정 QA 필요</x:v>
      </x:c>
      <x:c r="E166" s="820" t="str">
        <x:v>패치 대기</x:v>
      </x:c>
    </x:row>
    <x:row r="167" ht="30" hidden="0" customHeight="1">
      <x:c r="A167" s="807" t="str">
        <x:v>통합 MED 2</x:v>
      </x:c>
      <x:c r="B167" s="807" t="str">
        <x:v>Faye</x:v>
      </x:c>
      <x:c r="C167" s="807" t="str">
        <x:v>함교/엔진 조건 때문에 W3 Wave가 True Final을 닫을 수 있음.</x:v>
      </x:c>
      <x:c r="D167" s="807" t="str">
        <x:v>고난도 vs Route 절단 QA</x:v>
      </x:c>
      <x:c r="E167" s="807" t="str">
        <x:v>패치 대기</x:v>
      </x:c>
    </x:row>
    <x:row r="168" ht="24" hidden="0" customHeight="1">
      <x:c r="A168" s="798" t="str">
        <x:v>통합 MED 3</x:v>
      </x:c>
      <x:c r="B168" s="798" t="str">
        <x:v>D19 Time</x:v>
      </x:c>
      <x:c r="C168" s="798" t="str">
        <x:v>Boss 6h Window와 Jay Occupied Time 개념 혼재.</x:v>
      </x:c>
      <x:c r="D168" s="798" t="str">
        <x:v>Timeline/UI 구현 전 분리 필요</x:v>
      </x:c>
      <x:c r="E168" s="798" t="str">
        <x:v>패치 대기</x:v>
      </x:c>
    </x:row>
    <x:row r="169" ht="24" hidden="0" customHeight="1">
      <x:c r="A169" s="798" t="str">
        <x:v>다음 단계</x:v>
      </x:c>
      <x:c r="B169" s="798" t="str">
        <x:v>Balance Patch</x:v>
      </x:c>
      <x:c r="C169" s="798" t="str">
        <x:v>통합 Diagnostic을 우선순위 순으로 한꺼번에 재설계/수치조정.</x:v>
      </x:c>
      <x:c r="D169" s="798" t="str">
        <x:v>사용자 요청대로 통합 뒤 패치</x:v>
      </x:c>
      <x:c r="E169" s="798" t="str">
        <x:v>NEXT</x:v>
      </x:c>
    </x:row>
    <x:row r="170" ht="24" hidden="0" customHeight="1">
      <x:c r="A170" s="798" t="str">
        <x:v>v1.1 Affinity</x:v>
      </x:c>
      <x:c r="B170" s="798" t="str">
        <x:v>Balance</x:v>
      </x:c>
      <x:c r="C170" s="798" t="str">
        <x:v>0~5 동적. 재회1. authored Event ±. 이동3+=0Will/2=1/1=2/0불가.</x:v>
      </x:c>
      <x:c r="D170" s="798" t="str">
        <x:v>관계가 D19 병렬대응 자원</x:v>
      </x:c>
      <x:c r="E170" s="798" t="str">
        <x:v>정의완료</x:v>
      </x:c>
    </x:row>
    <x:row r="171" ht="24" hidden="0" customHeight="1">
      <x:c r="A171" s="798" t="str">
        <x:v>Affinity 소비</x:v>
      </x:c>
      <x:c r="B171" s="798" t="str">
        <x:v>Balance</x:v>
      </x:c>
      <x:c r="C171" s="798" t="str">
        <x:v>Aff4+ authored 무리한 부탁 1h 후 Aff-1. 갈등 후속1.5~2h로 +1 회복.</x:v>
      </x:c>
      <x:c r="D171" s="798" t="str">
        <x:v>시간/관계 교환</x:v>
      </x:c>
      <x:c r="E171" s="798" t="str">
        <x:v>정의완료</x:v>
      </x:c>
    </x:row>
    <x:row r="172" ht="30" hidden="0" customHeight="1">
      <x:c r="A172" s="807" t="str">
        <x:v>Strategic Pivot</x:v>
      </x:c>
      <x:c r="B172" s="807" t="str">
        <x:v>XP/Route</x:v>
      </x:c>
      <x:c r="C172" s="807" t="str">
        <x:v>W1~W2 Main/Character 중심 8개. XP+2~3과 Affinity/시간/Route를 맞교환.</x:v>
      </x:c>
      <x:c r="D172" s="807" t="str">
        <x:v>2~3 실수 복구, 4+ 고난도</x:v>
      </x:c>
      <x:c r="E172" s="807" t="str">
        <x:v>정의완료</x:v>
      </x:c>
    </x:row>
    <x:row r="173" ht="24" hidden="0" customHeight="1">
      <x:c r="A173" s="798" t="str">
        <x:v>XP 공급</x:v>
      </x:c>
      <x:c r="B173" s="798" t="str">
        <x:v>Growth</x:v>
      </x:c>
      <x:c r="C173" s="798" t="str">
        <x:v>일반0~1 / Pivot2~3 / Mastery6. 기존 구간 목표곡선 유지.</x:v>
      </x:c>
      <x:c r="D173" s="798" t="str">
        <x:v>Action별 전체 배분 필요</x:v>
      </x:c>
      <x:c r="E173" s="798" t="str">
        <x:v>재시뮬</x:v>
      </x:c>
    </x:row>
    <x:row r="174" ht="15" hidden="0" customHeight="1">
      <x:c r="A174" s="798" t="str">
        <x:v>Freezer Result</x:v>
      </x:c>
      <x:c r="B174" s="798" t="str">
        <x:v>D19</x:v>
      </x:c>
      <x:c r="C174" s="798" t="str">
        <x:v>성공 시 Integrity=2 고정.</x:v>
      </x:c>
      <x:c r="D174" s="798" t="str">
        <x:v>ShipCondition 계산 가능</x:v>
      </x:c>
      <x:c r="E174" s="798" t="str">
        <x:v>확정</x:v>
      </x:c>
    </x:row>
    <x:row r="175" ht="36" hidden="0" customHeight="1">
      <x:c r="A175" s="798" t="str">
        <x:v>Global Hull0 v1.1</x:v>
      </x:c>
      <x:c r="B175" s="798" t="str">
        <x:v>Emergency</x:v>
      </x:c>
      <x:c r="C175" s="798" t="str">
        <x:v>Forced Phase, Root Timer Pause, Tech8=2h/Tech10=1h/Will2=4h, NPC2h/Pair1h, 같은 날 재발=Bad1.</x:v>
      </x:c>
      <x:c r="D175" s="798" t="str">
        <x:v>전문가 희생 폐기</x:v>
      </x:c>
      <x:c r="E175" s="798" t="str">
        <x:v>정의완료</x:v>
      </x:c>
    </x:row>
    <x:row r="176" ht="24" hidden="0" customHeight="1">
      <x:c r="A176" s="798" t="str">
        <x:v>Sustainability Exact</x:v>
      </x:c>
      <x:c r="B176" s="798" t="str">
        <x:v>Ending</x:v>
      </x:c>
      <x:c r="C176" s="798" t="str">
        <x:v>MEDIUM: 양축1+ 합3 / HIGH: 양축2+ 합5, 재점검 필수.</x:v>
      </x:c>
      <x:c r="D176" s="798" t="str">
        <x:v>Hidden 3+2도 허용</x:v>
      </x:c>
      <x:c r="E176" s="798" t="str">
        <x:v>정의완료</x:v>
      </x:c>
    </x:row>
    <x:row r="177" ht="24" hidden="0" customHeight="1">
      <x:c r="A177" s="798" t="str">
        <x:v>Benjamin D19</x:v>
      </x:c>
      <x:c r="B177" s="798" t="str">
        <x:v>Character</x:v>
      </x:c>
      <x:c r="C177" s="798" t="str">
        <x:v>Boss 중1h Crisis Final → Will+3, Full Route StrongXP+6. D20 Stance 결론.</x:v>
      </x:c>
      <x:c r="D177" s="798" t="str">
        <x:v>슈퍼 세이버</x:v>
      </x:c>
      <x:c r="E177" s="798" t="str">
        <x:v>정의완료</x:v>
      </x:c>
    </x:row>
    <x:row r="178" ht="36" hidden="0" customHeight="1">
      <x:c r="A178" s="798" t="str">
        <x:v>Faye Link</x:v>
      </x:c>
      <x:c r="B178" s="798" t="str">
        <x:v>Character</x:v>
      </x:c>
      <x:c r="C178" s="798" t="str">
        <x:v>D9 엔진↔함교 AUDIO_LINK, D13 보존/복구, D18 함교&gt;=1+엔진&gt;=1+Link.</x:v>
      </x:c>
      <x:c r="D178" s="798" t="str">
        <x:v>대체 공연 없음</x:v>
      </x:c>
      <x:c r="E178" s="798" t="str">
        <x:v>정의완료</x:v>
      </x:c>
    </x:row>
    <x:row r="179" ht="24" hidden="0" customHeight="1">
      <x:c r="A179" s="798" t="str">
        <x:v>D19 Time</x:v>
      </x:c>
      <x:c r="B179" s="798" t="str">
        <x:v>Timeline</x:v>
      </x:c>
      <x:c r="C179" s="798" t="str">
        <x:v>10~16은 Window0h, 개별 대응만 TimeCost.</x:v>
      </x:c>
      <x:c r="D179" s="798" t="str">
        <x:v>Timeline 구현 기준</x:v>
      </x:c>
      <x:c r="E179" s="798" t="str">
        <x:v>정의완료</x:v>
      </x:c>
    </x:row>
    <x:row r="180" ht="24" hidden="0" customHeight="1">
      <x:c r="A180" s="798" t="str">
        <x:v>다음 단계</x:v>
      </x:c>
      <x:c r="B180" s="798" t="str">
        <x:v>Re-simulation</x:v>
      </x:c>
      <x:c r="C180" s="798" t="str">
        <x:v>Affinity/XP/Pivot/Hull0/Benjamin 포함 Normal/True/Hidden 재통합.</x:v>
      </x:c>
      <x:c r="D180" s="798" t="str">
        <x:v>수치 패치 전 검증</x:v>
      </x:c>
      <x:c r="E180" s="798" t="str">
        <x:v>NEXT</x:v>
      </x:c>
    </x:row>
    <x:row r="181" ht="36" hidden="0" customHeight="1">
      <x:c r="A181" s="798" t="str">
        <x:v>Narrative Guard</x:v>
      </x:c>
      <x:c r="B181" s="798" t="str">
        <x:v>Design</x:v>
      </x:c>
      <x:c r="C181" s="798" t="str">
        <x:v>Pivot은 기존 사실/성격을 비틀지 않으며 'True 정답 대사'처럼 보이지 않게 작성.</x:v>
      </x:c>
      <x:c r="D181" s="798" t="str">
        <x:v>내러티브 우선</x:v>
      </x:c>
      <x:c r="E181" s="798" t="str">
        <x:v>확정</x:v>
      </x:c>
    </x:row>
    <x:row r="182" ht="15" hidden="0" customHeight="1">
      <x:c r="A182" s="798"/>
      <x:c r="B182" s="798"/>
      <x:c r="C182" s="798"/>
      <x:c r="D182" s="798"/>
      <x:c r="E182" s="798"/>
    </x:row>
    <x:row r="183" ht="15" hidden="0" customHeight="1">
      <x:c r="A183" s="798"/>
      <x:c r="B183" s="798"/>
      <x:c r="C183" s="798"/>
      <x:c r="D183" s="798"/>
      <x:c r="E183" s="798"/>
    </x:row>
    <x:row r="184" ht="24" hidden="0" customHeight="1">
      <x:c r="A184" s="798" t="str">
        <x:v>v1.1 ReSim</x:v>
      </x:c>
      <x:c r="B184" s="798" t="str">
        <x:v>Integrated</x:v>
      </x:c>
      <x:c r="C184" s="798" t="str">
        <x:v>Affinity/XP/D19/Mistake tolerance 재통합 완료.</x:v>
      </x:c>
      <x:c r="D184" s="798" t="str">
        <x:v>구조 PASS</x:v>
      </x:c>
      <x:c r="E184" s="798" t="str">
        <x:v>완료</x:v>
      </x:c>
    </x:row>
    <x:row r="185" ht="36" hidden="0" customHeight="1">
      <x:c r="A185" s="798" t="str">
        <x:v>Affinity 결과</x:v>
      </x:c>
      <x:c r="B185" s="798" t="str">
        <x:v>Balance</x:v>
      </x:c>
      <x:c r="C185" s="798" t="str">
        <x:v>True 핵심 Specialist Aff3+, Hidden Sam Aff1 비용2W, Normal 1~2W 이동비 발생.</x:v>
      </x:c>
      <x:c r="D185" s="798" t="str">
        <x:v>관계가 실제 Boss 자원으로 기능</x:v>
      </x:c>
      <x:c r="E185" s="798" t="str">
        <x:v>PASS</x:v>
      </x:c>
    </x:row>
    <x:row r="186" ht="30" hidden="0" customHeight="1">
      <x:c r="A186" s="807" t="str">
        <x:v>XP 결과</x:v>
      </x:c>
      <x:c r="B186" s="807" t="str">
        <x:v>Growth</x:v>
      </x:c>
      <x:c r="C186" s="807" t="str">
        <x:v>대표 True 4/4/4, Hidden 0/3/7, Normal 2~3대 수준.</x:v>
      </x:c>
      <x:c r="D186" s="807" t="str">
        <x:v>Route/시작빌드에 따라 플레이 감각 분리</x:v>
      </x:c>
      <x:c r="E186" s="807" t="str">
        <x:v>PASS*</x:v>
      </x:c>
    </x:row>
    <x:row r="187" ht="24" hidden="0" customHeight="1">
      <x:c r="A187" s="798" t="str">
        <x:v>Research XP</x:v>
      </x:c>
      <x:c r="B187" s="798" t="str">
        <x:v>Growth</x:v>
      </x:c>
      <x:c r="C187" s="798" t="str">
        <x:v>Research Restoration 1회당 TechXP+1을 ReSim에서 TEMP 사용.</x:v>
      </x:c>
      <x:c r="D187" s="798" t="str">
        <x:v>Action별 전체 XP표 때 재검토</x:v>
      </x:c>
      <x:c r="E187" s="798" t="str">
        <x:v>TBD</x:v>
      </x:c>
    </x:row>
    <x:row r="188" ht="30" hidden="0" customHeight="1">
      <x:c r="A188" s="807" t="str">
        <x:v>Benjamin D19 결과</x:v>
      </x:c>
      <x:c r="B188" s="807" t="str">
        <x:v>Character</x:v>
      </x:c>
      <x:c r="C188" s="807" t="str">
        <x:v>Normal 대표에서 10~11시 1h Final→Will+3이 실제 포션/슈퍼세이버로 작동.</x:v>
      </x:c>
      <x:c r="D188" s="807" t="str">
        <x:v>D19 구조 유지</x:v>
      </x:c>
      <x:c r="E188" s="807" t="str">
        <x:v>PASS</x:v>
      </x:c>
    </x:row>
    <x:row r="189" ht="30" hidden="0" customHeight="1">
      <x:c r="A189" s="820" t="str">
        <x:v>Mistake 2~3</x:v>
      </x:c>
      <x:c r="B189" s="820" t="str">
        <x:v>Route</x:v>
      </x:c>
      <x:c r="C189" s="820" t="str">
        <x:v>True/Hidden 모두 관계회복3.5~5.5h 내 대표복구 가능.</x:v>
      </x:c>
      <x:c r="D189" s="820" t="str">
        <x:v>사용자 목표와 일치</x:v>
      </x:c>
      <x:c r="E189" s="820" t="str">
        <x:v>PASS</x:v>
      </x:c>
    </x:row>
    <x:row r="190" ht="30" hidden="0" customHeight="1">
      <x:c r="A190" s="820" t="str">
        <x:v>Mistake 4</x:v>
      </x:c>
      <x:c r="B190" s="820" t="str">
        <x:v>Route</x:v>
      </x:c>
      <x:c r="C190" s="820" t="str">
        <x:v>대표4번째에 D11 Route Fork가 포함되면 특수Ending 실패.</x:v>
      </x:c>
      <x:c r="D190" s="820" t="str">
        <x:v>모든 4번째 실수 자동FAIL 아님</x:v>
      </x:c>
      <x:c r="E190" s="820" t="str">
        <x:v>의도</x:v>
      </x:c>
    </x:row>
    <x:row r="191" ht="24" hidden="0" customHeight="1">
      <x:c r="A191" s="798" t="str">
        <x:v>Hull0 ReSim</x:v>
      </x:c>
      <x:c r="B191" s="798" t="str">
        <x:v>Emergency</x:v>
      </x:c>
      <x:c r="C191" s="798" t="str">
        <x:v>Timer Pause + 1회 구조 + 재발Bad1로 생존/긴장 양립.</x:v>
      </x:c>
      <x:c r="D191" s="798" t="str">
        <x:v>유지</x:v>
      </x:c>
      <x:c r="E191" s="798" t="str">
        <x:v>PASS</x:v>
      </x:c>
    </x:row>
    <x:row r="192" ht="24" hidden="0" customHeight="1">
      <x:c r="A192" s="798" t="str">
        <x:v>남은 XP</x:v>
      </x:c>
      <x:c r="B192" s="798" t="str">
        <x:v>Growth</x:v>
      </x:c>
      <x:c r="C192" s="798" t="str">
        <x:v>모든 ActionID의 정확 XP 배분은 아직 미완료.</x:v>
      </x:c>
      <x:c r="D192" s="798" t="str">
        <x:v>내러티브 콘텐츠 작성과 병행</x:v>
      </x:c>
      <x:c r="E192" s="798" t="str">
        <x:v>NEXT LATER</x:v>
      </x:c>
    </x:row>
    <x:row r="193" ht="36" hidden="0" customHeight="1">
      <x:c r="A193" s="798" t="str">
        <x:v>남은 Affinity</x:v>
      </x:c>
      <x:c r="B193" s="798" t="str">
        <x:v>Character</x:v>
      </x:c>
      <x:c r="C193" s="798" t="str">
        <x:v>Seed/Deepening +1은 시뮬 후보. 대사/퀘스트 작성 때 감정 강도 검수.</x:v>
      </x:c>
      <x:c r="D193" s="798" t="str">
        <x:v>내러티브 우선</x:v>
      </x:c>
      <x:c r="E193" s="798" t="str">
        <x:v>NEXT LATER</x:v>
      </x:c>
    </x:row>
    <x:row r="194" ht="36" hidden="0" customHeight="1">
      <x:c r="A194" s="798" t="str">
        <x:v>다음 단계</x:v>
      </x:c>
      <x:c r="B194" s="798" t="str">
        <x:v>Design</x:v>
      </x:c>
      <x:c r="C194" s="798" t="str">
        <x:v>Normal2/3 추가 시뮬 또는 실제 Day별 콘텐츠/퀘스트 작성으로 이동 가능.</x:v>
      </x:c>
      <x:c r="D194" s="798" t="str">
        <x:v>큰 밸런스 막힘 없음</x:v>
      </x:c>
      <x:c r="E194" s="798" t="str">
        <x:v>READY</x:v>
      </x:c>
    </x:row>
    <x:row r="195" ht="30" hidden="0" customHeight="1">
      <x:c r="A195" s="807" t="str">
        <x:v>Normal2 ReSim</x:v>
      </x:c>
      <x:c r="B195" s="807" t="str">
        <x:v>Ending</x:v>
      </x:c>
      <x:c r="C195" s="807" t="str">
        <x:v>Ship 보통 + Sustainability MEDIUM + STAY3/LEAVE3 + Faye LEAVE.</x:v>
      </x:c>
      <x:c r="D195" s="807" t="str">
        <x:v>분리출항 독립 Route 성립</x:v>
      </x:c>
      <x:c r="E195" s="807" t="str">
        <x:v>PASS</x:v>
      </x:c>
    </x:row>
    <x:row r="196" ht="30" hidden="0" customHeight="1">
      <x:c r="A196" s="807" t="str">
        <x:v>Normal3 ReSim</x:v>
      </x:c>
      <x:c r="B196" s="807" t="str">
        <x:v>Ending</x:v>
      </x:c>
      <x:c r="C196" s="807" t="str">
        <x:v>Settlement 가능 + STAY4/LEAVE2. Faye Full Route 미완주.</x:v>
      </x:c>
      <x:c r="D196" s="807" t="str">
        <x:v>거주 선택 독립 Route 성립</x:v>
      </x:c>
      <x:c r="E196" s="807" t="str">
        <x:v>PASS</x:v>
      </x:c>
    </x:row>
    <x:row r="197" ht="24" hidden="0" customHeight="1">
      <x:c r="A197" s="798" t="str">
        <x:v>Normal2 Affinity</x:v>
      </x:c>
      <x:c r="B197" s="798" t="str">
        <x:v>Balance</x:v>
      </x:c>
      <x:c r="C197" s="798" t="str">
        <x:v>Faye/Borichi/Diya/Ben 무료 이동, Sam/Jina1W 대표.</x:v>
      </x:c>
      <x:c r="D197" s="798" t="str">
        <x:v>양쪽 인물군에 투자한 결과</x:v>
      </x:c>
      <x:c r="E197" s="798" t="str">
        <x:v>PASS</x:v>
      </x:c>
    </x:row>
    <x:row r="198" ht="24" hidden="0" customHeight="1">
      <x:c r="A198" s="798" t="str">
        <x:v>Normal3 Affinity</x:v>
      </x:c>
      <x:c r="B198" s="798" t="str">
        <x:v>Balance</x:v>
      </x:c>
      <x:c r="C198" s="798" t="str">
        <x:v>Ben/Borichi/Diya/Jina 무료, Sam1W, Faye2W 대표.</x:v>
      </x:c>
      <x:c r="D198" s="798" t="str">
        <x:v>정착 핵심 인물 중심 관계</x:v>
      </x:c>
      <x:c r="E198" s="798" t="str">
        <x:v>PASS</x:v>
      </x:c>
    </x:row>
    <x:row r="199" ht="24" hidden="0" customHeight="1">
      <x:c r="A199" s="798" t="str">
        <x:v>XP Draft</x:v>
      </x:c>
      <x:c r="B199" s="798" t="str">
        <x:v>Growth</x:v>
      </x:c>
      <x:c r="C199" s="798" t="str">
        <x:v>모든 ActionID에 고정/조건부 XP 지급 초안 생성.</x:v>
      </x:c>
      <x:c r="D199" s="798" t="str">
        <x:v>24_Normal23_XPPlan 기준</x:v>
      </x:c>
      <x:c r="E199" s="798" t="str">
        <x:v>초안완료</x:v>
      </x:c>
    </x:row>
    <x:row r="200" ht="24" hidden="0" customHeight="1">
      <x:c r="A200" s="798" t="str">
        <x:v>XP 표준 Repair</x:v>
      </x:c>
      <x:c r="B200" s="798" t="str">
        <x:v>Growth</x:v>
      </x:c>
      <x:c r="C200" s="798" t="str">
        <x:v>기본0. W1 Research Restoration 선택 시 Tech+1 최대3회.</x:v>
      </x:c>
      <x:c r="D200" s="798" t="str">
        <x:v>기술 자동파밍 방지</x:v>
      </x:c>
      <x:c r="E200" s="798" t="str">
        <x:v>TEMP</x:v>
      </x:c>
    </x:row>
    <x:row r="201" ht="36" hidden="0" customHeight="1">
      <x:c r="A201" s="798" t="str">
        <x:v>XP Emergency</x:v>
      </x:c>
      <x:c r="B201" s="798" t="str">
        <x:v>Growth</x:v>
      </x:c>
      <x:c r="C201" s="798" t="str">
        <x:v>Jay가 Stat 해법 직접해결 시 해당 Stat+1 / Root당1회. NPC/기본/Will-only0.</x:v>
      </x:c>
      <x:c r="D201" s="798" t="str">
        <x:v>빌드가 실제 위기 경험으로 성장</x:v>
      </x:c>
      <x:c r="E201" s="798" t="str">
        <x:v>TEMP</x:v>
      </x:c>
    </x:row>
    <x:row r="202" ht="15" hidden="0" customHeight="1">
      <x:c r="A202" s="798" t="str">
        <x:v>XP Growth Activity</x:v>
      </x:c>
      <x:c r="B202" s="798" t="str">
        <x:v>Growth</x:v>
      </x:c>
      <x:c r="C202" s="798" t="str">
        <x:v>2h 선택 시 원하는 Stat+1 / Rest면0.</x:v>
      </x:c>
      <x:c r="D202" s="798" t="str">
        <x:v>느린 만회 성장</x:v>
      </x:c>
      <x:c r="E202" s="798" t="str">
        <x:v>TEMP</x:v>
      </x:c>
    </x:row>
    <x:row r="203" ht="24" hidden="0" customHeight="1">
      <x:c r="A203" s="798" t="str">
        <x:v>XP 목표곡선</x:v>
      </x:c>
      <x:c r="B203" s="798" t="str">
        <x:v>Growth</x:v>
      </x:c>
      <x:c r="C203" s="798" t="str">
        <x:v>하드캡 아님. 공략/시간 투자로 초과 가능.</x:v>
      </x:c>
      <x:c r="D203" s="798" t="str">
        <x:v>수리·보존·관계와 실제 경쟁시키기</x:v>
      </x:c>
      <x:c r="E203" s="798" t="str">
        <x:v>방향</x:v>
      </x:c>
    </x:row>
    <x:row r="204" ht="36" hidden="0" customHeight="1">
      <x:c r="A204" s="798" t="str">
        <x:v>다음 단계</x:v>
      </x:c>
      <x:c r="B204" s="798" t="str">
        <x:v>Narrative Content Pass</x:v>
      </x:c>
      <x:c r="C204" s="798" t="str">
        <x:v>Affinity/XP 초안을 실제 D1~21 퀘스트 대사·선택지에 대입해 서사 부자연스러운 Pivot을 제거/수정.</x:v>
      </x:c>
      <x:c r="D204" s="798" t="str">
        <x:v>내러티브 우선 검수</x:v>
      </x:c>
      <x:c r="E204" s="798" t="str">
        <x:v>NEXT</x:v>
      </x:c>
    </x:row>
    <x:row r="205" ht="30" hidden="0" customHeight="1">
      <x:c r="A205" s="807" t="str">
        <x:v>Narrative Pass 8 Pivots</x:v>
      </x:c>
      <x:c r="B205" s="807" t="str">
        <x:v>Narrative</x:v>
      </x:c>
      <x:c r="C205" s="807" t="str">
        <x:v>8개 Pivot의 도입/선택지/즉시반응/후속/W3회수 문안 작성.</x:v>
      </x:c>
      <x:c r="D205" s="807" t="str">
        <x:v>시스템보다 인물 논리 우선</x:v>
      </x:c>
      <x:c r="E205" s="807" t="str">
        <x:v>완료</x:v>
      </x:c>
    </x:row>
    <x:row r="206" ht="24" hidden="0" customHeight="1">
      <x:c r="A206" s="798" t="str">
        <x:v>D8 Borichi wording</x:v>
      </x:c>
      <x:c r="B206" s="798" t="str">
        <x:v>Narrative</x:v>
      </x:c>
      <x:c r="C206" s="798" t="str">
        <x:v>강압 분석→'혼자 두지 않고 한 번 더 같이 본다'로 수정.</x:v>
      </x:c>
      <x:c r="D206" s="798" t="str">
        <x:v>트라우마 XP 버튼화 방지</x:v>
      </x:c>
      <x:c r="E206" s="798" t="str">
        <x:v>완료</x:v>
      </x:c>
    </x:row>
    <x:row r="207" ht="24" hidden="0" customHeight="1">
      <x:c r="A207" s="798" t="str">
        <x:v>D12 Benjamin wording</x:v>
      </x:c>
      <x:c r="B207" s="798" t="str">
        <x:v>Narrative</x:v>
      </x:c>
      <x:c r="C207" s="798" t="str">
        <x:v>죽은 사람보다 산 사람→묘지와 배 중 '무엇을 먼저 볼지'로 수정.</x:v>
      </x:c>
      <x:c r="D207" s="798" t="str">
        <x:v>약혼자 기억 비하 방지</x:v>
      </x:c>
      <x:c r="E207" s="798" t="str">
        <x:v>완료</x:v>
      </x:c>
    </x:row>
    <x:row r="208" ht="24" hidden="0" customHeight="1">
      <x:c r="A208" s="798" t="str">
        <x:v>D13 Sam wording</x:v>
      </x:c>
      <x:c r="B208" s="798" t="str">
        <x:v>Narrative</x:v>
      </x:c>
      <x:c r="C208" s="798" t="str">
        <x:v>'네가 선장이니 정해' 폐기→공동 기준 vs 냉정한 생존 기준.</x:v>
      </x:c>
      <x:c r="D208" s="798" t="str">
        <x:v>D13 비극과 직접 회수</x:v>
      </x:c>
      <x:c r="E208" s="798" t="str">
        <x:v>완료</x:v>
      </x:c>
    </x:row>
    <x:row r="209" ht="24" hidden="0" customHeight="1">
      <x:c r="A209" s="798" t="str">
        <x:v>Affinity Recovery</x:v>
      </x:c>
      <x:c r="B209" s="798" t="str">
        <x:v>Narrative</x:v>
      </x:c>
      <x:c r="C209" s="798" t="str">
        <x:v>원인별1회 1.5~2h 후속 8종 정리. Flag/XP는 되돌리지 않음.</x:v>
      </x:c>
      <x:c r="D209" s="798" t="str">
        <x:v>관계 회복을 파밍 아닌 서사로</x:v>
      </x:c>
      <x:c r="E209" s="798" t="str">
        <x:v>완료</x:v>
      </x:c>
    </x:row>
    <x:row r="210" ht="30" hidden="0" customHeight="1">
      <x:c r="A210" s="807" t="str">
        <x:v>W3 Callback</x:v>
      </x:c>
      <x:c r="B210" s="807" t="str">
        <x:v>Narrative</x:v>
      </x:c>
      <x:c r="C210" s="807" t="str">
        <x:v>D6~13 선택이 D15~20 대사 Variant/Final/조건으로 회수되는 Matrix 작성.</x:v>
      </x:c>
      <x:c r="D210" s="807" t="str">
        <x:v>선택 기억 강화</x:v>
      </x:c>
      <x:c r="E210" s="807" t="str">
        <x:v>완료</x:v>
      </x:c>
    </x:row>
    <x:row r="211" ht="24" hidden="0" customHeight="1">
      <x:c r="A211" s="798" t="str">
        <x:v>Faye stale summary</x:v>
      </x:c>
      <x:c r="B211" s="798" t="str">
        <x:v>Character</x:v>
      </x:c>
      <x:c r="C211" s="798" t="str">
        <x:v>함교/엔진&gt;=1 + AUDIO_LINK_READY로 수정.</x:v>
      </x:c>
      <x:c r="D211" s="798" t="str">
        <x:v>v1.1 반영</x:v>
      </x:c>
      <x:c r="E211" s="798" t="str">
        <x:v>완료</x:v>
      </x:c>
    </x:row>
    <x:row r="212" ht="24" hidden="0" customHeight="1">
      <x:c r="A212" s="798" t="str">
        <x:v>Benjamin stale summary</x:v>
      </x:c>
      <x:c r="B212" s="798" t="str">
        <x:v>Character</x:v>
      </x:c>
      <x:c r="C212" s="798" t="str">
        <x:v>D19 Crisis Final→D20 Stance 결로 수정.</x:v>
      </x:c>
      <x:c r="D212" s="798" t="str">
        <x:v>v1.1 반영</x:v>
      </x:c>
      <x:c r="E212" s="798" t="str">
        <x:v>완료</x:v>
      </x:c>
    </x:row>
    <x:row r="213" ht="36" hidden="0" customHeight="1">
      <x:c r="A213" s="798" t="str">
        <x:v>다음 단계</x:v>
      </x:c>
      <x:c r="B213" s="798" t="str">
        <x:v>Narrative Authoring</x:v>
      </x:c>
      <x:c r="C213" s="798" t="str">
        <x:v>D1~7 Seed 장면부터 실제 대사·선택·결과 텍스트 작성 후 D8~14, W3 Final 순서.</x:v>
      </x:c>
      <x:c r="D213" s="798" t="str">
        <x:v>작가용 콘텐츠 구체화</x:v>
      </x:c>
      <x:c r="E213" s="798" t="str">
        <x:v>NEXT</x:v>
      </x:c>
    </x:row>
    <x:row r="214" ht="24" hidden="0" customHeight="1">
      <x:c r="A214" s="798" t="str">
        <x:v>Runtime</x:v>
      </x:c>
      <x:c r="B214" s="798" t="str">
        <x:v>Implementation</x:v>
      </x:c>
      <x:c r="C214" s="798" t="str">
        <x:v>아직 CSV/Unity 미변경.</x:v>
      </x:c>
      <x:c r="D214" s="798" t="str">
        <x:v>Narrative 닫힌 뒤 마이그레이션</x:v>
      </x:c>
      <x:c r="E214" s="798" t="str">
        <x:v>대기</x:v>
      </x:c>
    </x:row>
    <x:row r="215" ht="24" hidden="0" customHeight="1">
      <x:c r="A215" s="798" t="str">
        <x:v>UI Choice Contract</x:v>
      </x:c>
      <x:c r="B215" s="798" t="str">
        <x:v>Narrative/UI</x:v>
      </x:c>
      <x:c r="C215" s="798" t="str">
        <x:v>선택 버튼=조건/소모, Hover=즉시 수치/상태 결과 전부 공개.</x:v>
      </x:c>
      <x:c r="D215" s="798" t="str">
        <x:v>제리안 경식 정보 구조</x:v>
      </x:c>
      <x:c r="E215" s="798" t="str">
        <x:v>확정</x:v>
      </x:c>
    </x:row>
    <x:row r="216" ht="24" hidden="0" customHeight="1">
      <x:c r="A216" s="798" t="str">
        <x:v>Hidden Result Rule</x:v>
      </x:c>
      <x:c r="B216" s="798" t="str">
        <x:v>Narrative/UI</x:v>
      </x:c>
      <x:c r="C216" s="798" t="str">
        <x:v>TRUE/HIDDEN Flag, 미래 Stance/엔딩은 Hover 미표시.</x:v>
      </x:c>
      <x:c r="D216" s="798" t="str">
        <x:v>책 읽는 감각 보존</x:v>
      </x:c>
      <x:c r="E216" s="798" t="str">
        <x:v>확정</x:v>
      </x:c>
    </x:row>
    <x:row r="217" ht="24" hidden="0" customHeight="1">
      <x:c r="A217" s="798" t="str">
        <x:v>Dialogue Log</x:v>
      </x:c>
      <x:c r="B217" s="798" t="str">
        <x:v>Narrative/UI</x:v>
      </x:c>
      <x:c r="C217" s="798" t="str">
        <x:v>선택 클릭 후 선택 문장이 본문에 편입되고 대화가 아래로 계속 누적.</x:v>
      </x:c>
      <x:c r="D217" s="798" t="str">
        <x:v>오른쪽 로그 UI 기준</x:v>
      </x:c>
      <x:c r="E217" s="798" t="str">
        <x:v>확정</x:v>
      </x:c>
    </x:row>
    <x:row r="218" ht="24" hidden="0" customHeight="1">
      <x:c r="A218" s="798" t="str">
        <x:v>Object Prose</x:v>
      </x:c>
      <x:c r="B218" s="798" t="str">
        <x:v>Narrative/UI</x:v>
      </x:c>
      <x:c r="C218" s="798" t="str">
        <x:v>비인물 상호작용은 짧은 소설식 서술 + 선택 + 결과.</x:v>
      </x:c>
      <x:c r="D218" s="798" t="str">
        <x:v>서울2033 톤 참고</x:v>
      </x:c>
      <x:c r="E218" s="798" t="str">
        <x:v>확정</x:v>
      </x:c>
    </x:row>
    <x:row r="219" ht="24" hidden="0" customHeight="1">
      <x:c r="A219" s="798" t="str">
        <x:v>W1 Draft</x:v>
      </x:c>
      <x:c r="B219" s="798" t="str">
        <x:v>Narrative</x:v>
      </x:c>
      <x:c r="C219" s="798" t="str">
        <x:v>D1~7 핵심 Seed/Main 18개 실제 원고 초안 작성.</x:v>
      </x:c>
      <x:c r="D219" s="798" t="str">
        <x:v>26_W1_NarrativeAuthoring</x:v>
      </x:c>
      <x:c r="E219" s="798" t="str">
        <x:v>완료</x:v>
      </x:c>
    </x:row>
    <x:row r="220" ht="30" hidden="0" customHeight="1">
      <x:c r="A220" s="807" t="str">
        <x:v>Affinity per Scene</x:v>
      </x:c>
      <x:c r="B220" s="807" t="str">
        <x:v>Balance</x:v>
      </x:c>
      <x:c r="C220" s="807" t="str">
        <x:v>같은 장면 내 어떤 선택을 해도 호감도 획득은 장면당 최대 +1.</x:v>
      </x:c>
      <x:c r="D220" s="807" t="str">
        <x:v>중복 파밍 방지</x:v>
      </x:c>
      <x:c r="E220" s="807" t="str">
        <x:v>확정방향</x:v>
      </x:c>
    </x:row>
    <x:row r="221" ht="24" hidden="0" customHeight="1">
      <x:c r="A221" s="798" t="str">
        <x:v>W1 Remaining</x:v>
      </x:c>
      <x:c r="B221" s="798" t="str">
        <x:v>Narrative</x:v>
      </x:c>
      <x:c r="C221" s="798" t="str">
        <x:v>Focus A/B 전용 원고 + Research Restoration 1~3단계 원고.</x:v>
      </x:c>
      <x:c r="D221" s="798" t="str">
        <x:v>W1 완결 전 남은 내용</x:v>
      </x:c>
      <x:c r="E221" s="798" t="str">
        <x:v>NEXT</x:v>
      </x:c>
    </x:row>
    <x:row r="222" ht="24" hidden="0" customHeight="1">
      <x:c r="A222" s="798" t="str">
        <x:v>W2 Authoring</x:v>
      </x:c>
      <x:c r="B222" s="798" t="str">
        <x:v>Narrative</x:v>
      </x:c>
      <x:c r="C222" s="798" t="str">
        <x:v>W1 잔여 원고 후 D8~14 실제 로그/선택/Hover 원고 작성.</x:v>
      </x:c>
      <x:c r="D222" s="798" t="str">
        <x:v>Pivot 포함</x:v>
      </x:c>
      <x:c r="E222" s="798" t="str">
        <x:v>대기</x:v>
      </x:c>
    </x:row>
    <x:row r="223" ht="24" hidden="0" customHeight="1">
      <x:c r="A223" s="798" t="str">
        <x:v>Runtime</x:v>
      </x:c>
      <x:c r="B223" s="798" t="str">
        <x:v>Implementation</x:v>
      </x:c>
      <x:c r="C223" s="798" t="str">
        <x:v>아직 CSV/Unity 미변경.</x:v>
      </x:c>
      <x:c r="D223" s="798" t="str">
        <x:v>원고/데이터 구조 확정 뒤 마이그레이션</x:v>
      </x:c>
      <x:c r="E223" s="798" t="str">
        <x:v>대기</x:v>
      </x:c>
    </x:row>
    <x:row r="224" ht="15" hidden="0" customHeight="1">
      <x:c r="A224" s="798"/>
      <x:c r="B224" s="798"/>
      <x:c r="C224" s="798"/>
      <x:c r="D224" s="798"/>
      <x:c r="E224" s="798"/>
    </x:row>
    <x:row r="225" ht="24" hidden="0" customHeight="1">
      <x:c r="A225" s="798" t="str">
        <x:v>W1 Focus A Authoring</x:v>
      </x:c>
      <x:c r="B225" s="798" t="str">
        <x:v>Narrative</x:v>
      </x:c>
      <x:c r="C225" s="798" t="str">
        <x:v>D6 지나/페이/보리치 3개 전용 Focus 원고 완료.</x:v>
      </x:c>
      <x:c r="D225" s="798" t="str">
        <x:v>Full Route Anchor를 서사 장면으로 구현</x:v>
      </x:c>
      <x:c r="E225" s="798" t="str">
        <x:v>완료</x:v>
      </x:c>
    </x:row>
    <x:row r="226" ht="24" hidden="0" customHeight="1">
      <x:c r="A226" s="798" t="str">
        <x:v>W1 Focus B Authoring</x:v>
      </x:c>
      <x:c r="B226" s="798" t="str">
        <x:v>Narrative</x:v>
      </x:c>
      <x:c r="C226" s="798" t="str">
        <x:v>D7 벤자민/디야 2개 전용 Focus 원고 완료.</x:v>
      </x:c>
      <x:c r="D226" s="798" t="str">
        <x:v>공개 이후 반응 심화</x:v>
      </x:c>
      <x:c r="E226" s="798" t="str">
        <x:v>완료</x:v>
      </x:c>
    </x:row>
    <x:row r="227" ht="24" hidden="0" customHeight="1">
      <x:c r="A227" s="798" t="str">
        <x:v>Research Restore 1</x:v>
      </x:c>
      <x:c r="B227" s="798" t="str">
        <x:v>Narrative/Ship</x:v>
      </x:c>
      <x:c r="C227" s="798" t="str">
        <x:v>Research2→3: 사고 전 일반 관측기록 복구.</x:v>
      </x:c>
      <x:c r="D227" s="798" t="str">
        <x:v>W1 오아시스 기준선</x:v>
      </x:c>
      <x:c r="E227" s="798" t="str">
        <x:v>완료</x:v>
      </x:c>
    </x:row>
    <x:row r="228" ht="24" hidden="0" customHeight="1">
      <x:c r="A228" s="798" t="str">
        <x:v>Research Restore 2</x:v>
      </x:c>
      <x:c r="B228" s="798" t="str">
        <x:v>Narrative/Ship</x:v>
      </x:c>
      <x:c r="C228" s="798" t="str">
        <x:v>Research3→4: 환경센서·토양/수질 로그 복구.</x:v>
      </x:c>
      <x:c r="D228" s="798" t="str">
        <x:v>W2 시험재배 근거</x:v>
      </x:c>
      <x:c r="E228" s="798" t="str">
        <x:v>완료</x:v>
      </x:c>
    </x:row>
    <x:row r="229" ht="15" hidden="0" customHeight="1">
      <x:c r="A229" s="798" t="str">
        <x:v>Research Restore 3</x:v>
      </x:c>
      <x:c r="B229" s="798" t="str">
        <x:v>Narrative/Ship</x:v>
      </x:c>
      <x:c r="C229" s="798" t="str">
        <x:v>Research4→5: 10년 장기 표본 복구.</x:v>
      </x:c>
      <x:c r="D229" s="798" t="str">
        <x:v>W3 재점검 근거</x:v>
      </x:c>
      <x:c r="E229" s="798" t="str">
        <x:v>완료</x:v>
      </x:c>
    </x:row>
    <x:row r="230" ht="24" hidden="0" customHeight="1">
      <x:c r="A230" s="798" t="str">
        <x:v>Research Narrative Guard</x:v>
      </x:c>
      <x:c r="B230" s="798" t="str">
        <x:v>Narrative</x:v>
      </x:c>
      <x:c r="C230" s="798" t="str">
        <x:v>어느 단계도 '정착 가능' 결론을 직접 주지 않음.</x:v>
      </x:c>
      <x:c r="D230" s="798" t="str">
        <x:v>W1 기존 결론 보존</x:v>
      </x:c>
      <x:c r="E230" s="798" t="str">
        <x:v>확정</x:v>
      </x:c>
    </x:row>
    <x:row r="231" ht="24" hidden="0" customHeight="1">
      <x:c r="A231" s="798" t="str">
        <x:v>W1 Authoring</x:v>
      </x:c>
      <x:c r="B231" s="798" t="str">
        <x:v>Narrative</x:v>
      </x:c>
      <x:c r="C231" s="798" t="str">
        <x:v>핵심 Seed/Main + Focus A/B + Research Restoration 뼈대 완료.</x:v>
      </x:c>
      <x:c r="D231" s="798" t="str">
        <x:v>W1 작가용 원고 1차 닫힘</x:v>
      </x:c>
      <x:c r="E231" s="798" t="str">
        <x:v>완료</x:v>
      </x:c>
    </x:row>
    <x:row r="232" ht="36" hidden="0" customHeight="1">
      <x:c r="A232" s="798" t="str">
        <x:v>다음 단계</x:v>
      </x:c>
      <x:c r="B232" s="798" t="str">
        <x:v>W2 Narrative Authoring</x:v>
      </x:c>
      <x:c r="C232" s="798" t="str">
        <x:v>D8~14 Main/Character/Pivot/Repair/Preservation 실제 로그 원고 작성.</x:v>
      </x:c>
      <x:c r="D232" s="798" t="str">
        <x:v>W2 본격 작성</x:v>
      </x:c>
      <x:c r="E232" s="798" t="str">
        <x:v>NEXT</x:v>
      </x:c>
    </x:row>
    <x:row r="233" ht="24" hidden="0" customHeight="1">
      <x:c r="A233" s="798" t="str">
        <x:v>Runtime</x:v>
      </x:c>
      <x:c r="B233" s="798" t="str">
        <x:v>Implementation</x:v>
      </x:c>
      <x:c r="C233" s="798" t="str">
        <x:v>CSV/Unity 미변경.</x:v>
      </x:c>
      <x:c r="D233" s="798" t="str">
        <x:v>원고 닫힌 뒤 마이그레이션</x:v>
      </x:c>
      <x:c r="E233" s="798" t="str">
        <x:v>대기</x:v>
      </x:c>
    </x:row>
    <x:row r="234" ht="15" hidden="0" customHeight="1">
      <x:c r="A234" s="798"/>
      <x:c r="B234" s="798"/>
      <x:c r="C234" s="798"/>
      <x:c r="D234" s="798"/>
      <x:c r="E234" s="798"/>
    </x:row>
    <x:row r="235" ht="36" hidden="0" customHeight="1">
      <x:c r="A235" s="798" t="str">
        <x:v>W2 Narrative Authoring</x:v>
      </x:c>
      <x:c r="B235" s="798" t="str">
        <x:v>Narrative</x:v>
      </x:c>
      <x:c r="C235" s="798" t="str">
        <x:v>D8~14 핵심 Main/Character/Side/Ending 장면 실제 원고 작성.</x:v>
      </x:c>
      <x:c r="D235" s="798" t="str">
        <x:v>28_W2_NarrativeAuthoring</x:v>
      </x:c>
      <x:c r="E235" s="798" t="str">
        <x:v>완료</x:v>
      </x:c>
    </x:row>
    <x:row r="236" ht="24" hidden="0" customHeight="1">
      <x:c r="A236" s="798" t="str">
        <x:v>W2 Repair Template</x:v>
      </x:c>
      <x:c r="B236" s="798" t="str">
        <x:v>Narrative/UI</x:v>
      </x:c>
      <x:c r="C236" s="798" t="str">
        <x:v>시설 수리는 공통 2~4문장 템플릿 + 시설별 현재상태 Variant.</x:v>
      </x:c>
      <x:c r="D236" s="798" t="str">
        <x:v>반복 읽기 피로 감소</x:v>
      </x:c>
      <x:c r="E236" s="798" t="str">
        <x:v>완료</x:v>
      </x:c>
    </x:row>
    <x:row r="237" ht="24" hidden="0" customHeight="1">
      <x:c r="A237" s="798" t="str">
        <x:v>W2 Preserve Template</x:v>
      </x:c>
      <x:c r="B237" s="798" t="str">
        <x:v>Narrative/UI</x:v>
      </x:c>
      <x:c r="C237" s="798" t="str">
        <x:v>오아시스/거주지/묘지 보존 공통 소설식 템플릿 작성.</x:v>
      </x:c>
      <x:c r="D237" s="798" t="str">
        <x:v>반복행동도 책 읽는 감각 유지</x:v>
      </x:c>
      <x:c r="E237" s="798" t="str">
        <x:v>완료</x:v>
      </x:c>
    </x:row>
    <x:row r="238" ht="36" hidden="0" customHeight="1">
      <x:c r="A238" s="798" t="str">
        <x:v>Mira Emergency</x:v>
      </x:c>
      <x:c r="B238" s="798" t="str">
        <x:v>Narrative</x:v>
      </x:c>
      <x:c r="C238" s="798" t="str">
        <x:v>Mira 사건은 구조 실패/지나 희생 Branch를 사용하지 않는다. 모래폭풍 뒤 흔적 소실 → 실종 → Jay가 수색·발견. 이후 Jina 신뢰 Pivot과 시간 경쟁을 설계한다.</x:v>
      </x:c>
      <x:c r="D238" s="798" t="str">
        <x:v>기존 Canon 유지</x:v>
      </x:c>
      <x:c r="E238" s="798" t="str">
        <x:v>완료</x:v>
      </x:c>
    </x:row>
    <x:row r="239" ht="24" hidden="0" customHeight="1">
      <x:c r="A239" s="798" t="str">
        <x:v>Festival</x:v>
      </x:c>
      <x:c r="B239" s="798" t="str">
        <x:v>Narrative</x:v>
      </x:c>
      <x:c r="C239" s="798" t="str">
        <x:v>폭풍 전 즉흥 축제 2h / Will+2 후보. Diya Fork로 연결.</x:v>
      </x:c>
      <x:c r="D239" s="798" t="str">
        <x:v>삶 vs 준비 대비</x:v>
      </x:c>
      <x:c r="E239" s="798" t="str">
        <x:v>완료</x:v>
      </x:c>
    </x:row>
    <x:row r="240" ht="24" hidden="0" customHeight="1">
      <x:c r="A240" s="798" t="str">
        <x:v>Crop Test</x:v>
      </x:c>
      <x:c r="B240" s="798" t="str">
        <x:v>Narrative</x:v>
      </x:c>
      <x:c r="C240" s="798" t="str">
        <x:v>온실 작물은 일부 뿌리내리지만 '정착 가능' 결론은 주지 않음.</x:v>
      </x:c>
      <x:c r="D240" s="798" t="str">
        <x:v>Sustainability 직접 증가 없음</x:v>
      </x:c>
      <x:c r="E240" s="798" t="str">
        <x:v>완료</x:v>
      </x:c>
    </x:row>
    <x:row r="241" ht="36" hidden="0" customHeight="1">
      <x:c r="A241" s="798" t="str">
        <x:v>Sam Overnight</x:v>
      </x:c>
      <x:c r="B241" s="798" t="str">
        <x:v>Narrative</x:v>
      </x:c>
      <x:c r="C241" s="798" t="str">
        <x:v>D13 자동 Story: 온실 인력 유지 + 혼자 구조, 작업자1 사망, Greenhouse3.</x:v>
      </x:c>
      <x:c r="D241" s="798" t="str">
        <x:v>플레이어 직접 선택 아님</x:v>
      </x:c>
      <x:c r="E241" s="798" t="str">
        <x:v>완료</x:v>
      </x:c>
    </x:row>
    <x:row r="242" ht="24" hidden="0" customHeight="1">
      <x:c r="A242" s="798" t="str">
        <x:v>D14 Seal</x:v>
      </x:c>
      <x:c r="B242" s="798" t="str">
        <x:v>Narrative</x:v>
      </x:c>
      <x:c r="C242" s="798" t="str">
        <x:v>대피→거주지 비움→인원 재확인→문 봉쇄 원고.</x:v>
      </x:c>
      <x:c r="D242" s="798" t="str">
        <x:v>W3 공간전환</x:v>
      </x:c>
      <x:c r="E242" s="798" t="str">
        <x:v>완료</x:v>
      </x:c>
    </x:row>
    <x:row r="243" ht="24" hidden="0" customHeight="1">
      <x:c r="A243" s="798" t="str">
        <x:v>W2 Character Gap</x:v>
      </x:c>
      <x:c r="B243" s="798" t="str">
        <x:v>Narrative</x:v>
      </x:c>
      <x:c r="C243" s="798" t="str">
        <x:v>일부 Optional Character/갈등회복 세부 Variant는 아직 템플릿 수준.</x:v>
      </x:c>
      <x:c r="D243" s="798" t="str">
        <x:v>W3 Final 작성 시 역회수하며 보강 가능</x:v>
      </x:c>
      <x:c r="E243" s="798" t="str">
        <x:v>TBD</x:v>
      </x:c>
    </x:row>
    <x:row r="244" ht="36" hidden="0" customHeight="1">
      <x:c r="A244" s="798" t="str">
        <x:v>다음 단계</x:v>
      </x:c>
      <x:c r="B244" s="798" t="str">
        <x:v>W3 Narrative Authoring</x:v>
      </x:c>
      <x:c r="C244" s="798" t="str">
        <x:v>D15 선언, Wave 반응, D16~18 Finals, D19 Boss/Benjamin, D20 결, D21 Ending 원고.</x:v>
      </x:c>
      <x:c r="D244" s="798" t="str">
        <x:v>클라이맥스 작성</x:v>
      </x:c>
      <x:c r="E244" s="798" t="str">
        <x:v>NEXT</x:v>
      </x:c>
    </x:row>
    <x:row r="245" ht="24" hidden="0" customHeight="1">
      <x:c r="A245" s="798" t="str">
        <x:v>CSV Migration</x:v>
      </x:c>
      <x:c r="B245" s="798" t="str">
        <x:v>Implementation</x:v>
      </x:c>
      <x:c r="C245" s="798" t="str">
        <x:v>아직 미변경.</x:v>
      </x:c>
      <x:c r="D245" s="798" t="str">
        <x:v>W3/Ending 원고 닫힌 뒤 진행</x:v>
      </x:c>
      <x:c r="E245" s="798" t="str">
        <x:v>대기</x:v>
      </x:c>
    </x:row>
    <x:row r="246" ht="15" hidden="0" customHeight="1">
      <x:c r="A246" s="798"/>
      <x:c r="B246" s="798"/>
      <x:c r="C246" s="798"/>
      <x:c r="D246" s="798"/>
      <x:c r="E246" s="798"/>
    </x:row>
    <x:row r="247" ht="15" hidden="0" customHeight="1">
      <x:c r="A247" s="798"/>
      <x:c r="B247" s="798"/>
      <x:c r="C247" s="798"/>
      <x:c r="D247" s="798"/>
      <x:c r="E247" s="798"/>
    </x:row>
    <x:row r="248" ht="15" hidden="0" customHeight="1">
      <x:c r="A248" s="798"/>
      <x:c r="B248" s="798"/>
      <x:c r="C248" s="798"/>
      <x:c r="D248" s="798"/>
      <x:c r="E248" s="798"/>
    </x:row>
    <x:row r="249" ht="36" hidden="0" customHeight="1">
      <x:c r="A249" s="798" t="str">
        <x:v>W3 Narrative Authoring</x:v>
      </x:c>
      <x:c r="B249" s="798" t="str">
        <x:v>Narrative</x:v>
      </x:c>
      <x:c r="C249" s="798" t="str">
        <x:v>D15~21 핵심 Main/Final/Boss/Epilogue 실제 원고 29개 작성.</x:v>
      </x:c>
      <x:c r="D249" s="798" t="str">
        <x:v>29_W3_NarrativeAuthoring</x:v>
      </x:c>
      <x:c r="E249" s="798" t="str">
        <x:v>완료</x:v>
      </x:c>
    </x:row>
    <x:row r="250" ht="30" hidden="0" customHeight="1">
      <x:c r="A250" s="807" t="str">
        <x:v>W3 Emergency UI</x:v>
      </x:c>
      <x:c r="B250" s="807" t="str">
        <x:v>Narrative/UI</x:v>
      </x:c>
      <x:c r="C250" s="807" t="str">
        <x:v>함교/엔진/산소/연구/온실/거주/냉동 공통 선택 문구 작성.</x:v>
      </x:c>
      <x:c r="D250" s="807" t="str">
        <x:v>시설별 반복문체 통일</x:v>
      </x:c>
      <x:c r="E250" s="807" t="str">
        <x:v>완료</x:v>
      </x:c>
    </x:row>
    <x:row r="251" ht="36" hidden="0" customHeight="1">
      <x:c r="A251" s="798" t="str">
        <x:v>Sam Final</x:v>
      </x:c>
      <x:c r="B251" s="798" t="str">
        <x:v>Narrative</x:v>
      </x:c>
      <x:c r="C251" s="798" t="str">
        <x:v>D16: 선장은 배의 실행가능성까지 책임지고 사람의 답은 대신 결정하지 않음.</x:v>
      </x:c>
      <x:c r="D251" s="798" t="str">
        <x:v>LEAVE 유지</x:v>
      </x:c>
      <x:c r="E251" s="798" t="str">
        <x:v>완료</x:v>
      </x:c>
    </x:row>
    <x:row r="252" ht="15" hidden="0" customHeight="1">
      <x:c r="A252" s="798" t="str">
        <x:v>Jina Final</x:v>
      </x:c>
      <x:c r="B252" s="798" t="str">
        <x:v>Narrative</x:v>
      </x:c>
      <x:c r="C252" s="798" t="str">
        <x:v>D17: '찬성은 못 해도 막진 않겠다'.</x:v>
      </x:c>
      <x:c r="D252" s="798" t="str">
        <x:v>STAY→UNDECIDED</x:v>
      </x:c>
      <x:c r="E252" s="798" t="str">
        <x:v>완료</x:v>
      </x:c>
    </x:row>
    <x:row r="253" ht="24" hidden="0" customHeight="1">
      <x:c r="A253" s="798" t="str">
        <x:v>Borichi Final</x:v>
      </x:c>
      <x:c r="B253" s="798" t="str">
        <x:v>Narrative</x:v>
      </x:c>
      <x:c r="C253" s="798" t="str">
        <x:v>D18: 과거 결론은 당시 맞았고 조건이 바뀐 것. 개인 LEAVE 유지.</x:v>
      </x:c>
      <x:c r="D253" s="798" t="str">
        <x:v>Hidden 억지 STAY 금지</x:v>
      </x:c>
      <x:c r="E253" s="798" t="str">
        <x:v>완료</x:v>
      </x:c>
    </x:row>
    <x:row r="254" ht="15" hidden="0" customHeight="1">
      <x:c r="A254" s="798" t="str">
        <x:v>Diya Final</x:v>
      </x:c>
      <x:c r="B254" s="798" t="str">
        <x:v>Narrative</x:v>
      </x:c>
      <x:c r="C254" s="798" t="str">
        <x:v>True/Hidden 2 Variant 실제 원고.</x:v>
      </x:c>
      <x:c r="D254" s="798" t="str">
        <x:v>UNDECIDED / STAY</x:v>
      </x:c>
      <x:c r="E254" s="798" t="str">
        <x:v>완료</x:v>
      </x:c>
    </x:row>
    <x:row r="255" ht="30" hidden="0" customHeight="1">
      <x:c r="A255" s="807" t="str">
        <x:v>Faye Final</x:v>
      </x:c>
      <x:c r="B255" s="807" t="str">
        <x:v>Narrative</x:v>
      </x:c>
      <x:c r="C255" s="807" t="str">
        <x:v>함교+엔진≥1+Link 조건 전자음악 공연 실제 원고.</x:v>
      </x:c>
      <x:c r="D255" s="807" t="str">
        <x:v>Will+3 / LEAVE</x:v>
      </x:c>
      <x:c r="E255" s="807" t="str">
        <x:v>완료</x:v>
      </x:c>
    </x:row>
    <x:row r="256" ht="24" hidden="0" customHeight="1">
      <x:c r="A256" s="798" t="str">
        <x:v>Benjamin Final</x:v>
      </x:c>
      <x:c r="B256" s="798" t="str">
        <x:v>Narrative</x:v>
      </x:c>
      <x:c r="C256" s="798" t="str">
        <x:v>D19 행동 절정 + D20 의미 결론 실제 원고.</x:v>
      </x:c>
      <x:c r="D256" s="798" t="str">
        <x:v>Will+3 / Stance Variant</x:v>
      </x:c>
      <x:c r="E256" s="798" t="str">
        <x:v>완료</x:v>
      </x:c>
    </x:row>
    <x:row r="257" ht="30" hidden="0" customHeight="1">
      <x:c r="A257" s="807" t="str">
        <x:v>Ending Narrative</x:v>
      </x:c>
      <x:c r="B257" s="807" t="str">
        <x:v>Narrative</x:v>
      </x:c>
      <x:c r="C257" s="807" t="str">
        <x:v>Bad1~4 / Normal1~3 / True / Hidden 결과 원고 작성.</x:v>
      </x:c>
      <x:c r="D257" s="807" t="str">
        <x:v>30_EndingNarrative</x:v>
      </x:c>
      <x:c r="E257" s="807" t="str">
        <x:v>완료</x:v>
      </x:c>
    </x:row>
    <x:row r="258" ht="24" hidden="0" customHeight="1">
      <x:c r="A258" s="798" t="str">
        <x:v>Bad4 Status</x:v>
      </x:c>
      <x:c r="B258" s="798" t="str">
        <x:v>Ending</x:v>
      </x:c>
      <x:c r="C258" s="798" t="str">
        <x:v>현재 Workbook 정의(공동체 기능 붕괴)를 기준으로 원고 초안 작성.</x:v>
      </x:c>
      <x:c r="D258" s="798" t="str">
        <x:v>제목/정확 Trigger는 TEMP 후보 유지</x:v>
      </x:c>
      <x:c r="E258" s="798" t="str">
        <x:v>TEMP</x:v>
      </x:c>
    </x:row>
    <x:row r="259" ht="24" hidden="0" customHeight="1">
      <x:c r="A259" s="798" t="str">
        <x:v>Sam Collapse</x:v>
      </x:c>
      <x:c r="B259" s="798" t="str">
        <x:v>Balance/Narrative</x:v>
      </x:c>
      <x:c r="C259" s="798" t="str">
        <x:v>기본4h 원고는 작성. 고스탯1h의 정확 Stat/Will 수치 미확정.</x:v>
      </x:c>
      <x:c r="D259" s="798" t="str">
        <x:v>Narrative만 확정</x:v>
      </x:c>
      <x:c r="E259" s="798" t="str">
        <x:v>TBD</x:v>
      </x:c>
    </x:row>
    <x:row r="260" ht="36" hidden="0" customHeight="1">
      <x:c r="A260" s="798" t="str">
        <x:v>Emergency Legacy</x:v>
      </x:c>
      <x:c r="B260" s="798" t="str">
        <x:v>Cleanup</x:v>
      </x:c>
      <x:c r="C260" s="798" t="str">
        <x:v>10_EmergencyDesign의 전문가 희생 구버전 블록을 HISTORICAL/폐기로 명시.</x:v>
      </x:c>
      <x:c r="D260" s="798" t="str">
        <x:v>v1.1과 충돌 제거</x:v>
      </x:c>
      <x:c r="E260" s="798" t="str">
        <x:v>완료</x:v>
      </x:c>
    </x:row>
    <x:row r="261" ht="48" hidden="0" customHeight="1">
      <x:c r="A261" s="798" t="str">
        <x:v>다음 단계</x:v>
      </x:c>
      <x:c r="B261" s="798" t="str">
        <x:v>Narrative QA</x:v>
      </x:c>
      <x:c r="C261" s="798" t="str">
        <x:v>D1~21 전체를 하루순으로 읽어 Voice/중복/시간/정보공개를 검수하고 Writer Authoring 형식으로 통합.</x:v>
      </x:c>
      <x:c r="D261" s="798" t="str">
        <x:v>런타임 전 마지막 원고 검수</x:v>
      </x:c>
      <x:c r="E261" s="798" t="str">
        <x:v>NEXT</x:v>
      </x:c>
    </x:row>
    <x:row r="262" ht="24" hidden="0" customHeight="1">
      <x:c r="A262" s="798" t="str">
        <x:v>CSV/Unity</x:v>
      </x:c>
      <x:c r="B262" s="798" t="str">
        <x:v>Implementation</x:v>
      </x:c>
      <x:c r="C262" s="798" t="str">
        <x:v>아직 미변경.</x:v>
      </x:c>
      <x:c r="D262" s="798" t="str">
        <x:v>Narrative QA 뒤 마이그레이션</x:v>
      </x:c>
      <x:c r="E262" s="798" t="str">
        <x:v>대기</x:v>
      </x:c>
    </x:row>
    <x:row r="263">
      <x:c r="A263" s="14"/>
      <x:c r="B263" s="14"/>
      <x:c r="C263" s="14"/>
      <x:c r="D263" s="14"/>
      <x:c r="E263" s="14"/>
    </x:row>
    <x:row r="264">
      <x:c r="A264" s="14" t="str">
        <x:v>Character Quest Unlock v2.1</x:v>
      </x:c>
      <x:c r="B264" s="14" t="str">
        <x:v>Narrative</x:v>
      </x:c>
      <x:c r="C264" s="14" t="str">
        <x:v>Day2 일괄 Character Quest OFFER 폐기.</x:v>
      </x:c>
      <x:c r="D264" s="14" t="str">
        <x:v>Benjamin만 D1에서 시작 가능</x:v>
      </x:c>
      <x:c r="E264" s="14" t="str">
        <x:v>확정</x:v>
      </x:c>
    </x:row>
    <x:row r="265">
      <x:c r="A265" s="14" t="str">
        <x:v>Sam Unlock</x:v>
      </x:c>
      <x:c r="B265" s="14" t="str">
        <x:v>Narrative</x:v>
      </x:c>
      <x:c r="C265" s="14" t="str">
        <x:v>D3 + 오아시스 조사 Main ACTIVE 이후.</x:v>
      </x:c>
      <x:c r="D265" s="14" t="str">
        <x:v>책임 부담이 Main에서 드러난 뒤 시작</x:v>
      </x:c>
      <x:c r="E265" s="14" t="str">
        <x:v>확정</x:v>
      </x:c>
    </x:row>
    <x:row r="266">
      <x:c r="A266" s="14" t="str">
        <x:v>Borichi Unlock</x:v>
      </x:c>
      <x:c r="B266" s="14" t="str">
        <x:v>Narrative</x:v>
      </x:c>
      <x:c r="C266" s="14" t="str">
        <x:v>D3 + D2 기록 Seed + 조사 Main ACTIVE 이후.</x:v>
      </x:c>
      <x:c r="D266" s="14" t="str">
        <x:v>과잉 확인 습관→조사 압박</x:v>
      </x:c>
      <x:c r="E266" s="14" t="str">
        <x:v>확정</x:v>
      </x:c>
    </x:row>
    <x:row r="267">
      <x:c r="A267" s="14" t="str">
        <x:v>Jina Unlock</x:v>
      </x:c>
      <x:c r="B267" s="14" t="str">
        <x:v>Narrative</x:v>
      </x:c>
      <x:c r="C267" s="14" t="str">
        <x:v>D4 + D2 시간차 Seed 이후.</x:v>
      </x:c>
      <x:c r="D267" s="14" t="str">
        <x:v>재회→시간차→과거 Jay</x:v>
      </x:c>
      <x:c r="E267" s="14" t="str">
        <x:v>확정</x:v>
      </x:c>
    </x:row>
    <x:row r="268">
      <x:c r="A268" s="14" t="str">
        <x:v>Faye Unlock</x:v>
      </x:c>
      <x:c r="B268" s="14" t="str">
        <x:v>Narrative</x:v>
      </x:c>
      <x:c r="C268" s="14" t="str">
        <x:v>D4 + D2 작업 Seed 이후.</x:v>
      </x:c>
      <x:c r="D268" s="14" t="str">
        <x:v>기술자 일상→음악/쓸모없는 것</x:v>
      </x:c>
      <x:c r="E268" s="14" t="str">
        <x:v>확정</x:v>
      </x:c>
    </x:row>
    <x:row r="269">
      <x:c r="A269" s="14" t="str">
        <x:v>Diya Unlock</x:v>
      </x:c>
      <x:c r="B269" s="14" t="str">
        <x:v>Narrative</x:v>
      </x:c>
      <x:c r="C269" s="14" t="str">
        <x:v>D5 + D2 집 Seed 이후.</x:v>
      </x:c>
      <x:c r="D269" s="14" t="str">
        <x:v>생활공간→집의 의미</x:v>
      </x:c>
      <x:c r="E269" s="14" t="str">
        <x:v>확정</x:v>
      </x:c>
    </x:row>
    <x:row r="270">
      <x:c r="A270" s="14" t="str">
        <x:v>Runtime Time Granularity</x:v>
      </x:c>
      <x:c r="B270" s="14" t="str">
        <x:v>System</x:v>
      </x:c>
      <x:c r="C270" s="14" t="str">
        <x:v>현재 Prototype04FlowRuntime TimeDelta=int.</x:v>
      </x:c>
      <x:c r="D270" s="14" t="str">
        <x:v>1.5h 초안은 통합 중 2h TEMP; 밸런스 후 재검토</x:v>
      </x:c>
      <x:c r="E270" s="14" t="str">
        <x:v>TEMP</x:v>
      </x:c>
    </x:row>
    <x:row r="271">
      <x:c r="A271" s="14" t="str">
        <x:v>D2 Migration</x:v>
      </x:c>
      <x:c r="B271" s="14" t="str">
        <x:v>Implementation</x:v>
      </x:c>
      <x:c r="C271" s="14" t="str">
        <x:v>D2 관계/Activity/야간조 Seed를 Master에 이식.</x:v>
      </x:c>
      <x:c r="D271" s="14" t="str">
        <x:v>Narrative UX v2.1 준수</x:v>
      </x:c>
      <x:c r="E271" s="14" t="str">
        <x:v>완료</x:v>
      </x:c>
    </x:row>
    <x:row r="272">
      <x:c r="A272" s="14" t="str">
        <x:v>W1 Migration v3.2</x:v>
      </x:c>
      <x:c r="B272" s="14" t="str">
        <x:v>Implementation</x:v>
      </x:c>
      <x:c r="C272" s="14" t="str">
        <x:v>D1~D7 Narrative를 실제 Master 구조로 이식 완료.</x:v>
      </x:c>
      <x:c r="D272" s="14" t="str">
        <x:v>SandPlanet_Master_W1_NarrativeUX_v3.2_runtime_ready.xlsx</x:v>
      </x:c>
      <x:c r="E272" s="14" t="str">
        <x:v>완료</x:v>
      </x:c>
    </x:row>
    <x:row r="273">
      <x:c r="A273" s="14" t="str">
        <x:v>Investigation Main</x:v>
      </x:c>
      <x:c r="B273" s="14" t="str">
        <x:v>Narrative/System</x:v>
      </x:c>
      <x:c r="C273" s="14" t="str">
        <x:v>D3 관찰→D4 가설→D5 검증→D6 보고의 4 Quest Step.</x:v>
      </x:c>
      <x:c r="D273" s="14" t="str">
        <x:v>D7 공개와 분리</x:v>
      </x:c>
      <x:c r="E273" s="14" t="str">
        <x:v>완료</x:v>
      </x:c>
    </x:row>
    <x:row r="274">
      <x:c r="A274" s="14" t="str">
        <x:v>D3 Observation</x:v>
      </x:c>
      <x:c r="B274" s="14" t="str">
        <x:v>Narrative</x:v>
      </x:c>
      <x:c r="C274" s="14" t="str">
        <x:v>지질 / 보리치 기록 / 디야 생활 변화 3 경로.</x:v>
      </x:c>
      <x:c r="D274" s="14" t="str">
        <x:v>한 경로 완료 시 Step 진행</x:v>
      </x:c>
      <x:c r="E274" s="14" t="str">
        <x:v>완료</x:v>
      </x:c>
    </x:row>
    <x:row r="275">
      <x:c r="A275" s="14" t="str">
        <x:v>D4 Hypothesis</x:v>
      </x:c>
      <x:c r="B275" s="14" t="str">
        <x:v>Narrative</x:v>
      </x:c>
      <x:c r="C275" s="14" t="str">
        <x:v>강인함 / 기술 / 교감 3 접근.</x:v>
      </x:c>
      <x:c r="D275" s="14" t="str">
        <x:v>즉시 결과만 Hover</x:v>
      </x:c>
      <x:c r="E275" s="14" t="str">
        <x:v>완료</x:v>
      </x:c>
    </x:row>
    <x:row r="276">
      <x:c r="A276" s="14" t="str">
        <x:v>D5 Verification</x:v>
      </x:c>
      <x:c r="B276" s="14" t="str">
        <x:v>Narrative</x:v>
      </x:c>
      <x:c r="C276" s="14" t="str">
        <x:v>기술4 2h 빠른 확인 / 기본 3h 확인.</x:v>
      </x:c>
      <x:c r="D276" s="14" t="str">
        <x:v>결론은 동일</x:v>
      </x:c>
      <x:c r="E276" s="14" t="str">
        <x:v>완료</x:v>
      </x:c>
    </x:row>
    <x:row r="277">
      <x:c r="A277" s="14" t="str">
        <x:v>D6 Report</x:v>
      </x:c>
      <x:c r="B277" s="14" t="str">
        <x:v>Narrative</x:v>
      </x:c>
      <x:c r="C277" s="14" t="str">
        <x:v>출항 준비 강조 vs '현재 조건에서는' caveat.</x:v>
      </x:c>
      <x:c r="D277" s="14" t="str">
        <x:v>행성 전체 불가능 판정 금지</x:v>
      </x:c>
      <x:c r="E277" s="14" t="str">
        <x:v>완료</x:v>
      </x:c>
    </x:row>
    <x:row r="278">
      <x:c r="A278" s="14" t="str">
        <x:v>D6 Focus A</x:v>
      </x:c>
      <x:c r="B278" s="14" t="str">
        <x:v>Route</x:v>
      </x:c>
      <x:c r="C278" s="14" t="str">
        <x:v>지나/페이/보리치 중 1명.</x:v>
      </x:c>
      <x:c r="D278" s="14" t="str">
        <x:v>Final 접근이 아니라 Mastery Anchor</x:v>
      </x:c>
      <x:c r="E278" s="14" t="str">
        <x:v>완료</x:v>
      </x:c>
    </x:row>
    <x:row r="279">
      <x:c r="A279" s="14" t="str">
        <x:v>D7 Disclosure</x:v>
      </x:c>
      <x:c r="B279" s="14" t="str">
        <x:v>Narrative</x:v>
      </x:c>
      <x:c r="C279" s="14" t="str">
        <x:v>전면 공개 vs 단계 공개.</x:v>
      </x:c>
      <x:c r="D279" s="14" t="str">
        <x:v>기존 LIMITED ID는 유지하되 의미 정교화</x:v>
      </x:c>
      <x:c r="E279" s="14" t="str">
        <x:v>완료</x:v>
      </x:c>
    </x:row>
    <x:row r="280">
      <x:c r="A280" s="14" t="str">
        <x:v>D7 Focus B</x:v>
      </x:c>
      <x:c r="B280" s="14" t="str">
        <x:v>Route</x:v>
      </x:c>
      <x:c r="C280" s="14" t="str">
        <x:v>벤자민/디야 중 1명. 공개 완료 후만 노출.</x:v>
      </x:c>
      <x:c r="D280" s="14" t="str">
        <x:v>Mastery Anchor</x:v>
      </x:c>
      <x:c r="E280" s="14" t="str">
        <x:v>완료</x:v>
      </x:c>
    </x:row>
    <x:row r="281">
      <x:c r="A281" s="14" t="str">
        <x:v>Research Restoration</x:v>
      </x:c>
      <x:c r="B281" s="14" t="str">
        <x:v>System/Narrative</x:v>
      </x:c>
      <x:c r="C281" s="14" t="str">
        <x:v>3단계 복구 선택 실제 데이터화.</x:v>
      </x:c>
      <x:c r="D281" s="14" t="str">
        <x:v>Facility Integrity 구현 전 INT State proxy</x:v>
      </x:c>
      <x:c r="E281" s="14" t="str">
        <x:v>TEMP</x:v>
      </x:c>
    </x:row>
    <x:row r="282">
      <x:c r="A282" s="14" t="str">
        <x:v>Character Unlock</x:v>
      </x:c>
      <x:c r="B282" s="14" t="str">
        <x:v>Narrative</x:v>
      </x:c>
      <x:c r="C282" s="14" t="str">
        <x:v>Benjamin D1 / Sam·Bor D3 / Jina·Faye D4 / Diya D5.</x:v>
      </x:c>
      <x:c r="D282" s="14" t="str">
        <x:v>Day2 일괄 OFFER 없음</x:v>
      </x:c>
      <x:c r="E282" s="14" t="str">
        <x:v>완료</x:v>
      </x:c>
    </x:row>
    <x:row r="283">
      <x:c r="A283" s="14" t="str">
        <x:v>W1 QA</x:v>
      </x:c>
      <x:c r="B283" s="14" t="str">
        <x:v>QA</x:v>
      </x:c>
      <x:c r="C283" s="14" t="str">
        <x:v>대사·내레이션 혼합 / Day2 조기 OFFER / 중복 ChoiceID / 미정 Speaker 검사.</x:v>
      </x:c>
      <x:c r="D283" s="14" t="str">
        <x:v>전부 0건</x:v>
      </x:c>
      <x:c r="E283" s="14" t="str">
        <x:v>PASS</x:v>
      </x:c>
    </x:row>
  </x:sheetData>
  <x:mergeCells>
    <x:mergeCell ref="A1:E1"/>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8" hidden="0" customWidth="1"/>
    <x:col min="3" max="3" width="9" hidden="0" customWidth="1"/>
    <x:col min="4" max="4" width="34" hidden="0" customWidth="1"/>
    <x:col min="5" max="5" width="15" hidden="0" customWidth="1"/>
    <x:col min="6" max="6" width="16" hidden="0" customWidth="1"/>
    <x:col min="7" max="7" width="20" hidden="0" customWidth="1"/>
    <x:col min="8" max="8" width="10" hidden="0" customWidth="1"/>
    <x:col min="9" max="9" width="9" hidden="0" customWidth="1"/>
    <x:col min="10" max="10" width="14" hidden="0" customWidth="1"/>
    <x:col min="11" max="11" width="19" hidden="0" customWidth="1"/>
    <x:col min="12" max="12" width="32" hidden="0" customWidth="1"/>
    <x:col min="13" max="13" width="34" hidden="0" customWidth="1"/>
    <x:col min="14" max="14" width="15" hidden="0" customWidth="1"/>
    <x:col min="15" max="15" width="15" hidden="0" customWidth="1"/>
    <x:col min="16" max="16" width="16" hidden="0" customWidth="1"/>
    <x:col min="17" max="17" width="40" hidden="0" customWidth="1"/>
    <x:col min="19" max="19" width="7" hidden="0" customWidth="1"/>
    <x:col min="20" max="20" width="11" hidden="0" customWidth="1"/>
    <x:col min="21" max="21" width="11" hidden="0" customWidth="1"/>
    <x:col min="22" max="22" width="10" hidden="0" customWidth="1"/>
    <x:col min="23" max="23" width="10" hidden="0" customWidth="1"/>
    <x:col min="24" max="24" width="9" hidden="0" customWidth="1"/>
    <x:col min="25" max="25" width="11" hidden="0" customWidth="1"/>
    <x:col min="26" max="26" width="10" hidden="0" customWidth="1"/>
    <x:col min="27" max="27" width="10" hidden="0" customWidth="1"/>
    <x:col min="29" max="29" width="7" hidden="0" customWidth="1"/>
    <x:col min="30" max="30" width="11" hidden="0" customWidth="1"/>
    <x:col min="31" max="31" width="10" hidden="0" customWidth="1"/>
    <x:col min="32" max="32" width="11" hidden="0" customWidth="1"/>
    <x:col min="33" max="33" width="10" hidden="0" customWidth="1"/>
    <x:col min="34" max="34" width="12" hidden="0" customWidth="1"/>
    <x:col min="35" max="35" width="13" hidden="0" customWidth="1"/>
    <x:col min="36" max="36" width="11" hidden="0" customWidth="1"/>
    <x:col min="37" max="37" width="10" hidden="0" customWidth="1"/>
    <x:col min="38" max="38" width="10" hidden="0" customWidth="1"/>
    <x:col min="39" max="39" width="18" hidden="0" customWidth="1"/>
  </x:cols>
  <x:sheetData>
    <x:row r="1" ht="30" hidden="0" customHeight="1">
      <x:c r="A1" s="843" t="str">
        <x:v>Day 1~14 Action Budget — 콘텐츠 압력 테스트 v0.2</x:v>
      </x:c>
      <x:c r="B1" s="843"/>
      <x:c r="C1" s="843"/>
      <x:c r="D1" s="843"/>
      <x:c r="E1" s="843"/>
      <x:c r="F1" s="843"/>
      <x:c r="G1" s="843"/>
      <x:c r="H1" s="843"/>
      <x:c r="I1" s="843"/>
      <x:c r="J1" s="843"/>
      <x:c r="K1" s="843"/>
      <x:c r="L1" s="843"/>
      <x:c r="M1" s="843"/>
      <x:c r="N1" s="843"/>
      <x:c r="O1" s="843"/>
      <x:c r="P1" s="843"/>
      <x:c r="Q1" s="843"/>
    </x:row>
    <x:row r="2" ht="42" hidden="0" customHeight="1">
      <x:c r="A2" s="846" t="str">
        <x:v>목적: 실제 밸런스 확정 전, 하루 14시간 안에서 Main / Character / 수송선 / 행성 보존 / 성장 콘텐츠가 얼마나 경쟁하는지 확인한다. 시간·Will·수리량은 모두 TEMP 러프 값. W1과 W2를 나란히 비교하되, W2 압력비는 모든 후보가 동시에 노출된 '상한 압력'이다.</x:v>
      </x:c>
      <x:c r="B2" s="846"/>
      <x:c r="C2" s="846"/>
      <x:c r="D2" s="846"/>
      <x:c r="E2" s="846"/>
      <x:c r="F2" s="846"/>
      <x:c r="G2" s="846"/>
      <x:c r="H2" s="846"/>
      <x:c r="I2" s="846"/>
      <x:c r="J2" s="846"/>
      <x:c r="K2" s="846"/>
      <x:c r="L2" s="846"/>
      <x:c r="M2" s="846"/>
      <x:c r="N2" s="846"/>
      <x:c r="O2" s="846"/>
      <x:c r="P2" s="846"/>
      <x:c r="Q2" s="846"/>
    </x:row>
    <x:row r="3" ht="15" hidden="0" customHeight="1">
      <x:c r="A3" s="825"/>
      <x:c r="B3" s="825"/>
      <x:c r="C3" s="825"/>
      <x:c r="D3" s="825"/>
      <x:c r="E3" s="825"/>
      <x:c r="F3" s="825"/>
      <x:c r="G3" s="825"/>
      <x:c r="H3" s="825"/>
      <x:c r="I3" s="825"/>
      <x:c r="J3" s="825"/>
      <x:c r="K3" s="825"/>
      <x:c r="L3" s="825"/>
      <x:c r="M3" s="825"/>
      <x:c r="N3" s="825"/>
      <x:c r="O3" s="825"/>
      <x:c r="P3" s="825"/>
      <x:c r="Q3" s="825"/>
      <x:c r="S3" s="57" t="str">
        <x:v>Week 2 압력 요약 (TEMP)</x:v>
      </x:c>
      <x:c r="T3" s="57"/>
      <x:c r="U3" s="57"/>
      <x:c r="V3" s="57"/>
      <x:c r="W3" s="57"/>
      <x:c r="X3" s="57"/>
      <x:c r="Y3" s="57"/>
      <x:c r="Z3" s="57"/>
      <x:c r="AA3" s="57"/>
      <x:c r="AC3" s="74" t="str">
        <x:v>Week 3 계획부하 vs Emergency Buffer (TEMP)</x:v>
      </x:c>
      <x:c r="AD3" s="74"/>
      <x:c r="AE3" s="74"/>
      <x:c r="AF3" s="74"/>
      <x:c r="AG3" s="74"/>
      <x:c r="AH3" s="74"/>
      <x:c r="AI3" s="74"/>
      <x:c r="AJ3" s="74"/>
      <x:c r="AK3" s="74"/>
      <x:c r="AL3" s="74"/>
      <x:c r="AM3" s="74"/>
    </x:row>
    <x:row r="4" ht="30" hidden="0" customHeight="1">
      <x:c r="A4" s="849" t="str">
        <x:v>Day</x:v>
      </x:c>
      <x:c r="B4" s="849" t="str">
        <x:v>고정 필수</x:v>
      </x:c>
      <x:c r="C4" s="849" t="str">
        <x:v>기한내필수</x:v>
      </x:c>
      <x:c r="D4" s="849" t="str">
        <x:v>조건부</x:v>
      </x:c>
      <x:c r="E4" s="849" t="str">
        <x:v>선택</x:v>
      </x:c>
      <x:c r="F4" s="849" t="str">
        <x:v>고정 후 가용시간</x:v>
      </x:c>
      <x:c r="G4" s="849" t="str">
        <x:v>선택 후보시간</x:v>
      </x:c>
      <x:c r="H4" s="849" t="str">
        <x:v>압력비</x:v>
      </x:c>
      <x:c r="I4" s="849" t="str">
        <x:v>판정</x:v>
      </x:c>
      <x:c r="J4" s="849"/>
      <x:c r="K4" s="849"/>
      <x:c r="L4" s="849"/>
      <x:c r="M4" s="849"/>
      <x:c r="N4" s="849"/>
      <x:c r="O4" s="849"/>
      <x:c r="P4" s="849"/>
      <x:c r="Q4" s="849"/>
      <x:c r="S4" s="58" t="str">
        <x:v>Day</x:v>
      </x:c>
      <x:c r="T4" s="58" t="str">
        <x:v>고정 필수</x:v>
      </x:c>
      <x:c r="U4" s="58" t="str">
        <x:v>기한내필수</x:v>
      </x:c>
      <x:c r="V4" s="58" t="str">
        <x:v>조건부</x:v>
      </x:c>
      <x:c r="W4" s="58" t="str">
        <x:v>선택</x:v>
      </x:c>
      <x:c r="X4" s="58" t="str">
        <x:v>가용</x:v>
      </x:c>
      <x:c r="Y4" s="58" t="str">
        <x:v>후보시간</x:v>
      </x:c>
      <x:c r="Z4" s="58" t="str">
        <x:v>압력비</x:v>
      </x:c>
      <x:c r="AA4" s="58" t="str">
        <x:v>판정</x:v>
      </x:c>
      <x:c r="AC4" s="73" t="str">
        <x:v>Day</x:v>
      </x:c>
      <x:c r="AD4" s="73" t="str">
        <x:v>고정 스토리</x:v>
      </x:c>
      <x:c r="AE4" s="73" t="str">
        <x:v>기한내</x:v>
      </x:c>
      <x:c r="AF4" s="73" t="str">
        <x:v>선택/조건</x:v>
      </x:c>
      <x:c r="AG4" s="73" t="str">
        <x:v>계획합</x:v>
      </x:c>
      <x:c r="AH4" s="73" t="str">
        <x:v>계획 후 여유</x:v>
      </x:c>
      <x:c r="AI4" s="73" t="str">
        <x:v>Emergency 후보</x:v>
      </x:c>
      <x:c r="AJ4" s="73" t="str">
        <x:v>권장 버퍼</x:v>
      </x:c>
      <x:c r="AK4" s="73" t="str">
        <x:v>버퍼 차이</x:v>
      </x:c>
      <x:c r="AL4" s="73" t="str">
        <x:v>판정</x:v>
      </x:c>
      <x:c r="AM4" s="73" t="str">
        <x:v>핵심 목적</x:v>
      </x:c>
    </x:row>
    <x:row r="5" ht="15" hidden="0" customHeight="1">
      <x:c r="A5" s="827" t="n">
        <x:v>1</x:v>
      </x:c>
      <x:c r="B5" s="828" t="n">
        <x:f>SUMIFS($H$15:$H$120,$B$15:$B$120,$A5,$J$15:$J$120,"필수")</x:f>
        <x:v>1</x:v>
      </x:c>
      <x:c r="C5" s="828" t="n">
        <x:f>SUMIFS($H$15:$H$120,$B$15:$B$120,$A5,$J$15:$J$120,"기한내필수")</x:f>
        <x:v>2</x:v>
      </x:c>
      <x:c r="D5" s="828" t="n">
        <x:f>SUMIFS($H$15:$H$120,$B$15:$B$120,$A5,$J$15:$J$120,"조건부")</x:f>
        <x:v>0</x:v>
      </x:c>
      <x:c r="E5" s="828" t="n">
        <x:f>SUMIFS($H$15:$H$120,$B$15:$B$120,$A5,$J$15:$J$120,"선택")</x:f>
        <x:v>4</x:v>
      </x:c>
      <x:c r="F5" s="828" t="n">
        <x:f>14-B5</x:f>
        <x:v>13</x:v>
      </x:c>
      <x:c r="G5" s="828" t="n">
        <x:f>C5+D5+E5</x:f>
        <x:v>6</x:v>
      </x:c>
      <x:c r="H5" s="829" t="n">
        <x:f>IF(F5=0,0,G5/F5)</x:f>
        <x:v>0.46153846153846156</x:v>
      </x:c>
      <x:c r="I5" s="825" t="str">
        <x:f>IF(H5&lt;=0.65,"여유",IF(H5&lt;=1,"적정",IF(H5&lt;=1.35,"빡빡","과밀")))</x:f>
        <x:v>여유</x:v>
      </x:c>
      <x:c r="J5" s="825"/>
      <x:c r="K5" s="825"/>
      <x:c r="L5" s="825"/>
      <x:c r="M5" s="825"/>
      <x:c r="N5" s="825"/>
      <x:c r="O5" s="825"/>
      <x:c r="P5" s="825"/>
      <x:c r="Q5" s="825"/>
      <x:c r="S5" s="59" t="n">
        <x:v>8</x:v>
      </x:c>
      <x:c r="T5" s="60" t="n">
        <x:f>SUMIFS($H$63:$H$121,$B$63:$B$121,S5,$J$63:$J$121,"필수")</x:f>
        <x:v>3</x:v>
      </x:c>
      <x:c r="U5" s="60" t="n">
        <x:f>SUMIFS($H$63:$H$121,$B$63:$B$121,S5,$J$63:$J$121,"기한내필수")</x:f>
        <x:v>1</x:v>
      </x:c>
      <x:c r="V5" s="60" t="n">
        <x:f>SUMIFS($H$63:$H$121,$B$63:$B$121,S5,$J$63:$J$121,"조건부")</x:f>
        <x:v>2</x:v>
      </x:c>
      <x:c r="W5" s="60" t="n">
        <x:f>SUMIFS($H$63:$H$121,$B$63:$B$121,S5,$J$63:$J$121,"선택")</x:f>
        <x:v>8</x:v>
      </x:c>
      <x:c r="X5" s="60" t="n">
        <x:f>14-T5</x:f>
        <x:v>11</x:v>
      </x:c>
      <x:c r="Y5" s="60" t="n">
        <x:f>U5+V5+W5</x:f>
        <x:v>11</x:v>
      </x:c>
      <x:c r="Z5" s="61" t="n">
        <x:f>IF(X5=0,0,Y5/X5)</x:f>
        <x:v>1</x:v>
      </x:c>
      <x:c r="AA5" s="59" t="str">
        <x:f>IF(Z5&lt;=0.65,"여유",IF(Z5&lt;=1,"적정",IF(Z5&lt;=1.35,"빡빡","과밀")))</x:f>
        <x:v>적정</x:v>
      </x:c>
      <x:c r="AC5" s="30" t="n">
        <x:v>15</x:v>
      </x:c>
      <x:c r="AD5" s="75" t="n">
        <x:f>SUMIFS($H$126:$H$167,$B$126:$B$167,AC5,$J$126:$J$167,"필수",$E$126:$E$167,"&lt;&gt;EMERGENCY")</x:f>
        <x:v>1.5</x:v>
      </x:c>
      <x:c r="AE5" s="75" t="n">
        <x:f>SUMIFS($H$126:$H$167,$B$126:$B$167,AC5,$J$126:$J$167,"기한내필수",$E$126:$E$167,"&lt;&gt;EMERGENCY")</x:f>
        <x:v>0</x:v>
      </x:c>
      <x:c r="AF5" s="75" t="n">
        <x:f>SUMIFS($H$126:$H$167,$B$126:$B$167,AC5,$J$126:$J$167,"조건부",$E$126:$E$167,"&lt;&gt;EMERGENCY")+SUMIFS($H$126:$H$167,$B$126:$B$167,AC5,$J$126:$J$167,"선택",$E$126:$E$167,"&lt;&gt;EMERGENCY")</x:f>
        <x:v>4</x:v>
      </x:c>
      <x:c r="AG5" s="75" t="n">
        <x:f>AD5+AE5+AF5</x:f>
        <x:v>5.5</x:v>
      </x:c>
      <x:c r="AH5" s="75" t="n">
        <x:f>14-AG5</x:f>
        <x:v>8.5</x:v>
      </x:c>
      <x:c r="AI5" s="75" t="n">
        <x:f>SUMIFS($H$126:$H$167,$B$126:$B$167,AC5,$E$126:$E$167,"EMERGENCY")</x:f>
        <x:v>6</x:v>
      </x:c>
      <x:c r="AJ5" s="75" t="n">
        <x:v>6</x:v>
      </x:c>
      <x:c r="AK5" s="75" t="n">
        <x:f>AH5-AJ5</x:f>
        <x:v>2.5</x:v>
      </x:c>
      <x:c r="AL5" s="30" t="str">
        <x:f>IF(AK5&gt;=2,"안정",IF(AK5&gt;=0,"가능","과계획"))</x:f>
        <x:v>안정</x:v>
      </x:c>
      <x:c r="AM5" s="30" t="str">
        <x:v>W3 학습 + 첫 위기</x:v>
      </x:c>
    </x:row>
    <x:row r="6" ht="15" hidden="0" customHeight="1">
      <x:c r="A6" s="827" t="n">
        <x:v>2</x:v>
      </x:c>
      <x:c r="B6" s="828" t="n">
        <x:f>SUMIFS($H$15:$H$120,$B$15:$B$120,$A6,$J$15:$J$120,"필수")</x:f>
        <x:v>0</x:v>
      </x:c>
      <x:c r="C6" s="828" t="n">
        <x:f>SUMIFS($H$15:$H$120,$B$15:$B$120,$A6,$J$15:$J$120,"기한내필수")</x:f>
        <x:v>4</x:v>
      </x:c>
      <x:c r="D6" s="828" t="n">
        <x:f>SUMIFS($H$15:$H$120,$B$15:$B$120,$A6,$J$15:$J$120,"조건부")</x:f>
        <x:v>0</x:v>
      </x:c>
      <x:c r="E6" s="828" t="n">
        <x:f>SUMIFS($H$15:$H$120,$B$15:$B$120,$A6,$J$15:$J$120,"선택")</x:f>
        <x:v>8</x:v>
      </x:c>
      <x:c r="F6" s="828" t="n">
        <x:f>14-B6</x:f>
        <x:v>14</x:v>
      </x:c>
      <x:c r="G6" s="828" t="n">
        <x:f>C6+D6+E6</x:f>
        <x:v>12</x:v>
      </x:c>
      <x:c r="H6" s="829" t="n">
        <x:f>IF(F6=0,0,G6/F6)</x:f>
        <x:v>0.8571428571428571</x:v>
      </x:c>
      <x:c r="I6" s="825" t="str">
        <x:f>IF(H6&lt;=0.65,"여유",IF(H6&lt;=1,"적정",IF(H6&lt;=1.35,"빡빡","과밀")))</x:f>
        <x:v>적정</x:v>
      </x:c>
      <x:c r="J6" s="825"/>
      <x:c r="K6" s="825"/>
      <x:c r="L6" s="825"/>
      <x:c r="M6" s="825"/>
      <x:c r="N6" s="825"/>
      <x:c r="O6" s="825"/>
      <x:c r="P6" s="825"/>
      <x:c r="Q6" s="825"/>
      <x:c r="S6" s="59" t="n">
        <x:v>9</x:v>
      </x:c>
      <x:c r="T6" s="60" t="n">
        <x:f>SUMIFS($H$63:$H$121,$B$63:$B$121,S6,$J$63:$J$121,"필수")</x:f>
        <x:v>2</x:v>
      </x:c>
      <x:c r="U6" s="60" t="n">
        <x:f>SUMIFS($H$63:$H$121,$B$63:$B$121,S6,$J$63:$J$121,"기한내필수")</x:f>
        <x:v>2</x:v>
      </x:c>
      <x:c r="V6" s="60" t="n">
        <x:f>SUMIFS($H$63:$H$121,$B$63:$B$121,S6,$J$63:$J$121,"조건부")</x:f>
        <x:v>0</x:v>
      </x:c>
      <x:c r="W6" s="60" t="n">
        <x:f>SUMIFS($H$63:$H$121,$B$63:$B$121,S6,$J$63:$J$121,"선택")</x:f>
        <x:v>13</x:v>
      </x:c>
      <x:c r="X6" s="60" t="n">
        <x:f>14-T6</x:f>
        <x:v>12</x:v>
      </x:c>
      <x:c r="Y6" s="60" t="n">
        <x:f>U6+V6+W6</x:f>
        <x:v>15</x:v>
      </x:c>
      <x:c r="Z6" s="61" t="n">
        <x:f>IF(X6=0,0,Y6/X6)</x:f>
        <x:v>1.25</x:v>
      </x:c>
      <x:c r="AA6" s="59" t="str">
        <x:f>IF(Z6&lt;=0.65,"여유",IF(Z6&lt;=1,"적정",IF(Z6&lt;=1.35,"빡빡","과밀")))</x:f>
        <x:v>빡빡</x:v>
      </x:c>
      <x:c r="AC6" s="30" t="n">
        <x:v>16</x:v>
      </x:c>
      <x:c r="AD6" s="75" t="n">
        <x:f>SUMIFS($H$126:$H$167,$B$126:$B$167,AC6,$J$126:$J$167,"필수",$E$126:$E$167,"&lt;&gt;EMERGENCY")</x:f>
        <x:v>1</x:v>
      </x:c>
      <x:c r="AE6" s="75" t="n">
        <x:f>SUMIFS($H$126:$H$167,$B$126:$B$167,AC6,$J$126:$J$167,"기한내필수",$E$126:$E$167,"&lt;&gt;EMERGENCY")</x:f>
        <x:v>0</x:v>
      </x:c>
      <x:c r="AF6" s="75" t="n">
        <x:f>SUMIFS($H$126:$H$167,$B$126:$B$167,AC6,$J$126:$J$167,"조건부",$E$126:$E$167,"&lt;&gt;EMERGENCY")+SUMIFS($H$126:$H$167,$B$126:$B$167,AC6,$J$126:$J$167,"선택",$E$126:$E$167,"&lt;&gt;EMERGENCY")</x:f>
        <x:v>9</x:v>
      </x:c>
      <x:c r="AG6" s="75" t="n">
        <x:f>AD6+AE6+AF6</x:f>
        <x:v>10</x:v>
      </x:c>
      <x:c r="AH6" s="75" t="n">
        <x:f>14-AG6</x:f>
        <x:v>4</x:v>
      </x:c>
      <x:c r="AI6" s="75" t="n">
        <x:f>SUMIFS($H$126:$H$167,$B$126:$B$167,AC6,$E$126:$E$167,"EMERGENCY")</x:f>
        <x:v>0</x:v>
      </x:c>
      <x:c r="AJ6" s="75" t="n">
        <x:v>5</x:v>
      </x:c>
      <x:c r="AK6" s="75" t="n">
        <x:f>AH6-AJ6</x:f>
        <x:v>-1</x:v>
      </x:c>
      <x:c r="AL6" s="30" t="str">
        <x:f>IF(AK6&gt;=2,"안정",IF(AK6&gt;=0,"가능","과계획"))</x:f>
        <x:v>과계획</x:v>
      </x:c>
      <x:c r="AM6" s="30" t="str">
        <x:v>생존 루프 정착</x:v>
      </x:c>
    </x:row>
    <x:row r="7" ht="15" hidden="0" customHeight="1">
      <x:c r="A7" s="827" t="n">
        <x:v>3</x:v>
      </x:c>
      <x:c r="B7" s="828" t="n">
        <x:f>SUMIFS($H$15:$H$120,$B$15:$B$120,$A7,$J$15:$J$120,"필수")</x:f>
        <x:v>1</x:v>
      </x:c>
      <x:c r="C7" s="828" t="n">
        <x:f>SUMIFS($H$15:$H$120,$B$15:$B$120,$A7,$J$15:$J$120,"기한내필수")</x:f>
        <x:v>3</x:v>
      </x:c>
      <x:c r="D7" s="828" t="n">
        <x:f>SUMIFS($H$15:$H$120,$B$15:$B$120,$A7,$J$15:$J$120,"조건부")</x:f>
        <x:v>0</x:v>
      </x:c>
      <x:c r="E7" s="828" t="n">
        <x:f>SUMIFS($H$15:$H$120,$B$15:$B$120,$A7,$J$15:$J$120,"선택")</x:f>
        <x:v>8</x:v>
      </x:c>
      <x:c r="F7" s="828" t="n">
        <x:f>14-B7</x:f>
        <x:v>13</x:v>
      </x:c>
      <x:c r="G7" s="828" t="n">
        <x:f>C7+D7+E7</x:f>
        <x:v>11</x:v>
      </x:c>
      <x:c r="H7" s="829" t="n">
        <x:f>IF(F7=0,0,G7/F7)</x:f>
        <x:v>0.8461538461538461</x:v>
      </x:c>
      <x:c r="I7" s="825" t="str">
        <x:f>IF(H7&lt;=0.65,"여유",IF(H7&lt;=1,"적정",IF(H7&lt;=1.35,"빡빡","과밀")))</x:f>
        <x:v>적정</x:v>
      </x:c>
      <x:c r="J7" s="825"/>
      <x:c r="K7" s="825"/>
      <x:c r="L7" s="825"/>
      <x:c r="M7" s="825"/>
      <x:c r="N7" s="825"/>
      <x:c r="O7" s="825"/>
      <x:c r="P7" s="825"/>
      <x:c r="Q7" s="825"/>
      <x:c r="S7" s="59" t="n">
        <x:v>10</x:v>
      </x:c>
      <x:c r="T7" s="60" t="n">
        <x:f>SUMIFS($H$63:$H$121,$B$63:$B$121,S7,$J$63:$J$121,"필수")</x:f>
        <x:v>2</x:v>
      </x:c>
      <x:c r="U7" s="60" t="n">
        <x:f>SUMIFS($H$63:$H$121,$B$63:$B$121,S7,$J$63:$J$121,"기한내필수")</x:f>
        <x:v>0</x:v>
      </x:c>
      <x:c r="V7" s="60" t="n">
        <x:f>SUMIFS($H$63:$H$121,$B$63:$B$121,S7,$J$63:$J$121,"조건부")</x:f>
        <x:v>3.5</x:v>
      </x:c>
      <x:c r="W7" s="60" t="n">
        <x:f>SUMIFS($H$63:$H$121,$B$63:$B$121,S7,$J$63:$J$121,"선택")</x:f>
        <x:v>12</x:v>
      </x:c>
      <x:c r="X7" s="60" t="n">
        <x:f>14-T7</x:f>
        <x:v>12</x:v>
      </x:c>
      <x:c r="Y7" s="60" t="n">
        <x:f>U7+V7+W7</x:f>
        <x:v>15.5</x:v>
      </x:c>
      <x:c r="Z7" s="61" t="n">
        <x:f>IF(X7=0,0,Y7/X7)</x:f>
        <x:v>1.2916666666666667</x:v>
      </x:c>
      <x:c r="AA7" s="59" t="str">
        <x:f>IF(Z7&lt;=0.65,"여유",IF(Z7&lt;=1,"적정",IF(Z7&lt;=1.35,"빡빡","과밀")))</x:f>
        <x:v>빡빡</x:v>
      </x:c>
      <x:c r="AC7" s="30" t="n">
        <x:v>17</x:v>
      </x:c>
      <x:c r="AD7" s="75" t="n">
        <x:f>SUMIFS($H$126:$H$167,$B$126:$B$167,AC7,$J$126:$J$167,"필수",$E$126:$E$167,"&lt;&gt;EMERGENCY")</x:f>
        <x:v>0.5</x:v>
      </x:c>
      <x:c r="AE7" s="75" t="n">
        <x:f>SUMIFS($H$126:$H$167,$B$126:$B$167,AC7,$J$126:$J$167,"기한내필수",$E$126:$E$167,"&lt;&gt;EMERGENCY")</x:f>
        <x:v>0</x:v>
      </x:c>
      <x:c r="AF7" s="75" t="n">
        <x:f>SUMIFS($H$126:$H$167,$B$126:$B$167,AC7,$J$126:$J$167,"조건부",$E$126:$E$167,"&lt;&gt;EMERGENCY")+SUMIFS($H$126:$H$167,$B$126:$B$167,AC7,$J$126:$J$167,"선택",$E$126:$E$167,"&lt;&gt;EMERGENCY")</x:f>
        <x:v>6</x:v>
      </x:c>
      <x:c r="AG7" s="75" t="n">
        <x:f>AD7+AE7+AF7</x:f>
        <x:v>6.5</x:v>
      </x:c>
      <x:c r="AH7" s="75" t="n">
        <x:f>14-AG7</x:f>
        <x:v>7.5</x:v>
      </x:c>
      <x:c r="AI7" s="75" t="n">
        <x:f>SUMIFS($H$126:$H$167,$B$126:$B$167,AC7,$E$126:$E$167,"EMERGENCY")</x:f>
        <x:v>8</x:v>
      </x:c>
      <x:c r="AJ7" s="75" t="n">
        <x:v>5</x:v>
      </x:c>
      <x:c r="AK7" s="75" t="n">
        <x:f>AH7-AJ7</x:f>
        <x:v>2.5</x:v>
      </x:c>
      <x:c r="AL7" s="30" t="str">
        <x:f>IF(AK7&gt;=2,"안정",IF(AK7&gt;=0,"가능","과계획"))</x:f>
        <x:v>안정</x:v>
      </x:c>
      <x:c r="AM7" s="30" t="str">
        <x:v>지나/샘 분기</x:v>
      </x:c>
    </x:row>
    <x:row r="8" ht="15" hidden="0" customHeight="1">
      <x:c r="A8" s="827" t="n">
        <x:v>4</x:v>
      </x:c>
      <x:c r="B8" s="828" t="n">
        <x:f>SUMIFS($H$15:$H$120,$B$15:$B$120,$A8,$J$15:$J$120,"필수")</x:f>
        <x:v>0</x:v>
      </x:c>
      <x:c r="C8" s="828" t="n">
        <x:f>SUMIFS($H$15:$H$120,$B$15:$B$120,$A8,$J$15:$J$120,"기한내필수")</x:f>
        <x:v>3</x:v>
      </x:c>
      <x:c r="D8" s="828" t="n">
        <x:f>SUMIFS($H$15:$H$120,$B$15:$B$120,$A8,$J$15:$J$120,"조건부")</x:f>
        <x:v>0</x:v>
      </x:c>
      <x:c r="E8" s="828" t="n">
        <x:f>SUMIFS($H$15:$H$120,$B$15:$B$120,$A8,$J$15:$J$120,"선택")</x:f>
        <x:v>10</x:v>
      </x:c>
      <x:c r="F8" s="828" t="n">
        <x:f>14-B8</x:f>
        <x:v>14</x:v>
      </x:c>
      <x:c r="G8" s="828" t="n">
        <x:f>C8+D8+E8</x:f>
        <x:v>13</x:v>
      </x:c>
      <x:c r="H8" s="829" t="n">
        <x:f>IF(F8=0,0,G8/F8)</x:f>
        <x:v>0.9285714285714286</x:v>
      </x:c>
      <x:c r="I8" s="825" t="str">
        <x:f>IF(H8&lt;=0.65,"여유",IF(H8&lt;=1,"적정",IF(H8&lt;=1.35,"빡빡","과밀")))</x:f>
        <x:v>적정</x:v>
      </x:c>
      <x:c r="J8" s="825"/>
      <x:c r="K8" s="825"/>
      <x:c r="L8" s="825"/>
      <x:c r="M8" s="825"/>
      <x:c r="N8" s="825"/>
      <x:c r="O8" s="825"/>
      <x:c r="P8" s="825"/>
      <x:c r="Q8" s="825"/>
      <x:c r="S8" s="59" t="n">
        <x:v>11</x:v>
      </x:c>
      <x:c r="T8" s="60" t="n">
        <x:f>SUMIFS($H$63:$H$121,$B$63:$B$121,S8,$J$63:$J$121,"필수")</x:f>
        <x:v>2</x:v>
      </x:c>
      <x:c r="U8" s="60" t="n">
        <x:f>SUMIFS($H$63:$H$121,$B$63:$B$121,S8,$J$63:$J$121,"기한내필수")</x:f>
        <x:v>0</x:v>
      </x:c>
      <x:c r="V8" s="60" t="n">
        <x:f>SUMIFS($H$63:$H$121,$B$63:$B$121,S8,$J$63:$J$121,"조건부")</x:f>
        <x:v>4</x:v>
      </x:c>
      <x:c r="W8" s="60" t="n">
        <x:f>SUMIFS($H$63:$H$121,$B$63:$B$121,S8,$J$63:$J$121,"선택")</x:f>
        <x:v>12</x:v>
      </x:c>
      <x:c r="X8" s="60" t="n">
        <x:f>14-T8</x:f>
        <x:v>12</x:v>
      </x:c>
      <x:c r="Y8" s="60" t="n">
        <x:f>U8+V8+W8</x:f>
        <x:v>16</x:v>
      </x:c>
      <x:c r="Z8" s="61" t="n">
        <x:f>IF(X8=0,0,Y8/X8)</x:f>
        <x:v>1.3333333333333333</x:v>
      </x:c>
      <x:c r="AA8" s="59" t="str">
        <x:f>IF(Z8&lt;=0.65,"여유",IF(Z8&lt;=1,"적정",IF(Z8&lt;=1.35,"빡빡","과밀")))</x:f>
        <x:v>빡빡</x:v>
      </x:c>
      <x:c r="AC8" s="30" t="n">
        <x:v>18</x:v>
      </x:c>
      <x:c r="AD8" s="75" t="n">
        <x:f>SUMIFS($H$126:$H$167,$B$126:$B$167,AC8,$J$126:$J$167,"필수",$E$126:$E$167,"&lt;&gt;EMERGENCY")</x:f>
        <x:v>0.5</x:v>
      </x:c>
      <x:c r="AE8" s="75" t="n">
        <x:f>SUMIFS($H$126:$H$167,$B$126:$B$167,AC8,$J$126:$J$167,"기한내필수",$E$126:$E$167,"&lt;&gt;EMERGENCY")</x:f>
        <x:v>0</x:v>
      </x:c>
      <x:c r="AF8" s="75" t="n">
        <x:f>SUMIFS($H$126:$H$167,$B$126:$B$167,AC8,$J$126:$J$167,"조건부",$E$126:$E$167,"&lt;&gt;EMERGENCY")+SUMIFS($H$126:$H$167,$B$126:$B$167,AC8,$J$126:$J$167,"선택",$E$126:$E$167,"&lt;&gt;EMERGENCY")</x:f>
        <x:v>13</x:v>
      </x:c>
      <x:c r="AG8" s="75" t="n">
        <x:f>AD8+AE8+AF8</x:f>
        <x:v>13.5</x:v>
      </x:c>
      <x:c r="AH8" s="75" t="n">
        <x:f>14-AG8</x:f>
        <x:v>0.5</x:v>
      </x:c>
      <x:c r="AI8" s="75" t="n">
        <x:f>SUMIFS($H$126:$H$167,$B$126:$B$167,AC8,$E$126:$E$167,"EMERGENCY")</x:f>
        <x:v>0</x:v>
      </x:c>
      <x:c r="AJ8" s="75" t="n">
        <x:v>5</x:v>
      </x:c>
      <x:c r="AK8" s="75" t="n">
        <x:f>AH8-AJ8</x:f>
        <x:v>-4.5</x:v>
      </x:c>
      <x:c r="AL8" s="30" t="str">
        <x:f>IF(AK8&gt;=2,"안정",IF(AK8&gt;=0,"가능","과계획"))</x:f>
        <x:v>과계획</x:v>
      </x:c>
      <x:c r="AM8" s="30" t="str">
        <x:v>True·Hidden 핵심 분기</x:v>
      </x:c>
    </x:row>
    <x:row r="9" ht="15" hidden="0" customHeight="1">
      <x:c r="A9" s="827" t="n">
        <x:v>5</x:v>
      </x:c>
      <x:c r="B9" s="828" t="n">
        <x:f>SUMIFS($H$15:$H$120,$B$15:$B$120,$A9,$J$15:$J$120,"필수")</x:f>
        <x:v>0</x:v>
      </x:c>
      <x:c r="C9" s="828" t="n">
        <x:f>SUMIFS($H$15:$H$120,$B$15:$B$120,$A9,$J$15:$J$120,"기한내필수")</x:f>
        <x:v>3</x:v>
      </x:c>
      <x:c r="D9" s="828" t="n">
        <x:f>SUMIFS($H$15:$H$120,$B$15:$B$120,$A9,$J$15:$J$120,"조건부")</x:f>
        <x:v>3</x:v>
      </x:c>
      <x:c r="E9" s="828" t="n">
        <x:f>SUMIFS($H$15:$H$120,$B$15:$B$120,$A9,$J$15:$J$120,"선택")</x:f>
        <x:v>8</x:v>
      </x:c>
      <x:c r="F9" s="828" t="n">
        <x:f>14-B9</x:f>
        <x:v>14</x:v>
      </x:c>
      <x:c r="G9" s="828" t="n">
        <x:f>C9+D9+E9</x:f>
        <x:v>14</x:v>
      </x:c>
      <x:c r="H9" s="829" t="n">
        <x:f>IF(F9=0,0,G9/F9)</x:f>
        <x:v>1</x:v>
      </x:c>
      <x:c r="I9" s="825" t="str">
        <x:f>IF(H9&lt;=0.65,"여유",IF(H9&lt;=1,"적정",IF(H9&lt;=1.35,"빡빡","과밀")))</x:f>
        <x:v>적정</x:v>
      </x:c>
      <x:c r="J9" s="825"/>
      <x:c r="K9" s="825"/>
      <x:c r="L9" s="825"/>
      <x:c r="M9" s="825"/>
      <x:c r="N9" s="825"/>
      <x:c r="O9" s="825"/>
      <x:c r="P9" s="825"/>
      <x:c r="Q9" s="825"/>
      <x:c r="S9" s="59" t="n">
        <x:v>12</x:v>
      </x:c>
      <x:c r="T9" s="60" t="n">
        <x:f>SUMIFS($H$63:$H$121,$B$63:$B$121,S9,$J$63:$J$121,"필수")</x:f>
        <x:v>2</x:v>
      </x:c>
      <x:c r="U9" s="60" t="n">
        <x:f>SUMIFS($H$63:$H$121,$B$63:$B$121,S9,$J$63:$J$121,"기한내필수")</x:f>
        <x:v>0</x:v>
      </x:c>
      <x:c r="V9" s="60" t="n">
        <x:f>SUMIFS($H$63:$H$121,$B$63:$B$121,S9,$J$63:$J$121,"조건부")</x:f>
        <x:v>3.5</x:v>
      </x:c>
      <x:c r="W9" s="60" t="n">
        <x:f>SUMIFS($H$63:$H$121,$B$63:$B$121,S9,$J$63:$J$121,"선택")</x:f>
        <x:v>12.5</x:v>
      </x:c>
      <x:c r="X9" s="60" t="n">
        <x:f>14-T9</x:f>
        <x:v>12</x:v>
      </x:c>
      <x:c r="Y9" s="60" t="n">
        <x:f>U9+V9+W9</x:f>
        <x:v>16</x:v>
      </x:c>
      <x:c r="Z9" s="61" t="n">
        <x:f>IF(X9=0,0,Y9/X9)</x:f>
        <x:v>1.3333333333333333</x:v>
      </x:c>
      <x:c r="AA9" s="59" t="str">
        <x:f>IF(Z9&lt;=0.65,"여유",IF(Z9&lt;=1,"적정",IF(Z9&lt;=1.35,"빡빡","과밀")))</x:f>
        <x:v>빡빡</x:v>
      </x:c>
      <x:c r="AC9" s="30" t="n">
        <x:v>19</x:v>
      </x:c>
      <x:c r="AD9" s="75" t="n">
        <x:f>SUMIFS($H$126:$H$167,$B$126:$B$167,AC9,$J$126:$J$167,"필수",$E$126:$E$167,"&lt;&gt;EMERGENCY")</x:f>
        <x:v>0.5</x:v>
      </x:c>
      <x:c r="AE9" s="75" t="n">
        <x:f>SUMIFS($H$126:$H$167,$B$126:$B$167,AC9,$J$126:$J$167,"기한내필수",$E$126:$E$167,"&lt;&gt;EMERGENCY")</x:f>
        <x:v>0</x:v>
      </x:c>
      <x:c r="AF9" s="75" t="n">
        <x:f>SUMIFS($H$126:$H$167,$B$126:$B$167,AC9,$J$126:$J$167,"조건부",$E$126:$E$167,"&lt;&gt;EMERGENCY")+SUMIFS($H$126:$H$167,$B$126:$B$167,AC9,$J$126:$J$167,"선택",$E$126:$E$167,"&lt;&gt;EMERGENCY")</x:f>
        <x:v>1</x:v>
      </x:c>
      <x:c r="AG9" s="75" t="n">
        <x:f>AD9+AE9+AF9</x:f>
        <x:v>1.5</x:v>
      </x:c>
      <x:c r="AH9" s="75" t="n">
        <x:f>14-AG9</x:f>
        <x:v>12.5</x:v>
      </x:c>
      <x:c r="AI9" s="75" t="n">
        <x:f>SUMIFS($H$126:$H$167,$B$126:$B$167,AC9,$E$126:$E$167,"EMERGENCY")</x:f>
        <x:v>0</x:v>
      </x:c>
      <x:c r="AJ9" s="75" t="n">
        <x:v>5</x:v>
      </x:c>
      <x:c r="AK9" s="75" t="n">
        <x:f>AH9-AJ9</x:f>
        <x:v>7.5</x:v>
      </x:c>
      <x:c r="AL9" s="30" t="str">
        <x:f>IF(AK9&gt;=2,"안정",IF(AK9&gt;=0,"가능","과계획"))</x:f>
        <x:v>안정</x:v>
      </x:c>
      <x:c r="AM9" s="30" t="str">
        <x:v>페이·벤자민 결산</x:v>
      </x:c>
    </x:row>
    <x:row r="10" ht="15" hidden="0" customHeight="1">
      <x:c r="A10" s="827" t="n">
        <x:v>6</x:v>
      </x:c>
      <x:c r="B10" s="828" t="n">
        <x:f>SUMIFS($H$15:$H$120,$B$15:$B$120,$A10,$J$15:$J$120,"필수")</x:f>
        <x:v>1</x:v>
      </x:c>
      <x:c r="C10" s="828" t="n">
        <x:f>SUMIFS($H$15:$H$120,$B$15:$B$120,$A10,$J$15:$J$120,"기한내필수")</x:f>
        <x:v>2</x:v>
      </x:c>
      <x:c r="D10" s="828" t="n">
        <x:f>SUMIFS($H$15:$H$120,$B$15:$B$120,$A10,$J$15:$J$120,"조건부")</x:f>
        <x:v>0</x:v>
      </x:c>
      <x:c r="E10" s="828" t="n">
        <x:f>SUMIFS($H$15:$H$120,$B$15:$B$120,$A10,$J$15:$J$120,"선택")</x:f>
        <x:v>6</x:v>
      </x:c>
      <x:c r="F10" s="828" t="n">
        <x:f>14-B10</x:f>
        <x:v>13</x:v>
      </x:c>
      <x:c r="G10" s="828" t="n">
        <x:f>C10+D10+E10</x:f>
        <x:v>8</x:v>
      </x:c>
      <x:c r="H10" s="829" t="n">
        <x:f>IF(F10=0,0,G10/F10)</x:f>
        <x:v>0.6153846153846154</x:v>
      </x:c>
      <x:c r="I10" s="825" t="str">
        <x:f>IF(H10&lt;=0.65,"여유",IF(H10&lt;=1,"적정",IF(H10&lt;=1.35,"빡빡","과밀")))</x:f>
        <x:v>여유</x:v>
      </x:c>
      <x:c r="J10" s="825"/>
      <x:c r="K10" s="825"/>
      <x:c r="L10" s="825"/>
      <x:c r="M10" s="825"/>
      <x:c r="N10" s="825"/>
      <x:c r="O10" s="825"/>
      <x:c r="P10" s="825"/>
      <x:c r="Q10" s="825"/>
      <x:c r="S10" s="59" t="n">
        <x:v>13</x:v>
      </x:c>
      <x:c r="T10" s="60" t="n">
        <x:f>SUMIFS($H$63:$H$121,$B$63:$B$121,S10,$J$63:$J$121,"필수")</x:f>
        <x:v>2</x:v>
      </x:c>
      <x:c r="U10" s="60" t="n">
        <x:f>SUMIFS($H$63:$H$121,$B$63:$B$121,S10,$J$63:$J$121,"기한내필수")</x:f>
        <x:v>0</x:v>
      </x:c>
      <x:c r="V10" s="60" t="n">
        <x:f>SUMIFS($H$63:$H$121,$B$63:$B$121,S10,$J$63:$J$121,"조건부")</x:f>
        <x:v>0</x:v>
      </x:c>
      <x:c r="W10" s="60" t="n">
        <x:f>SUMIFS($H$63:$H$121,$B$63:$B$121,S10,$J$63:$J$121,"선택")</x:f>
        <x:v>15.5</x:v>
      </x:c>
      <x:c r="X10" s="60" t="n">
        <x:f>14-T10</x:f>
        <x:v>12</x:v>
      </x:c>
      <x:c r="Y10" s="60" t="n">
        <x:f>U10+V10+W10</x:f>
        <x:v>15.5</x:v>
      </x:c>
      <x:c r="Z10" s="61" t="n">
        <x:f>IF(X10=0,0,Y10/X10)</x:f>
        <x:v>1.2916666666666667</x:v>
      </x:c>
      <x:c r="AA10" s="59" t="str">
        <x:f>IF(Z10&lt;=0.65,"여유",IF(Z10&lt;=1,"적정",IF(Z10&lt;=1.35,"빡빡","과밀")))</x:f>
        <x:v>빡빡</x:v>
      </x:c>
      <x:c r="AC10" s="30" t="n">
        <x:v>20</x:v>
      </x:c>
      <x:c r="AD10" s="75" t="n">
        <x:f>SUMIFS($H$126:$H$167,$B$126:$B$167,AC10,$J$126:$J$167,"필수",$E$126:$E$167,"&lt;&gt;EMERGENCY")</x:f>
        <x:v>1</x:v>
      </x:c>
      <x:c r="AE10" s="75" t="n">
        <x:f>SUMIFS($H$126:$H$167,$B$126:$B$167,AC10,$J$126:$J$167,"기한내필수",$E$126:$E$167,"&lt;&gt;EMERGENCY")</x:f>
        <x:v>0</x:v>
      </x:c>
      <x:c r="AF10" s="75" t="n">
        <x:f>SUMIFS($H$126:$H$167,$B$126:$B$167,AC10,$J$126:$J$167,"조건부",$E$126:$E$167,"&lt;&gt;EMERGENCY")+SUMIFS($H$126:$H$167,$B$126:$B$167,AC10,$J$126:$J$167,"선택",$E$126:$E$167,"&lt;&gt;EMERGENCY")</x:f>
        <x:v>8.5</x:v>
      </x:c>
      <x:c r="AG10" s="75" t="n">
        <x:f>AD10+AE10+AF10</x:f>
        <x:v>9.5</x:v>
      </x:c>
      <x:c r="AH10" s="75" t="n">
        <x:f>14-AG10</x:f>
        <x:v>4.5</x:v>
      </x:c>
      <x:c r="AI10" s="75" t="n">
        <x:f>SUMIFS($H$126:$H$167,$B$126:$B$167,AC10,$E$126:$E$167,"EMERGENCY")</x:f>
        <x:v>3</x:v>
      </x:c>
      <x:c r="AJ10" s="75" t="n">
        <x:v>3</x:v>
      </x:c>
      <x:c r="AK10" s="75" t="n">
        <x:f>AH10-AJ10</x:f>
        <x:v>1.5</x:v>
      </x:c>
      <x:c r="AL10" s="30" t="str">
        <x:f>IF(AK10&gt;=2,"안정",IF(AK10&gt;=0,"가능","과계획"))</x:f>
        <x:v>가능</x:v>
      </x:c>
      <x:c r="AM10" s="30" t="str">
        <x:v>마지막 정리</x:v>
      </x:c>
    </x:row>
    <x:row r="11" ht="15" hidden="0" customHeight="1">
      <x:c r="A11" s="827" t="n">
        <x:v>7</x:v>
      </x:c>
      <x:c r="B11" s="828" t="n">
        <x:f>SUMIFS($H$15:$H$120,$B$15:$B$120,$A11,$J$15:$J$120,"필수")</x:f>
        <x:v>3</x:v>
      </x:c>
      <x:c r="C11" s="828" t="n">
        <x:f>SUMIFS($H$15:$H$120,$B$15:$B$120,$A11,$J$15:$J$120,"기한내필수")</x:f>
        <x:v>0</x:v>
      </x:c>
      <x:c r="D11" s="828" t="n">
        <x:f>SUMIFS($H$15:$H$120,$B$15:$B$120,$A11,$J$15:$J$120,"조건부")</x:f>
        <x:v>2</x:v>
      </x:c>
      <x:c r="E11" s="828" t="n">
        <x:f>SUMIFS($H$15:$H$120,$B$15:$B$120,$A11,$J$15:$J$120,"선택")</x:f>
        <x:v>6</x:v>
      </x:c>
      <x:c r="F11" s="828" t="n">
        <x:f>14-B11</x:f>
        <x:v>11</x:v>
      </x:c>
      <x:c r="G11" s="828" t="n">
        <x:f>C11+D11+E11</x:f>
        <x:v>8</x:v>
      </x:c>
      <x:c r="H11" s="829" t="n">
        <x:f>IF(F11=0,0,G11/F11)</x:f>
        <x:v>0.7272727272727273</x:v>
      </x:c>
      <x:c r="I11" s="825" t="str">
        <x:f>IF(H11&lt;=0.65,"여유",IF(H11&lt;=1,"적정",IF(H11&lt;=1.35,"빡빡","과밀")))</x:f>
        <x:v>적정</x:v>
      </x:c>
      <x:c r="J11" s="825"/>
      <x:c r="K11" s="825"/>
      <x:c r="L11" s="825"/>
      <x:c r="M11" s="825"/>
      <x:c r="N11" s="825"/>
      <x:c r="O11" s="825"/>
      <x:c r="P11" s="825"/>
      <x:c r="Q11" s="825"/>
      <x:c r="S11" s="59" t="n">
        <x:v>14</x:v>
      </x:c>
      <x:c r="T11" s="60" t="n">
        <x:f>SUMIFS($H$63:$H$121,$B$63:$B$121,S11,$J$63:$J$121,"필수")</x:f>
        <x:v>6</x:v>
      </x:c>
      <x:c r="U11" s="60" t="n">
        <x:f>SUMIFS($H$63:$H$121,$B$63:$B$121,S11,$J$63:$J$121,"기한내필수")</x:f>
        <x:v>0</x:v>
      </x:c>
      <x:c r="V11" s="60" t="n">
        <x:f>SUMIFS($H$63:$H$121,$B$63:$B$121,S11,$J$63:$J$121,"조건부")</x:f>
        <x:v>0</x:v>
      </x:c>
      <x:c r="W11" s="60" t="n">
        <x:f>SUMIFS($H$63:$H$121,$B$63:$B$121,S11,$J$63:$J$121,"선택")</x:f>
        <x:v>15</x:v>
      </x:c>
      <x:c r="X11" s="60" t="n">
        <x:f>14-T11</x:f>
        <x:v>8</x:v>
      </x:c>
      <x:c r="Y11" s="60" t="n">
        <x:f>U11+V11+W11</x:f>
        <x:v>15</x:v>
      </x:c>
      <x:c r="Z11" s="61" t="n">
        <x:f>IF(X11=0,0,Y11/X11)</x:f>
        <x:v>1.875</x:v>
      </x:c>
      <x:c r="AA11" s="59" t="str">
        <x:f>IF(Z11&lt;=0.65,"여유",IF(Z11&lt;=1,"적정",IF(Z11&lt;=1.35,"빡빡","과밀")))</x:f>
        <x:v>과밀</x:v>
      </x:c>
      <x:c r="AC11" s="30" t="n">
        <x:v>21</x:v>
      </x:c>
      <x:c r="AD11" s="75" t="n">
        <x:f>SUMIFS($H$126:$H$167,$B$126:$B$167,AC11,$J$126:$J$167,"필수",$E$126:$E$167,"&lt;&gt;EMERGENCY")</x:f>
        <x:v>3</x:v>
      </x:c>
      <x:c r="AE11" s="75" t="n">
        <x:f>SUMIFS($H$126:$H$167,$B$126:$B$167,AC11,$J$126:$J$167,"기한내필수",$E$126:$E$167,"&lt;&gt;EMERGENCY")</x:f>
        <x:v>0</x:v>
      </x:c>
      <x:c r="AF11" s="75" t="n">
        <x:f>SUMIFS($H$126:$H$167,$B$126:$B$167,AC11,$J$126:$J$167,"조건부",$E$126:$E$167,"&lt;&gt;EMERGENCY")+SUMIFS($H$126:$H$167,$B$126:$B$167,AC11,$J$126:$J$167,"선택",$E$126:$E$167,"&lt;&gt;EMERGENCY")</x:f>
        <x:v>2</x:v>
      </x:c>
      <x:c r="AG11" s="75" t="n">
        <x:f>AD11+AE11+AF11</x:f>
        <x:v>5</x:v>
      </x:c>
      <x:c r="AH11" s="75" t="n">
        <x:f>14-AG11</x:f>
        <x:v>9</x:v>
      </x:c>
      <x:c r="AI11" s="75" t="n">
        <x:f>SUMIFS($H$126:$H$167,$B$126:$B$167,AC11,$E$126:$E$167,"EMERGENCY")</x:f>
        <x:v>0</x:v>
      </x:c>
      <x:c r="AJ11" s="75" t="n">
        <x:v>0</x:v>
      </x:c>
      <x:c r="AK11" s="75" t="n">
        <x:f>AH11-AJ11</x:f>
        <x:v>9</x:v>
      </x:c>
      <x:c r="AL11" s="30" t="str">
        <x:f>IF(AK11&gt;=2,"안정",IF(AK11&gt;=0,"가능","과계획"))</x:f>
        <x:v>안정</x:v>
      </x:c>
      <x:c r="AM11" s="30" t="str">
        <x:v>결과 확인·엔딩</x:v>
      </x:c>
    </x:row>
    <x:row r="12" ht="15" hidden="0" customHeight="1">
      <x:c r="A12" s="825" t="str">
        <x:v>압력비 = (기한내필수 + 조건부 + 선택 콘텐츠 시간) ÷ (14h - 고정 필수시간). 조건부/TBD까지 모두 노출된다고 가정한 '상한 압력'이므로 실제 플레이보다 다소 높게 잡힌다.</x:v>
      </x:c>
      <x:c r="B12" s="825"/>
      <x:c r="C12" s="825"/>
      <x:c r="D12" s="825"/>
      <x:c r="E12" s="825"/>
      <x:c r="F12" s="825"/>
      <x:c r="G12" s="825"/>
      <x:c r="H12" s="825"/>
      <x:c r="I12" s="825"/>
      <x:c r="J12" s="825"/>
      <x:c r="K12" s="825"/>
      <x:c r="L12" s="825"/>
      <x:c r="M12" s="825"/>
      <x:c r="N12" s="825"/>
      <x:c r="O12" s="825"/>
      <x:c r="P12" s="825"/>
      <x:c r="Q12" s="825"/>
      <x:c r="S12" s="64" t="str">
        <x:v>해석: Week2는 일부러 모든 후보를 다 할 수 없게 설계한다. 압력비 100% 초과는 정상일 수 있다. 다음 검증에서는 True/Hidden 필수 행동만 골라 실제로 14시간 안에 가능한지 별도 Route Simulation으로 확인한다.</x:v>
      </x:c>
      <x:c r="T12" s="64"/>
      <x:c r="U12" s="64"/>
      <x:c r="V12" s="64"/>
      <x:c r="W12" s="64"/>
      <x:c r="X12" s="64"/>
      <x:c r="Y12" s="64"/>
      <x:c r="Z12" s="64"/>
      <x:c r="AA12" s="64"/>
      <x:c r="AC12" s="79" t="str">
        <x:v>W3 해석 원칙: Day15~20은 계획 콘텐츠로 하루를 꽉 채우지 않는다. 권장 버퍼는 '평범한 하루에 확보해 둘 대응 여유'이며, 실제 사고가 없으면 Character/수리/휴식에 다시 쓸 수 있다. Emergency 후보 시간은 동시에 전부 발생한다는 뜻이 아니라, 해당 날 열릴 수 있는 대표 위기의 대응시간 상한을 보여준다.</x:v>
      </x:c>
      <x:c r="AD12" s="79"/>
      <x:c r="AE12" s="79"/>
      <x:c r="AF12" s="79"/>
      <x:c r="AG12" s="79"/>
      <x:c r="AH12" s="79"/>
      <x:c r="AI12" s="79"/>
      <x:c r="AJ12" s="79"/>
      <x:c r="AK12" s="79"/>
      <x:c r="AL12" s="79"/>
      <x:c r="AM12" s="79"/>
    </x:row>
    <x:row r="13" ht="15" hidden="0" customHeight="1">
      <x:c r="A13" s="825"/>
      <x:c r="B13" s="825"/>
      <x:c r="C13" s="825"/>
      <x:c r="D13" s="825"/>
      <x:c r="E13" s="825"/>
      <x:c r="F13" s="825"/>
      <x:c r="G13" s="825"/>
      <x:c r="H13" s="825"/>
      <x:c r="I13" s="825"/>
      <x:c r="J13" s="825"/>
      <x:c r="K13" s="825"/>
      <x:c r="L13" s="825"/>
      <x:c r="M13" s="825"/>
      <x:c r="N13" s="825"/>
      <x:c r="O13" s="825"/>
      <x:c r="P13" s="825"/>
      <x:c r="Q13" s="825"/>
      <x:c r="S13" s="64"/>
      <x:c r="T13" s="64"/>
      <x:c r="U13" s="64"/>
      <x:c r="V13" s="64"/>
      <x:c r="W13" s="64"/>
      <x:c r="X13" s="64"/>
      <x:c r="Y13" s="64"/>
      <x:c r="Z13" s="64"/>
      <x:c r="AA13" s="64"/>
      <x:c r="AC13" s="79"/>
      <x:c r="AD13" s="79"/>
      <x:c r="AE13" s="79"/>
      <x:c r="AF13" s="79"/>
      <x:c r="AG13" s="79"/>
      <x:c r="AH13" s="79"/>
      <x:c r="AI13" s="79"/>
      <x:c r="AJ13" s="79"/>
      <x:c r="AK13" s="79"/>
      <x:c r="AL13" s="79"/>
      <x:c r="AM13" s="79"/>
    </x:row>
    <x:row r="14" ht="30" hidden="0" customHeight="1">
      <x:c r="A14" s="849" t="str">
        <x:v>ActionID</x:v>
      </x:c>
      <x:c r="B14" s="849" t="str">
        <x:v>Day</x:v>
      </x:c>
      <x:c r="C14" s="849" t="str">
        <x:v>Week</x:v>
      </x:c>
      <x:c r="D14" s="849" t="str">
        <x:v>콘텐츠 / 행동</x:v>
      </x:c>
      <x:c r="E14" s="849" t="str">
        <x:v>Type</x:v>
      </x:c>
      <x:c r="F14" s="849" t="str">
        <x:v>인물·축</x:v>
      </x:c>
      <x:c r="G14" s="849" t="str">
        <x:v>장소</x:v>
      </x:c>
      <x:c r="H14" s="849" t="str">
        <x:v>시간(h)</x:v>
      </x:c>
      <x:c r="I14" s="849" t="str">
        <x:v>Will</x:v>
      </x:c>
      <x:c r="J14" s="849" t="str">
        <x:v>필수도</x:v>
      </x:c>
      <x:c r="K14" s="849" t="str">
        <x:v>Deadline</x:v>
      </x:c>
      <x:c r="L14" s="849" t="str">
        <x:v>요구 / 오픈 조건</x:v>
      </x:c>
      <x:c r="M14" s="849" t="str">
        <x:v>주요 결과</x:v>
      </x:c>
      <x:c r="N14" s="849" t="str">
        <x:v>Route</x:v>
      </x:c>
      <x:c r="O14" s="849" t="str">
        <x:v>압력 축</x:v>
      </x:c>
      <x:c r="P14" s="849" t="str">
        <x:v>콘텐츠 상태</x:v>
      </x:c>
      <x:c r="Q14" s="849" t="str">
        <x:v>메모</x:v>
      </x:c>
      <x:c r="AC14" s="79"/>
      <x:c r="AD14" s="79"/>
      <x:c r="AE14" s="79"/>
      <x:c r="AF14" s="79"/>
      <x:c r="AG14" s="79"/>
      <x:c r="AH14" s="79"/>
      <x:c r="AI14" s="79"/>
      <x:c r="AJ14" s="79"/>
      <x:c r="AK14" s="79"/>
      <x:c r="AL14" s="79"/>
      <x:c r="AM14" s="79"/>
    </x:row>
    <x:row r="15" ht="15" hidden="0" customHeight="1">
      <x:c r="A15" s="825" t="str">
        <x:v>W1D1_01</x:v>
      </x:c>
      <x:c r="B15" s="827" t="n">
        <x:v>1</x:v>
      </x:c>
      <x:c r="C15" s="827" t="str">
        <x:v>W1</x:v>
      </x:c>
      <x:c r="D15" s="825" t="str">
        <x:v>시작 능력치 6Lv 배분</x:v>
      </x:c>
      <x:c r="E15" s="825" t="str">
        <x:v>SYSTEM</x:v>
      </x:c>
      <x:c r="F15" s="825" t="str">
        <x:v>제이</x:v>
      </x:c>
      <x:c r="G15" s="825" t="str">
        <x:v>GAME_START</x:v>
      </x:c>
      <x:c r="H15" s="830" t="n">
        <x:v>0</x:v>
      </x:c>
      <x:c r="I15" s="830" t="n">
        <x:v>0</x:v>
      </x:c>
      <x:c r="J15" s="827" t="str">
        <x:v>필수</x:v>
      </x:c>
      <x:c r="K15" s="825" t="str">
        <x:v>Day1 시작</x:v>
      </x:c>
      <x:c r="L15" s="825" t="str">
        <x:v>없음</x:v>
      </x:c>
      <x:c r="M15" s="825" t="str">
        <x:v>강인함/교감/기술 시작 빌드 결정</x:v>
      </x:c>
      <x:c r="N15" s="827" t="str">
        <x:v>공통</x:v>
      </x:c>
      <x:c r="O15" s="827" t="str">
        <x:v>성장</x:v>
      </x:c>
      <x:c r="P15" s="827" t="str">
        <x:v>확정</x:v>
      </x:c>
      <x:c r="Q15" s="825" t="str">
        <x:v>플레이 시간 0h. 실제 하루 시간에는 영향 없음.</x:v>
      </x:c>
    </x:row>
    <x:row r="16" ht="15" hidden="0" customHeight="1">
      <x:c r="A16" s="825" t="str">
        <x:v>W1D1_02</x:v>
      </x:c>
      <x:c r="B16" s="827" t="n">
        <x:v>1</x:v>
      </x:c>
      <x:c r="C16" s="827" t="str">
        <x:v>W1</x:v>
      </x:c>
      <x:c r="D16" s="825" t="str">
        <x:v>벤자민에게 깨어난 직후 현재 상황 듣기</x:v>
      </x:c>
      <x:c r="E16" s="825" t="str">
        <x:v>MAIN</x:v>
      </x:c>
      <x:c r="F16" s="825" t="str">
        <x:v>벤자민</x:v>
      </x:c>
      <x:c r="G16" s="825" t="str">
        <x:v>냉동수면/수송선</x:v>
      </x:c>
      <x:c r="H16" s="830" t="n">
        <x:v>1</x:v>
      </x:c>
      <x:c r="I16" s="830" t="n">
        <x:v>0</x:v>
      </x:c>
      <x:c r="J16" s="827" t="str">
        <x:v>필수</x:v>
      </x:c>
      <x:c r="K16" s="825" t="str">
        <x:v>Day1</x:v>
      </x:c>
      <x:c r="L16" s="825" t="str">
        <x:v>GAME_START</x:v>
      </x:c>
      <x:c r="M16" s="825" t="str">
        <x:v>냉동수면 해제, 현재 공동체 상황의 첫 단서</x:v>
      </x:c>
      <x:c r="N16" s="827" t="str">
        <x:v>공통</x:v>
      </x:c>
      <x:c r="O16" s="827" t="str">
        <x:v>Main</x:v>
      </x:c>
      <x:c r="P16" s="827" t="str">
        <x:v>확정</x:v>
      </x:c>
      <x:c r="Q16" s="825" t="str">
        <x:v>첫 시간 튜토리얼과 결합.</x:v>
      </x:c>
    </x:row>
    <x:row r="17" ht="15" hidden="0" customHeight="1">
      <x:c r="A17" s="825" t="str">
        <x:v>W1D1_03</x:v>
      </x:c>
      <x:c r="B17" s="827" t="n">
        <x:v>1</x:v>
      </x:c>
      <x:c r="C17" s="827" t="str">
        <x:v>W1</x:v>
      </x:c>
      <x:c r="D17" s="825" t="str">
        <x:v>핵심 동료 재회 진행 — 첫 2명</x:v>
      </x:c>
      <x:c r="E17" s="825" t="str">
        <x:v>MAIN</x:v>
      </x:c>
      <x:c r="F17" s="825" t="str">
        <x:v>핵심 6명</x:v>
      </x:c>
      <x:c r="G17" s="825" t="str">
        <x:v>정착지</x:v>
      </x:c>
      <x:c r="H17" s="830" t="n">
        <x:v>2</x:v>
      </x:c>
      <x:c r="I17" s="830" t="n">
        <x:v>0</x:v>
      </x:c>
      <x:c r="J17" s="827" t="str">
        <x:v>기한내필수</x:v>
      </x:c>
      <x:c r="K17" s="825" t="str">
        <x:v>Day2 종료</x:v>
      </x:c>
      <x:c r="L17" s="825" t="str">
        <x:v>재회 Main ACTIVE</x:v>
      </x:c>
      <x:c r="M17" s="825" t="str">
        <x:v>재회 체크리스트 진행</x:v>
      </x:c>
      <x:c r="N17" s="827" t="str">
        <x:v>공통</x:v>
      </x:c>
      <x:c r="O17" s="827" t="str">
        <x:v>Main</x:v>
      </x:c>
      <x:c r="P17" s="827" t="str">
        <x:v>확정</x:v>
      </x:c>
      <x:c r="Q17" s="825" t="str">
        <x:v>누구부터 만날지는 자유.</x:v>
      </x:c>
    </x:row>
    <x:row r="18" ht="15" hidden="0" customHeight="1">
      <x:c r="A18" s="825" t="str">
        <x:v>W1D1_04</x:v>
      </x:c>
      <x:c r="B18" s="827" t="n">
        <x:v>1</x:v>
      </x:c>
      <x:c r="C18" s="827" t="str">
        <x:v>W1</x:v>
      </x:c>
      <x:c r="D18" s="825" t="str">
        <x:v>벤자민과 묘지를 걷고 남겨진 이름 듣기</x:v>
      </x:c>
      <x:c r="E18" s="825" t="str">
        <x:v>CHARACTER</x:v>
      </x:c>
      <x:c r="F18" s="825" t="str">
        <x:v>벤자민</x:v>
      </x:c>
      <x:c r="G18" s="825" t="str">
        <x:v>묘지</x:v>
      </x:c>
      <x:c r="H18" s="830" t="n">
        <x:v>2</x:v>
      </x:c>
      <x:c r="I18" s="830" t="n">
        <x:v>0</x:v>
      </x:c>
      <x:c r="J18" s="827" t="str">
        <x:v>선택</x:v>
      </x:c>
      <x:c r="K18" s="825" t="str">
        <x:v>W1 중</x:v>
      </x:c>
      <x:c r="L18" s="825" t="str">
        <x:v>벤자민 재회</x:v>
      </x:c>
      <x:c r="M18" s="825" t="str">
        <x:v>벤자민 상실 아크 시작 / 이후 묘지 서사 기반</x:v>
      </x:c>
      <x:c r="N18" s="827" t="str">
        <x:v>Character</x:v>
      </x:c>
      <x:c r="O18" s="827" t="str">
        <x:v>사람</x:v>
      </x:c>
      <x:c r="P18" s="827" t="str">
        <x:v>확정</x:v>
      </x:c>
      <x:c r="Q18" s="825" t="str">
        <x:v>핵심 감정 장면. 단순 호감도 파밍으로 대체 금지.</x:v>
      </x:c>
    </x:row>
    <x:row r="19" ht="15" hidden="0" customHeight="1">
      <x:c r="A19" s="825" t="str">
        <x:v>W1D1_05</x:v>
      </x:c>
      <x:c r="B19" s="827" t="n">
        <x:v>1</x:v>
      </x:c>
      <x:c r="C19" s="827" t="str">
        <x:v>W1</x:v>
      </x:c>
      <x:c r="D19" s="825" t="str">
        <x:v>수송선의 현재 상태를 처음 점검하기</x:v>
      </x:c>
      <x:c r="E19" s="825" t="str">
        <x:v>ACTIVITY</x:v>
      </x:c>
      <x:c r="F19" s="825" t="str">
        <x:v>수송선</x:v>
      </x:c>
      <x:c r="G19" s="825" t="str">
        <x:v>수송선 외부/내부</x:v>
      </x:c>
      <x:c r="H19" s="830" t="n">
        <x:v>1</x:v>
      </x:c>
      <x:c r="I19" s="830" t="n">
        <x:v>0</x:v>
      </x:c>
      <x:c r="J19" s="827" t="str">
        <x:v>선택</x:v>
      </x:c>
      <x:c r="K19" s="825" t="str">
        <x:v>W1 중</x:v>
      </x:c>
      <x:c r="L19" s="825" t="str">
        <x:v>수송선 접근 가능</x:v>
      </x:c>
      <x:c r="M19" s="825" t="str">
        <x:v>시설 25/55 구조 인지 / 이후 수리 선택의 맥락</x:v>
      </x:c>
      <x:c r="N19" s="827" t="str">
        <x:v>공통</x:v>
      </x:c>
      <x:c r="O19" s="827" t="str">
        <x:v>수송선</x:v>
      </x:c>
      <x:c r="P19" s="827" t="str">
        <x:v>확정</x:v>
      </x:c>
      <x:c r="Q19" s="825" t="str">
        <x:v>아직 '떠나기 위한 배'라고 규정하지 않음.</x:v>
      </x:c>
    </x:row>
    <x:row r="20" ht="15" hidden="0" customHeight="1">
      <x:c r="A20" s="825" t="str">
        <x:v>W1D1_06</x:v>
      </x:c>
      <x:c r="B20" s="827" t="n">
        <x:v>1</x:v>
      </x:c>
      <x:c r="C20" s="827" t="str">
        <x:v>W1</x:v>
      </x:c>
      <x:c r="D20" s="825" t="str">
        <x:v>일반 대화·상황 파악 슬롯</x:v>
      </x:c>
      <x:c r="E20" s="825" t="str">
        <x:v>ACTIVITY</x:v>
      </x:c>
      <x:c r="F20" s="825" t="str">
        <x:v>공동체</x:v>
      </x:c>
      <x:c r="G20" s="825" t="str">
        <x:v>정착지</x:v>
      </x:c>
      <x:c r="H20" s="830" t="n">
        <x:v>1</x:v>
      </x:c>
      <x:c r="I20" s="830" t="n">
        <x:v>0</x:v>
      </x:c>
      <x:c r="J20" s="827" t="str">
        <x:v>선택</x:v>
      </x:c>
      <x:c r="K20" s="825" t="str">
        <x:v>없음</x:v>
      </x:c>
      <x:c r="L20" s="825" t="str">
        <x:v>아무 핵심 동료 재회</x:v>
      </x:c>
      <x:c r="M20" s="825" t="str">
        <x:v>소량 관계/정보 또는 성장 기회</x:v>
      </x:c>
      <x:c r="N20" s="827" t="str">
        <x:v>공통</x:v>
      </x:c>
      <x:c r="O20" s="827" t="str">
        <x:v>성장</x:v>
      </x:c>
      <x:c r="P20" s="827" t="str">
        <x:v>TEMP</x:v>
      </x:c>
      <x:c r="Q20" s="825" t="str">
        <x:v>압력 검증용 대표 슬롯.</x:v>
      </x:c>
    </x:row>
    <x:row r="21" ht="15" hidden="0" customHeight="1">
      <x:c r="A21" s="825" t="str">
        <x:v>W1D2_01</x:v>
      </x:c>
      <x:c r="B21" s="827" t="n">
        <x:v>2</x:v>
      </x:c>
      <x:c r="C21" s="827" t="str">
        <x:v>W1</x:v>
      </x:c>
      <x:c r="D21" s="825" t="str">
        <x:v>핵심 동료 재회 완료 — 남은 인물들</x:v>
      </x:c>
      <x:c r="E21" s="825" t="str">
        <x:v>MAIN</x:v>
      </x:c>
      <x:c r="F21" s="825" t="str">
        <x:v>핵심 6명</x:v>
      </x:c>
      <x:c r="G21" s="825" t="str">
        <x:v>정착지</x:v>
      </x:c>
      <x:c r="H21" s="830" t="n">
        <x:v>4</x:v>
      </x:c>
      <x:c r="I21" s="830" t="n">
        <x:v>0</x:v>
      </x:c>
      <x:c r="J21" s="827" t="str">
        <x:v>기한내필수</x:v>
      </x:c>
      <x:c r="K21" s="825" t="str">
        <x:v>Day2 종료</x:v>
      </x:c>
      <x:c r="L21" s="825" t="str">
        <x:v>재회 Main ACTIVE</x:v>
      </x:c>
      <x:c r="M21" s="825" t="str">
        <x:v>6명 재회 완료 / Day3 Main 준비</x:v>
      </x:c>
      <x:c r="N21" s="827" t="str">
        <x:v>공통</x:v>
      </x:c>
      <x:c r="O21" s="827" t="str">
        <x:v>Main</x:v>
      </x:c>
      <x:c r="P21" s="827" t="str">
        <x:v>확정</x:v>
      </x:c>
      <x:c r="Q21" s="825" t="str">
        <x:v>D1 진행량에 따라 실제 시간 변동 가능.</x:v>
      </x:c>
    </x:row>
    <x:row r="22" ht="15" hidden="0" customHeight="1">
      <x:c r="A22" s="825" t="str">
        <x:v>W1D2_02</x:v>
      </x:c>
      <x:c r="B22" s="827" t="n">
        <x:v>2</x:v>
      </x:c>
      <x:c r="C22" s="827" t="str">
        <x:v>W1</x:v>
      </x:c>
      <x:c r="D22" s="825" t="str">
        <x:v>항해 중 의지하던 지나와 10년 시간차를 체감하는 첫 어긋남</x:v>
      </x:c>
      <x:c r="E22" s="825" t="str">
        <x:v>RELATIONSHIP</x:v>
      </x:c>
      <x:c r="F22" s="825" t="str">
        <x:v>지나</x:v>
      </x:c>
      <x:c r="G22" s="825" t="str">
        <x:v>정착지</x:v>
      </x:c>
      <x:c r="H22" s="830" t="n">
        <x:v>1.5</x:v>
      </x:c>
      <x:c r="I22" s="830" t="n">
        <x:v>0</x:v>
      </x:c>
      <x:c r="J22" s="827" t="str">
        <x:v>선택</x:v>
      </x:c>
      <x:c r="K22" s="825" t="str">
        <x:v>W1 중</x:v>
      </x:c>
      <x:c r="L22" s="825" t="str">
        <x:v>지나 재회</x:v>
      </x:c>
      <x:c r="M22" s="825" t="str">
        <x:v>약 3개월 항해의 업무 신뢰 + 10년 시간차 / 제이 과거의 첫 단서</x:v>
      </x:c>
      <x:c r="N22" s="827" t="str">
        <x:v>Character</x:v>
      </x:c>
      <x:c r="O22" s="827" t="str">
        <x:v>사람</x:v>
      </x:c>
      <x:c r="P22" s="827" t="str">
        <x:v>확정</x:v>
      </x:c>
      <x:c r="Q22" s="825" t="str">
        <x:v>D2에는 Character Quest OFFER 없음. 지나와 제이는 절친이 아니라 항해 중 제이가 의지하던 연상의 실무자 관계. 실제 런타임은 2h TEMP.</x:v>
      </x:c>
    </x:row>
    <x:row r="23" ht="15" hidden="0" customHeight="1">
      <x:c r="A23" s="825" t="str">
        <x:v>W1D2_03</x:v>
      </x:c>
      <x:c r="B23" s="827" t="n">
        <x:v>2</x:v>
      </x:c>
      <x:c r="C23" s="827" t="str">
        <x:v>W1</x:v>
      </x:c>
      <x:c r="D23" s="825" t="str">
        <x:v>디야와 아이들의 생활공간 둘러보기</x:v>
      </x:c>
      <x:c r="E23" s="825" t="str">
        <x:v>RELATIONSHIP</x:v>
      </x:c>
      <x:c r="F23" s="825" t="str">
        <x:v>디야·미라</x:v>
      </x:c>
      <x:c r="G23" s="825" t="str">
        <x:v>거주지</x:v>
      </x:c>
      <x:c r="H23" s="830" t="n">
        <x:v>1.5</x:v>
      </x:c>
      <x:c r="I23" s="830" t="n">
        <x:v>0</x:v>
      </x:c>
      <x:c r="J23" s="827" t="str">
        <x:v>선택</x:v>
      </x:c>
      <x:c r="K23" s="825" t="str">
        <x:v>W1 중</x:v>
      </x:c>
      <x:c r="L23" s="825" t="str">
        <x:v>디야 재회</x:v>
      </x:c>
      <x:c r="M23" s="825" t="str">
        <x:v>임시 거처가 이미 집이 되었음을 인지</x:v>
      </x:c>
      <x:c r="N23" s="827" t="str">
        <x:v>Character</x:v>
      </x:c>
      <x:c r="O23" s="827" t="str">
        <x:v>사람</x:v>
      </x:c>
      <x:c r="P23" s="827" t="str">
        <x:v>확정</x:v>
      </x:c>
      <x:c r="Q23" s="825" t="str">
        <x:v>D2에는 Character Quest OFFER 없음. 디야·아이들의 생활공간을 읽는 관계 Seed. 실제 런타임은 2h TEMP.</x:v>
      </x:c>
    </x:row>
    <x:row r="24" ht="15" hidden="0" customHeight="1">
      <x:c r="A24" s="825" t="str">
        <x:v>W1D2_04</x:v>
      </x:c>
      <x:c r="B24" s="827" t="n">
        <x:v>2</x:v>
      </x:c>
      <x:c r="C24" s="827" t="str">
        <x:v>W1</x:v>
      </x:c>
      <x:c r="D24" s="825" t="str">
        <x:v>페이의 짧은 장비 정리 돕기</x:v>
      </x:c>
      <x:c r="E24" s="825" t="str">
        <x:v>ACTIVITY</x:v>
      </x:c>
      <x:c r="F24" s="825" t="str">
        <x:v>페이</x:v>
      </x:c>
      <x:c r="G24" s="825" t="str">
        <x:v>수송선/작업공간</x:v>
      </x:c>
      <x:c r="H24" s="830" t="n">
        <x:v>1.5</x:v>
      </x:c>
      <x:c r="I24" s="830" t="n">
        <x:v>0</x:v>
      </x:c>
      <x:c r="J24" s="827" t="str">
        <x:v>선택</x:v>
      </x:c>
      <x:c r="K24" s="825" t="str">
        <x:v>W1 중</x:v>
      </x:c>
      <x:c r="L24" s="825" t="str">
        <x:v>페이 재회</x:v>
      </x:c>
      <x:c r="M24" s="825" t="str">
        <x:v>기술 XP + 페이의 작업 방식 소개</x:v>
      </x:c>
      <x:c r="N24" s="827" t="str">
        <x:v>공통</x:v>
      </x:c>
      <x:c r="O24" s="827" t="str">
        <x:v>성장</x:v>
      </x:c>
      <x:c r="P24" s="827" t="str">
        <x:v>확정</x:v>
      </x:c>
      <x:c r="Q24" s="825" t="str">
        <x:v>D2 Activity Seed. Character Quest는 D4 이후 선행 Seed를 본 경우에만 OFFER.</x:v>
      </x:c>
    </x:row>
    <x:row r="25" ht="15" hidden="0" customHeight="1">
      <x:c r="A25" s="825" t="str">
        <x:v>W1D2_05</x:v>
      </x:c>
      <x:c r="B25" s="827" t="n">
        <x:v>2</x:v>
      </x:c>
      <x:c r="C25" s="827" t="str">
        <x:v>W1</x:v>
      </x:c>
      <x:c r="D25" s="825" t="str">
        <x:v>보리치의 관측 기록 정리 돕기</x:v>
      </x:c>
      <x:c r="E25" s="825" t="str">
        <x:v>ACTIVITY</x:v>
      </x:c>
      <x:c r="F25" s="825" t="str">
        <x:v>보리치</x:v>
      </x:c>
      <x:c r="G25" s="825" t="str">
        <x:v>관측지</x:v>
      </x:c>
      <x:c r="H25" s="830" t="n">
        <x:v>1.5</x:v>
      </x:c>
      <x:c r="I25" s="830" t="n">
        <x:v>0</x:v>
      </x:c>
      <x:c r="J25" s="827" t="str">
        <x:v>선택</x:v>
      </x:c>
      <x:c r="K25" s="825" t="str">
        <x:v>W1 중</x:v>
      </x:c>
      <x:c r="L25" s="825" t="str">
        <x:v>보리치 재회</x:v>
      </x:c>
      <x:c r="M25" s="825" t="str">
        <x:v>기술 XP + 과잉 확인 습관 암시</x:v>
      </x:c>
      <x:c r="N25" s="827" t="str">
        <x:v>공통</x:v>
      </x:c>
      <x:c r="O25" s="827" t="str">
        <x:v>성장</x:v>
      </x:c>
      <x:c r="P25" s="827" t="str">
        <x:v>확정</x:v>
      </x:c>
      <x:c r="Q25" s="825" t="str">
        <x:v>D2 Activity Seed. Character Quest는 D3 이후 선행 Seed + 오아시스 조사 Main에서 OFFER.</x:v>
      </x:c>
    </x:row>
    <x:row r="26" ht="24" hidden="0" customHeight="1">
      <x:c r="A26" s="825" t="str">
        <x:v>W1D2_06</x:v>
      </x:c>
      <x:c r="B26" s="827" t="n">
        <x:v>2</x:v>
      </x:c>
      <x:c r="C26" s="827" t="str">
        <x:v>W1</x:v>
      </x:c>
      <x:c r="D26" s="825" t="str">
        <x:v>18:00 이후 야간조 대표와 첫 인계 대화</x:v>
      </x:c>
      <x:c r="E26" s="825" t="str">
        <x:v>SIDE</x:v>
      </x:c>
      <x:c r="F26" s="825" t="str">
        <x:v>야간조 대표</x:v>
      </x:c>
      <x:c r="G26" s="825" t="str">
        <x:v>수송선</x:v>
      </x:c>
      <x:c r="H26" s="830" t="n">
        <x:v>1</x:v>
      </x:c>
      <x:c r="I26" s="830" t="n">
        <x:v>0</x:v>
      </x:c>
      <x:c r="J26" s="827" t="str">
        <x:v>선택</x:v>
      </x:c>
      <x:c r="K26" s="825" t="str">
        <x:v>W1~W2 저녁</x:v>
      </x:c>
      <x:c r="L26" s="825" t="str">
        <x:v>18:00 이후</x:v>
      </x:c>
      <x:c r="M26" s="825" t="str">
        <x:v>야간조가 매일 밤 수송선을 맡는다는 세계관 학습</x:v>
      </x:c>
      <x:c r="N26" s="827" t="str">
        <x:v>공통</x:v>
      </x:c>
      <x:c r="O26" s="827" t="str">
        <x:v>세계</x:v>
      </x:c>
      <x:c r="P26" s="827" t="str">
        <x:v>확정</x:v>
      </x:c>
      <x:c r="Q26" s="825" t="str">
        <x:v>후일 샘 야간 사건을 위한 선행 노출.</x:v>
      </x:c>
    </x:row>
    <x:row r="27" ht="15" hidden="0" customHeight="1">
      <x:c r="A27" s="825" t="str">
        <x:v>W1D2_07</x:v>
      </x:c>
      <x:c r="B27" s="827" t="n">
        <x:v>2</x:v>
      </x:c>
      <x:c r="C27" s="827" t="str">
        <x:v>W1</x:v>
      </x:c>
      <x:c r="D27" s="825" t="str">
        <x:v>수송선 시설을 한 곳 더 자세히 확인</x:v>
      </x:c>
      <x:c r="E27" s="825" t="str">
        <x:v>ACTIVITY</x:v>
      </x:c>
      <x:c r="F27" s="825" t="str">
        <x:v>수송선</x:v>
      </x:c>
      <x:c r="G27" s="825" t="str">
        <x:v>수송선</x:v>
      </x:c>
      <x:c r="H27" s="830" t="n">
        <x:v>1</x:v>
      </x:c>
      <x:c r="I27" s="830" t="n">
        <x:v>0</x:v>
      </x:c>
      <x:c r="J27" s="827" t="str">
        <x:v>선택</x:v>
      </x:c>
      <x:c r="K27" s="825" t="str">
        <x:v>W1 중</x:v>
      </x:c>
      <x:c r="L27" s="825" t="str">
        <x:v>수송선 상태 점검 경험</x:v>
      </x:c>
      <x:c r="M27" s="825" t="str">
        <x:v>향후 수리 우선순위 정보</x:v>
      </x:c>
      <x:c r="N27" s="827" t="str">
        <x:v>공통</x:v>
      </x:c>
      <x:c r="O27" s="827" t="str">
        <x:v>수송선</x:v>
      </x:c>
      <x:c r="P27" s="827" t="str">
        <x:v>TEMP</x:v>
      </x:c>
      <x:c r="Q27" s="825" t="str">
        <x:v>시설별 소개 방식은 추후 세분화.</x:v>
      </x:c>
    </x:row>
    <x:row r="28" ht="15" hidden="0" customHeight="1">
      <x:c r="A28" s="825" t="str">
        <x:v>W1D3_01</x:v>
      </x:c>
      <x:c r="B28" s="827" t="n">
        <x:v>3</x:v>
      </x:c>
      <x:c r="C28" s="827" t="str">
        <x:v>W1</x:v>
      </x:c>
      <x:c r="D28" s="825" t="str">
        <x:v>샘에게 오아시스 펌프·지하수 장기 안정성 조사 의뢰 받기</x:v>
      </x:c>
      <x:c r="E28" s="825" t="str">
        <x:v>MAIN</x:v>
      </x:c>
      <x:c r="F28" s="825" t="str">
        <x:v>샘</x:v>
      </x:c>
      <x:c r="G28" s="825" t="str">
        <x:v>정착지/오아시스 펌프</x:v>
      </x:c>
      <x:c r="H28" s="830" t="n">
        <x:v>1</x:v>
      </x:c>
      <x:c r="I28" s="830" t="n">
        <x:v>0</x:v>
      </x:c>
      <x:c r="J28" s="827" t="str">
        <x:v>필수</x:v>
      </x:c>
      <x:c r="K28" s="825" t="str">
        <x:v>Day3</x:v>
      </x:c>
      <x:c r="L28" s="825" t="str">
        <x:v>재회 Main 완료</x:v>
      </x:c>
      <x:c r="M28" s="825" t="str">
        <x:v>오아시스 펌프·지하수 조사 Main 활성화</x:v>
      </x:c>
      <x:c r="N28" s="827" t="str">
        <x:v>공통</x:v>
      </x:c>
      <x:c r="O28" s="827" t="str">
        <x:v>Main</x:v>
      </x:c>
      <x:c r="P28" s="827" t="str">
        <x:v>확정</x:v>
      </x:c>
      <x:c r="Q28" s="825" t="str">
        <x:v>제이의 지질학자 역할을 명확히 전환.</x:v>
      </x:c>
    </x:row>
    <x:row r="29" ht="15" hidden="0" customHeight="1">
      <x:c r="A29" s="825" t="str">
        <x:v>W1D3_02</x:v>
      </x:c>
      <x:c r="B29" s="827" t="n">
        <x:v>3</x:v>
      </x:c>
      <x:c r="C29" s="827" t="str">
        <x:v>W1</x:v>
      </x:c>
      <x:c r="D29" s="825" t="str">
        <x:v>오아시스 조사 1단계 — 관찰</x:v>
      </x:c>
      <x:c r="E29" s="825" t="str">
        <x:v>MAIN</x:v>
      </x:c>
      <x:c r="F29" s="825" t="str">
        <x:v>제이</x:v>
      </x:c>
      <x:c r="G29" s="825" t="str">
        <x:v>오아시스</x:v>
      </x:c>
      <x:c r="H29" s="830" t="n">
        <x:v>3</x:v>
      </x:c>
      <x:c r="I29" s="830" t="n">
        <x:v>0</x:v>
      </x:c>
      <x:c r="J29" s="827" t="str">
        <x:v>기한내필수</x:v>
      </x:c>
      <x:c r="K29" s="825" t="str">
        <x:v>Day6 보고 전</x:v>
      </x:c>
      <x:c r="L29" s="825" t="str">
        <x:v>조사 Main ACTIVE</x:v>
      </x:c>
      <x:c r="M29" s="825" t="str">
        <x:v>관찰 정보 확보 / 가설 단계 오픈</x:v>
      </x:c>
      <x:c r="N29" s="827" t="str">
        <x:v>공통</x:v>
      </x:c>
      <x:c r="O29" s="827" t="str">
        <x:v>Main</x:v>
      </x:c>
      <x:c r="P29" s="827" t="str">
        <x:v>확정</x:v>
      </x:c>
      <x:c r="Q29" s="825" t="str">
        <x:v>직접 지질/보리치 자료/생활 변화 등 경로 선택 가능.</x:v>
      </x:c>
    </x:row>
    <x:row r="30" ht="15" hidden="0" customHeight="1">
      <x:c r="A30" s="825" t="str">
        <x:v>W1D3_03</x:v>
      </x:c>
      <x:c r="B30" s="827" t="n">
        <x:v>3</x:v>
      </x:c>
      <x:c r="C30" s="827" t="str">
        <x:v>W1</x:v>
      </x:c>
      <x:c r="D30" s="825" t="str">
        <x:v>샘의 책임 부담 Episode 1 들어주기</x:v>
      </x:c>
      <x:c r="E30" s="825" t="str">
        <x:v>CHARACTER</x:v>
      </x:c>
      <x:c r="F30" s="825" t="str">
        <x:v>샘</x:v>
      </x:c>
      <x:c r="G30" s="825" t="str">
        <x:v>함교/정착지</x:v>
      </x:c>
      <x:c r="H30" s="830" t="n">
        <x:v>2</x:v>
      </x:c>
      <x:c r="I30" s="830" t="n">
        <x:v>1</x:v>
      </x:c>
      <x:c r="J30" s="827" t="str">
        <x:v>선택</x:v>
      </x:c>
      <x:c r="K30" s="825" t="str">
        <x:v>W1 중</x:v>
      </x:c>
      <x:c r="L30" s="825" t="str">
        <x:v>샘과 재회 + Main Beat</x:v>
      </x:c>
      <x:c r="M30" s="825" t="str">
        <x:v>샘의 '검토해줄 사람이 없다'는 부담 이해</x:v>
      </x:c>
      <x:c r="N30" s="827" t="str">
        <x:v>Character</x:v>
      </x:c>
      <x:c r="O30" s="827" t="str">
        <x:v>사람</x:v>
      </x:c>
      <x:c r="P30" s="827" t="str">
        <x:v>확정</x:v>
      </x:c>
      <x:c r="Q30" s="825" t="str">
        <x:v>Will 비용은 TEMP. 시간도 러프.</x:v>
      </x:c>
    </x:row>
    <x:row r="31" ht="15" hidden="0" customHeight="1">
      <x:c r="A31" s="825" t="str">
        <x:v>W1D3_04</x:v>
      </x:c>
      <x:c r="B31" s="827" t="n">
        <x:v>3</x:v>
      </x:c>
      <x:c r="C31" s="827" t="str">
        <x:v>W1</x:v>
      </x:c>
      <x:c r="D31" s="825" t="str">
        <x:v>보리치와 관측 자료 대조하기</x:v>
      </x:c>
      <x:c r="E31" s="825" t="str">
        <x:v>CHARACTER</x:v>
      </x:c>
      <x:c r="F31" s="825" t="str">
        <x:v>보리치</x:v>
      </x:c>
      <x:c r="G31" s="825" t="str">
        <x:v>관측지</x:v>
      </x:c>
      <x:c r="H31" s="830" t="n">
        <x:v>2</x:v>
      </x:c>
      <x:c r="I31" s="830" t="n">
        <x:v>0</x:v>
      </x:c>
      <x:c r="J31" s="827" t="str">
        <x:v>선택</x:v>
      </x:c>
      <x:c r="K31" s="825" t="str">
        <x:v>Day6 전</x:v>
      </x:c>
      <x:c r="L31" s="825" t="str">
        <x:v>보리치 재회</x:v>
      </x:c>
      <x:c r="M31" s="825" t="str">
        <x:v>기상 맥락 + 관계/정보 / 조사 보조</x:v>
      </x:c>
      <x:c r="N31" s="827" t="str">
        <x:v>공통</x:v>
      </x:c>
      <x:c r="O31" s="827" t="str">
        <x:v>사람</x:v>
      </x:c>
      <x:c r="P31" s="827" t="str">
        <x:v>확정</x:v>
      </x:c>
      <x:c r="Q31" s="825" t="str">
        <x:v>Main 조사 경로와 일부 중첩될 수 있음.</x:v>
      </x:c>
    </x:row>
    <x:row r="32" ht="36" hidden="0" customHeight="1">
      <x:c r="A32" s="825" t="str">
        <x:v>W1D3_05</x:v>
      </x:c>
      <x:c r="B32" s="827" t="n">
        <x:v>3</x:v>
      </x:c>
      <x:c r="C32" s="827" t="str">
        <x:v>W1</x:v>
      </x:c>
      <x:c r="D32" s="825" t="str">
        <x:v>수송선 시설 1회 복구</x:v>
      </x:c>
      <x:c r="E32" s="825" t="str">
        <x:v>REPAIR</x:v>
      </x:c>
      <x:c r="F32" s="825" t="str">
        <x:v>수송선</x:v>
      </x:c>
      <x:c r="G32" s="825" t="str">
        <x:v>수송선</x:v>
      </x:c>
      <x:c r="H32" s="830" t="n">
        <x:v>2</x:v>
      </x:c>
      <x:c r="I32" s="830" t="n">
        <x:v>0</x:v>
      </x:c>
      <x:c r="J32" s="827" t="str">
        <x:v>선택</x:v>
      </x:c>
      <x:c r="K32" s="825" t="str">
        <x:v>없음</x:v>
      </x:c>
      <x:c r="L32" s="825" t="str">
        <x:v>기술 조건 TEMP</x:v>
      </x:c>
      <x:c r="M32" s="825" t="str">
        <x:v>선택 Facility +1 / Research 선택 시 Restoration 1/3: 기술XP+1 + 추락 전 일반 관측기록 해금</x:v>
      </x:c>
      <x:c r="N32" s="827" t="str">
        <x:v>공통</x:v>
      </x:c>
      <x:c r="O32" s="827" t="str">
        <x:v>수송선</x:v>
      </x:c>
      <x:c r="P32" s="827" t="str">
        <x:v>TEMP</x:v>
      </x:c>
      <x:c r="Q32" s="825" t="str">
        <x:v>Research 상세 원고는 27_W1_FocusResearch. 연구실을 일반 복구만 할 수도 있으나, 기술 경로를 고르면 Restoration 1/3 정보가 즉시 W1 조사에 사용됨.</x:v>
      </x:c>
    </x:row>
    <x:row r="33" ht="15" hidden="0" customHeight="1">
      <x:c r="A33" s="825" t="str">
        <x:v>W1D3_06</x:v>
      </x:c>
      <x:c r="B33" s="827" t="n">
        <x:v>3</x:v>
      </x:c>
      <x:c r="C33" s="827" t="str">
        <x:v>W1</x:v>
      </x:c>
      <x:c r="D33" s="825" t="str">
        <x:v>성장용 생활 Activity</x:v>
      </x:c>
      <x:c r="E33" s="825" t="str">
        <x:v>ACTIVITY</x:v>
      </x:c>
      <x:c r="F33" s="825" t="str">
        <x:v>제이</x:v>
      </x:c>
      <x:c r="G33" s="825" t="str">
        <x:v>정착지</x:v>
      </x:c>
      <x:c r="H33" s="830" t="n">
        <x:v>2</x:v>
      </x:c>
      <x:c r="I33" s="830" t="n">
        <x:v>0</x:v>
      </x:c>
      <x:c r="J33" s="827" t="str">
        <x:v>선택</x:v>
      </x:c>
      <x:c r="K33" s="825" t="str">
        <x:v>없음</x:v>
      </x:c>
      <x:c r="L33" s="825" t="str">
        <x:v>콘텐츠별 조건</x:v>
      </x:c>
      <x:c r="M33" s="825" t="str">
        <x:v>강인함/교감/기술 XP</x:v>
      </x:c>
      <x:c r="N33" s="827" t="str">
        <x:v>공통</x:v>
      </x:c>
      <x:c r="O33" s="827" t="str">
        <x:v>성장</x:v>
      </x:c>
      <x:c r="P33" s="827" t="str">
        <x:v>TEMP</x:v>
      </x:c>
      <x:c r="Q33" s="825" t="str">
        <x:v>메인 외 성장 선택지 대표 슬롯.</x:v>
      </x:c>
    </x:row>
    <x:row r="34" ht="15" hidden="0" customHeight="1">
      <x:c r="A34" s="825" t="str">
        <x:v>W1D4_01</x:v>
      </x:c>
      <x:c r="B34" s="827" t="n">
        <x:v>4</x:v>
      </x:c>
      <x:c r="C34" s="827" t="str">
        <x:v>W1</x:v>
      </x:c>
      <x:c r="D34" s="825" t="str">
        <x:v>오아시스 조사 2단계 — 가설 세우기</x:v>
      </x:c>
      <x:c r="E34" s="825" t="str">
        <x:v>MAIN</x:v>
      </x:c>
      <x:c r="F34" s="825" t="str">
        <x:v>제이</x:v>
      </x:c>
      <x:c r="G34" s="825" t="str">
        <x:v>오아시스</x:v>
      </x:c>
      <x:c r="H34" s="830" t="n">
        <x:v>3</x:v>
      </x:c>
      <x:c r="I34" s="830" t="n">
        <x:v>0</x:v>
      </x:c>
      <x:c r="J34" s="827" t="str">
        <x:v>기한내필수</x:v>
      </x:c>
      <x:c r="K34" s="825" t="str">
        <x:v>Day6 보고 전</x:v>
      </x:c>
      <x:c r="L34" s="825" t="str">
        <x:v>관찰 정보 확보</x:v>
      </x:c>
      <x:c r="M34" s="825" t="str">
        <x:v>장기 위험 가설 확보 / 확인 단계 오픈</x:v>
      </x:c>
      <x:c r="N34" s="827" t="str">
        <x:v>공통</x:v>
      </x:c>
      <x:c r="O34" s="827" t="str">
        <x:v>Main</x:v>
      </x:c>
      <x:c r="P34" s="827" t="str">
        <x:v>확정</x:v>
      </x:c>
      <x:c r="Q34" s="825" t="str">
        <x:v>D3~5 사이 이동 가능하도록 설계 가능.</x:v>
      </x:c>
    </x:row>
    <x:row r="35" ht="15" hidden="0" customHeight="1">
      <x:c r="A35" s="825" t="str">
        <x:v>W1D4_02</x:v>
      </x:c>
      <x:c r="B35" s="827" t="n">
        <x:v>4</x:v>
      </x:c>
      <x:c r="C35" s="827" t="str">
        <x:v>W1</x:v>
      </x:c>
      <x:c r="D35" s="825" t="str">
        <x:v>지나와 과거의 제이에 대해 이야기하기</x:v>
      </x:c>
      <x:c r="E35" s="825" t="str">
        <x:v>CHARACTER</x:v>
      </x:c>
      <x:c r="F35" s="825" t="str">
        <x:v>지나</x:v>
      </x:c>
      <x:c r="G35" s="825" t="str">
        <x:v>정착지</x:v>
      </x:c>
      <x:c r="H35" s="830" t="n">
        <x:v>2</x:v>
      </x:c>
      <x:c r="I35" s="830" t="n">
        <x:v>0</x:v>
      </x:c>
      <x:c r="J35" s="827" t="str">
        <x:v>선택</x:v>
      </x:c>
      <x:c r="K35" s="825" t="str">
        <x:v>W1 중</x:v>
      </x:c>
      <x:c r="L35" s="825" t="str">
        <x:v>지나 첫 대화</x:v>
      </x:c>
      <x:c r="M35" s="825" t="str">
        <x:v>제이가 원래 정착 책임자였다는 떡밥 일부</x:v>
      </x:c>
      <x:c r="N35" s="827" t="str">
        <x:v>Character</x:v>
      </x:c>
      <x:c r="O35" s="827" t="str">
        <x:v>사람</x:v>
      </x:c>
      <x:c r="P35" s="827" t="str">
        <x:v>확정</x:v>
      </x:c>
      <x:c r="Q35" s="825" t="str">
        <x:v>지나 퀘스트는 제이의 과거를 비추는 역할.</x:v>
      </x:c>
    </x:row>
    <x:row r="36" ht="15" hidden="0" customHeight="1">
      <x:c r="A36" s="825" t="str">
        <x:v>W1D4_03</x:v>
      </x:c>
      <x:c r="B36" s="827" t="n">
        <x:v>4</x:v>
      </x:c>
      <x:c r="C36" s="827" t="str">
        <x:v>W1</x:v>
      </x:c>
      <x:c r="D36" s="825" t="str">
        <x:v>페이에게 음악/일렉 기타 꿈을 처음 듣기</x:v>
      </x:c>
      <x:c r="E36" s="825" t="str">
        <x:v>CHARACTER</x:v>
      </x:c>
      <x:c r="F36" s="825" t="str">
        <x:v>페이</x:v>
      </x:c>
      <x:c r="G36" s="825" t="str">
        <x:v>작업공간</x:v>
      </x:c>
      <x:c r="H36" s="830" t="n">
        <x:v>2</x:v>
      </x:c>
      <x:c r="I36" s="830" t="n">
        <x:v>0</x:v>
      </x:c>
      <x:c r="J36" s="827" t="str">
        <x:v>선택</x:v>
      </x:c>
      <x:c r="K36" s="825" t="str">
        <x:v>W1 중</x:v>
      </x:c>
      <x:c r="L36" s="825" t="str">
        <x:v>페이 일상 상호작용</x:v>
      </x:c>
      <x:c r="M36" s="825" t="str">
        <x:v>페이 Character 1차 Episode 완료 / 공연 복선</x:v>
      </x:c>
      <x:c r="N36" s="827" t="str">
        <x:v>Character</x:v>
      </x:c>
      <x:c r="O36" s="827" t="str">
        <x:v>사람</x:v>
      </x:c>
      <x:c r="P36" s="827" t="str">
        <x:v>확정</x:v>
      </x:c>
      <x:c r="Q36" s="825" t="str">
        <x:v>수리 자체가 페이 개인서사의 중심이 아님.</x:v>
      </x:c>
    </x:row>
    <x:row r="37" ht="36" hidden="0" customHeight="1">
      <x:c r="A37" s="825" t="str">
        <x:v>W1D4_04</x:v>
      </x:c>
      <x:c r="B37" s="827" t="n">
        <x:v>4</x:v>
      </x:c>
      <x:c r="C37" s="827" t="str">
        <x:v>W1</x:v>
      </x:c>
      <x:c r="D37" s="825" t="str">
        <x:v>수송선 시설 1회 복구</x:v>
      </x:c>
      <x:c r="E37" s="825" t="str">
        <x:v>REPAIR</x:v>
      </x:c>
      <x:c r="F37" s="825" t="str">
        <x:v>수송선</x:v>
      </x:c>
      <x:c r="G37" s="825" t="str">
        <x:v>수송선</x:v>
      </x:c>
      <x:c r="H37" s="830" t="n">
        <x:v>2</x:v>
      </x:c>
      <x:c r="I37" s="830" t="n">
        <x:v>0</x:v>
      </x:c>
      <x:c r="J37" s="827" t="str">
        <x:v>선택</x:v>
      </x:c>
      <x:c r="K37" s="825" t="str">
        <x:v>없음</x:v>
      </x:c>
      <x:c r="L37" s="825" t="str">
        <x:v>기술 조건 TEMP</x:v>
      </x:c>
      <x:c r="M37" s="825" t="str">
        <x:v>선택 Facility +1 / Research 선택 시 Restoration 2/3: 기술XP+1 + 환경센서·토양/수질 로그 해금</x:v>
      </x:c>
      <x:c r="N37" s="827" t="str">
        <x:v>공통</x:v>
      </x:c>
      <x:c r="O37" s="827" t="str">
        <x:v>수송선</x:v>
      </x:c>
      <x:c r="P37" s="827" t="str">
        <x:v>TEMP</x:v>
      </x:c>
      <x:c r="Q37" s="825" t="str">
        <x:v>Research 상세 원고는 27_W1_FocusResearch. 연구실을 일반 복구만 할 수도 있으나, 기술 경로를 고르면 Restoration 2/3 정보가 즉시 W1 조사에 사용됨.</x:v>
      </x:c>
    </x:row>
    <x:row r="38" ht="15" hidden="0" customHeight="1">
      <x:c r="A38" s="825" t="str">
        <x:v>W1D4_05</x:v>
      </x:c>
      <x:c r="B38" s="827" t="n">
        <x:v>4</x:v>
      </x:c>
      <x:c r="C38" s="827" t="str">
        <x:v>W1</x:v>
      </x:c>
      <x:c r="D38" s="825" t="str">
        <x:v>거주지의 생활 흔적을 관찰/돕기</x:v>
      </x:c>
      <x:c r="E38" s="825" t="str">
        <x:v>ACTIVITY</x:v>
      </x:c>
      <x:c r="F38" s="825" t="str">
        <x:v>디야·주민</x:v>
      </x:c>
      <x:c r="G38" s="825" t="str">
        <x:v>거주지</x:v>
      </x:c>
      <x:c r="H38" s="830" t="n">
        <x:v>2</x:v>
      </x:c>
      <x:c r="I38" s="830" t="n">
        <x:v>0</x:v>
      </x:c>
      <x:c r="J38" s="827" t="str">
        <x:v>선택</x:v>
      </x:c>
      <x:c r="K38" s="825" t="str">
        <x:v>W1 중</x:v>
      </x:c>
      <x:c r="L38" s="825" t="str">
        <x:v>거주지 접근</x:v>
      </x:c>
      <x:c r="M38" s="825" t="str">
        <x:v>교감/강인함 XP 또는 거주지 관련 정보</x:v>
      </x:c>
      <x:c r="N38" s="827" t="str">
        <x:v>공통</x:v>
      </x:c>
      <x:c r="O38" s="827" t="str">
        <x:v>행성</x:v>
      </x:c>
      <x:c r="P38" s="827" t="str">
        <x:v>TEMP</x:v>
      </x:c>
      <x:c r="Q38" s="825" t="str">
        <x:v>보존도 직접 상승 여부는 아직 TBD.</x:v>
      </x:c>
    </x:row>
    <x:row r="39" ht="15" hidden="0" customHeight="1">
      <x:c r="A39" s="825" t="str">
        <x:v>W1D4_06</x:v>
      </x:c>
      <x:c r="B39" s="827" t="n">
        <x:v>4</x:v>
      </x:c>
      <x:c r="C39" s="827" t="str">
        <x:v>W1</x:v>
      </x:c>
      <x:c r="D39" s="825" t="str">
        <x:v>성장용 생활 Activity</x:v>
      </x:c>
      <x:c r="E39" s="825" t="str">
        <x:v>ACTIVITY</x:v>
      </x:c>
      <x:c r="F39" s="825" t="str">
        <x:v>제이</x:v>
      </x:c>
      <x:c r="G39" s="825" t="str">
        <x:v>정착지</x:v>
      </x:c>
      <x:c r="H39" s="830" t="n">
        <x:v>2</x:v>
      </x:c>
      <x:c r="I39" s="830" t="n">
        <x:v>0</x:v>
      </x:c>
      <x:c r="J39" s="827" t="str">
        <x:v>선택</x:v>
      </x:c>
      <x:c r="K39" s="825" t="str">
        <x:v>없음</x:v>
      </x:c>
      <x:c r="L39" s="825" t="str">
        <x:v>콘텐츠별 조건</x:v>
      </x:c>
      <x:c r="M39" s="825" t="str">
        <x:v>XP 획득</x:v>
      </x:c>
      <x:c r="N39" s="827" t="str">
        <x:v>공통</x:v>
      </x:c>
      <x:c r="O39" s="827" t="str">
        <x:v>성장</x:v>
      </x:c>
      <x:c r="P39" s="827" t="str">
        <x:v>TEMP</x:v>
      </x:c>
      <x:c r="Q39" s="825" t="str">
        <x:v>러프 압력 슬롯.</x:v>
      </x:c>
    </x:row>
    <x:row r="40" ht="15" hidden="0" customHeight="1">
      <x:c r="A40" s="825" t="str">
        <x:v>W1D5_01</x:v>
      </x:c>
      <x:c r="B40" s="827" t="n">
        <x:v>5</x:v>
      </x:c>
      <x:c r="C40" s="827" t="str">
        <x:v>W1</x:v>
      </x:c>
      <x:c r="D40" s="825" t="str">
        <x:v>오아시스 조사 3단계 — 확인</x:v>
      </x:c>
      <x:c r="E40" s="825" t="str">
        <x:v>MAIN</x:v>
      </x:c>
      <x:c r="F40" s="825" t="str">
        <x:v>제이</x:v>
      </x:c>
      <x:c r="G40" s="825" t="str">
        <x:v>오아시스</x:v>
      </x:c>
      <x:c r="H40" s="830" t="n">
        <x:v>3</x:v>
      </x:c>
      <x:c r="I40" s="830" t="n">
        <x:v>0</x:v>
      </x:c>
      <x:c r="J40" s="827" t="str">
        <x:v>기한내필수</x:v>
      </x:c>
      <x:c r="K40" s="825" t="str">
        <x:v>Day6 보고 전</x:v>
      </x:c>
      <x:c r="L40" s="825" t="str">
        <x:v>가설 확보</x:v>
      </x:c>
      <x:c r="M40" s="825" t="str">
        <x:v>현재 방식으로 장기 거주 보장 불가 결론 확보</x:v>
      </x:c>
      <x:c r="N40" s="827" t="str">
        <x:v>공통</x:v>
      </x:c>
      <x:c r="O40" s="827" t="str">
        <x:v>Main</x:v>
      </x:c>
      <x:c r="P40" s="827" t="str">
        <x:v>확정</x:v>
      </x:c>
      <x:c r="Q40" s="825" t="str">
        <x:v>조기 완료 가능. 느린 경로는 다른 보상 가능.</x:v>
      </x:c>
    </x:row>
    <x:row r="41" ht="15" hidden="0" customHeight="1">
      <x:c r="A41" s="825" t="str">
        <x:v>W1D5_02</x:v>
      </x:c>
      <x:c r="B41" s="827" t="n">
        <x:v>5</x:v>
      </x:c>
      <x:c r="C41" s="827" t="str">
        <x:v>W1</x:v>
      </x:c>
      <x:c r="D41" s="825" t="str">
        <x:v>디야와 거주지·아이들·뜨개질 이야기</x:v>
      </x:c>
      <x:c r="E41" s="825" t="str">
        <x:v>CHARACTER</x:v>
      </x:c>
      <x:c r="F41" s="825" t="str">
        <x:v>디야·미라</x:v>
      </x:c>
      <x:c r="G41" s="825" t="str">
        <x:v>거주지</x:v>
      </x:c>
      <x:c r="H41" s="830" t="n">
        <x:v>2</x:v>
      </x:c>
      <x:c r="I41" s="830" t="n">
        <x:v>0</x:v>
      </x:c>
      <x:c r="J41" s="827" t="str">
        <x:v>선택</x:v>
      </x:c>
      <x:c r="K41" s="825" t="str">
        <x:v>W1 중</x:v>
      </x:c>
      <x:c r="L41" s="825" t="str">
        <x:v>디야 첫 대화</x:v>
      </x:c>
      <x:c r="M41" s="825" t="str">
        <x:v>집/아이/뜨개질 아크 강화 / 지구 뜨개질 복선</x:v>
      </x:c>
      <x:c r="N41" s="827" t="str">
        <x:v>Character</x:v>
      </x:c>
      <x:c r="O41" s="827" t="str">
        <x:v>사람</x:v>
      </x:c>
      <x:c r="P41" s="827" t="str">
        <x:v>확정</x:v>
      </x:c>
      <x:c r="Q41" s="825" t="str">
        <x:v>지구 뜨개질은 아직 귀여운 소품처럼 보이게.</x:v>
      </x:c>
    </x:row>
    <x:row r="42" ht="15" hidden="0" customHeight="1">
      <x:c r="A42" s="825" t="str">
        <x:v>W1D5_03</x:v>
      </x:c>
      <x:c r="B42" s="827" t="n">
        <x:v>5</x:v>
      </x:c>
      <x:c r="C42" s="827" t="str">
        <x:v>W1</x:v>
      </x:c>
      <x:c r="D42" s="825" t="str">
        <x:v>보리치의 악몽/과잉 확인을 우연히 목격</x:v>
      </x:c>
      <x:c r="E42" s="825" t="str">
        <x:v>CHARACTER</x:v>
      </x:c>
      <x:c r="F42" s="825" t="str">
        <x:v>보리치</x:v>
      </x:c>
      <x:c r="G42" s="825" t="str">
        <x:v>관측지</x:v>
      </x:c>
      <x:c r="H42" s="830" t="n">
        <x:v>1</x:v>
      </x:c>
      <x:c r="I42" s="830" t="n">
        <x:v>0</x:v>
      </x:c>
      <x:c r="J42" s="827" t="str">
        <x:v>조건부</x:v>
      </x:c>
      <x:c r="K42" s="825" t="str">
        <x:v>W1 중</x:v>
      </x:c>
      <x:c r="L42" s="825" t="str">
        <x:v>보리치 관련 상호작용 선행</x:v>
      </x:c>
      <x:c r="M42" s="825" t="str">
        <x:v>샌드웜 이후 과거 공개를 위한 감정 복선</x:v>
      </x:c>
      <x:c r="N42" s="827" t="str">
        <x:v>Character</x:v>
      </x:c>
      <x:c r="O42" s="827" t="str">
        <x:v>사람</x:v>
      </x:c>
      <x:c r="P42" s="827" t="str">
        <x:v>확정</x:v>
      </x:c>
      <x:c r="Q42" s="825" t="str">
        <x:v>과거 사고 설명은 하지 않음.</x:v>
      </x:c>
    </x:row>
    <x:row r="43" ht="15" hidden="0" customHeight="1">
      <x:c r="A43" s="825" t="str">
        <x:v>W1D5_04</x:v>
      </x:c>
      <x:c r="B43" s="827" t="n">
        <x:v>5</x:v>
      </x:c>
      <x:c r="C43" s="827" t="str">
        <x:v>W1</x:v>
      </x:c>
      <x:c r="D43" s="825" t="str">
        <x:v>벤자민 묘지 후속 대화</x:v>
      </x:c>
      <x:c r="E43" s="825" t="str">
        <x:v>CHARACTER</x:v>
      </x:c>
      <x:c r="F43" s="825" t="str">
        <x:v>벤자민</x:v>
      </x:c>
      <x:c r="G43" s="825" t="str">
        <x:v>묘지</x:v>
      </x:c>
      <x:c r="H43" s="830" t="n">
        <x:v>2</x:v>
      </x:c>
      <x:c r="I43" s="830" t="n">
        <x:v>0</x:v>
      </x:c>
      <x:c r="J43" s="827" t="str">
        <x:v>조건부</x:v>
      </x:c>
      <x:c r="K43" s="825" t="str">
        <x:v>W1 중</x:v>
      </x:c>
      <x:c r="L43" s="825" t="str">
        <x:v>벤자민 첫 Character 완료</x:v>
      </x:c>
      <x:c r="M43" s="825" t="str">
        <x:v>묘지·기억과 벤자민의 현재 관계 강화</x:v>
      </x:c>
      <x:c r="N43" s="827" t="str">
        <x:v>Character</x:v>
      </x:c>
      <x:c r="O43" s="827" t="str">
        <x:v>사람</x:v>
      </x:c>
      <x:c r="P43" s="827" t="str">
        <x:v>TEMP</x:v>
      </x:c>
      <x:c r="Q43" s="825" t="str">
        <x:v>정확한 Episode 분리는 추후 작성.</x:v>
      </x:c>
    </x:row>
    <x:row r="44" ht="36" hidden="0" customHeight="1">
      <x:c r="A44" s="825" t="str">
        <x:v>W1D5_05</x:v>
      </x:c>
      <x:c r="B44" s="827" t="n">
        <x:v>5</x:v>
      </x:c>
      <x:c r="C44" s="827" t="str">
        <x:v>W1</x:v>
      </x:c>
      <x:c r="D44" s="825" t="str">
        <x:v>수송선 시설 1회 복구</x:v>
      </x:c>
      <x:c r="E44" s="825" t="str">
        <x:v>REPAIR</x:v>
      </x:c>
      <x:c r="F44" s="825" t="str">
        <x:v>수송선</x:v>
      </x:c>
      <x:c r="G44" s="825" t="str">
        <x:v>수송선</x:v>
      </x:c>
      <x:c r="H44" s="830" t="n">
        <x:v>2</x:v>
      </x:c>
      <x:c r="I44" s="830" t="n">
        <x:v>0</x:v>
      </x:c>
      <x:c r="J44" s="827" t="str">
        <x:v>선택</x:v>
      </x:c>
      <x:c r="K44" s="825" t="str">
        <x:v>없음</x:v>
      </x:c>
      <x:c r="L44" s="825" t="str">
        <x:v>기술 조건 TEMP</x:v>
      </x:c>
      <x:c r="M44" s="825" t="str">
        <x:v>선택 Facility +1 / Research 선택 시 Restoration 3/3: 기술XP+1 + 10년 장기 표본 해금</x:v>
      </x:c>
      <x:c r="N44" s="827" t="str">
        <x:v>공통</x:v>
      </x:c>
      <x:c r="O44" s="827" t="str">
        <x:v>수송선</x:v>
      </x:c>
      <x:c r="P44" s="827" t="str">
        <x:v>TEMP</x:v>
      </x:c>
      <x:c r="Q44" s="825" t="str">
        <x:v>Research 상세 원고는 27_W1_FocusResearch. 연구실을 일반 복구만 할 수도 있으나, 기술 경로를 고르면 Restoration 3/3 정보가 즉시 W1 조사에 사용됨.</x:v>
      </x:c>
    </x:row>
    <x:row r="45" ht="15" hidden="0" customHeight="1">
      <x:c r="A45" s="825" t="str">
        <x:v>W1D5_06</x:v>
      </x:c>
      <x:c r="B45" s="827" t="n">
        <x:v>5</x:v>
      </x:c>
      <x:c r="C45" s="827" t="str">
        <x:v>W1</x:v>
      </x:c>
      <x:c r="D45" s="825" t="str">
        <x:v>행성 생활 기반 사전 보존 작업</x:v>
      </x:c>
      <x:c r="E45" s="825" t="str">
        <x:v>PRESERVE</x:v>
      </x:c>
      <x:c r="F45" s="825" t="str">
        <x:v>거주지/오아시스</x:v>
      </x:c>
      <x:c r="G45" s="825" t="str">
        <x:v>행성</x:v>
      </x:c>
      <x:c r="H45" s="830" t="n">
        <x:v>2</x:v>
      </x:c>
      <x:c r="I45" s="830" t="n">
        <x:v>0</x:v>
      </x:c>
      <x:c r="J45" s="827" t="str">
        <x:v>선택</x:v>
      </x:c>
      <x:c r="K45" s="825" t="str">
        <x:v>W1~W2</x:v>
      </x:c>
      <x:c r="L45" s="825" t="str">
        <x:v>관련 장소 조사/생활 확인</x:v>
      </x:c>
      <x:c r="M45" s="825" t="str">
        <x:v>W2 보존 구조의 사전 학습 후보</x:v>
      </x:c>
      <x:c r="N45" s="827" t="str">
        <x:v>Hidden</x:v>
      </x:c>
      <x:c r="O45" s="827" t="str">
        <x:v>행성</x:v>
      </x:c>
      <x:c r="P45" s="827" t="str">
        <x:v>TBD</x:v>
      </x:c>
      <x:c r="Q45" s="825" t="str">
        <x:v>W1부터 보존도를 직접 올릴지는 아직 미확정.</x:v>
      </x:c>
    </x:row>
    <x:row r="46" ht="15" hidden="0" customHeight="1">
      <x:c r="A46" s="825" t="str">
        <x:v>W1D5_07</x:v>
      </x:c>
      <x:c r="B46" s="827" t="n">
        <x:v>5</x:v>
      </x:c>
      <x:c r="C46" s="827" t="str">
        <x:v>W1</x:v>
      </x:c>
      <x:c r="D46" s="825" t="str">
        <x:v>성장용 생활 Activity</x:v>
      </x:c>
      <x:c r="E46" s="825" t="str">
        <x:v>ACTIVITY</x:v>
      </x:c>
      <x:c r="F46" s="825" t="str">
        <x:v>제이</x:v>
      </x:c>
      <x:c r="G46" s="825" t="str">
        <x:v>정착지</x:v>
      </x:c>
      <x:c r="H46" s="830" t="n">
        <x:v>2</x:v>
      </x:c>
      <x:c r="I46" s="830" t="n">
        <x:v>0</x:v>
      </x:c>
      <x:c r="J46" s="827" t="str">
        <x:v>선택</x:v>
      </x:c>
      <x:c r="K46" s="825" t="str">
        <x:v>없음</x:v>
      </x:c>
      <x:c r="L46" s="825" t="str">
        <x:v>콘텐츠별 조건</x:v>
      </x:c>
      <x:c r="M46" s="825" t="str">
        <x:v>XP 획득</x:v>
      </x:c>
      <x:c r="N46" s="827" t="str">
        <x:v>공통</x:v>
      </x:c>
      <x:c r="O46" s="827" t="str">
        <x:v>성장</x:v>
      </x:c>
      <x:c r="P46" s="827" t="str">
        <x:v>TEMP</x:v>
      </x:c>
      <x:c r="Q46" s="825" t="str">
        <x:v>러프 압력 슬롯.</x:v>
      </x:c>
    </x:row>
    <x:row r="47" ht="36" hidden="0" customHeight="1">
      <x:c r="A47" s="825" t="str">
        <x:v>W1D6_01</x:v>
      </x:c>
      <x:c r="B47" s="827" t="n">
        <x:v>6</x:v>
      </x:c>
      <x:c r="C47" s="827" t="str">
        <x:v>W1</x:v>
      </x:c>
      <x:c r="D47" s="825" t="str">
        <x:v>오아시스 조사 결론을 샘에게 보고 — 현재 방식의 한계와 '다시 볼 여지'를 어떻게 말할지 결정</x:v>
      </x:c>
      <x:c r="E47" s="825" t="str">
        <x:v>MAIN</x:v>
      </x:c>
      <x:c r="F47" s="825" t="str">
        <x:v>샘</x:v>
      </x:c>
      <x:c r="G47" s="825" t="str">
        <x:v>정착지</x:v>
      </x:c>
      <x:c r="H47" s="830" t="n">
        <x:v>1</x:v>
      </x:c>
      <x:c r="I47" s="830" t="n">
        <x:v>0</x:v>
      </x:c>
      <x:c r="J47" s="827" t="str">
        <x:v>필수</x:v>
      </x:c>
      <x:c r="K47" s="825" t="str">
        <x:v>Day6</x:v>
      </x:c>
      <x:c r="L47" s="825" t="str">
        <x:v>조사 결론 확보</x:v>
      </x:c>
      <x:c r="M47" s="825" t="str">
        <x:v>A 단호보고: 강인함XP+2/Sam+1. B 조건부 보고: 기술XP+2/Borichi+1/RECHECK_CAVEAT.</x:v>
      </x:c>
      <x:c r="N47" s="827" t="str">
        <x:v>공통</x:v>
      </x:c>
      <x:c r="O47" s="827" t="str">
        <x:v>Main</x:v>
      </x:c>
      <x:c r="P47" s="827" t="str">
        <x:v>확정</x:v>
      </x:c>
      <x:c r="Q47" s="825" t="str">
        <x:v>둘 다 '현재 오아시스·현재 방식으로 장기거주 보장 불가'는 동일. 차이는 운영 결론의 강도.</x:v>
      </x:c>
    </x:row>
    <x:row r="48" ht="24" hidden="0" customHeight="1">
      <x:c r="A48" s="825" t="str">
        <x:v>W1D6_02</x:v>
      </x:c>
      <x:c r="B48" s="827" t="n">
        <x:v>6</x:v>
      </x:c>
      <x:c r="C48" s="827" t="str">
        <x:v>W1</x:v>
      </x:c>
      <x:c r="D48" s="825" t="str">
        <x:v>전체 공개/제한 공개의 위험을 실제로 대비하기</x:v>
      </x:c>
      <x:c r="E48" s="825" t="str">
        <x:v>MAIN</x:v>
      </x:c>
      <x:c r="F48" s="825" t="str">
        <x:v>샘·공동체</x:v>
      </x:c>
      <x:c r="G48" s="825" t="str">
        <x:v>정착지</x:v>
      </x:c>
      <x:c r="H48" s="830" t="n">
        <x:v>2</x:v>
      </x:c>
      <x:c r="I48" s="830" t="n">
        <x:v>0</x:v>
      </x:c>
      <x:c r="J48" s="827" t="str">
        <x:v>기한내필수</x:v>
      </x:c>
      <x:c r="K48" s="825" t="str">
        <x:v>Day7 이전</x:v>
      </x:c>
      <x:c r="L48" s="825" t="str">
        <x:v>조사 보고 완료</x:v>
      </x:c>
      <x:c r="M48" s="825" t="str">
        <x:v>Day7 선택의 리스크를 경험/완화</x:v>
      </x:c>
      <x:c r="N48" s="827" t="str">
        <x:v>공통</x:v>
      </x:c>
      <x:c r="O48" s="827" t="str">
        <x:v>Main</x:v>
      </x:c>
      <x:c r="P48" s="827" t="str">
        <x:v>확정</x:v>
      </x:c>
      <x:c r="Q48" s="825" t="str">
        <x:v>작은 사건 1~2개를 통해 선택의 비용을 체감.</x:v>
      </x:c>
    </x:row>
    <x:row r="49" ht="15" hidden="0" customHeight="1">
      <x:c r="A49" s="825" t="str">
        <x:v>W1D6_03</x:v>
      </x:c>
      <x:c r="B49" s="827" t="n">
        <x:v>6</x:v>
      </x:c>
      <x:c r="C49" s="827" t="str">
        <x:v>W1</x:v>
      </x:c>
      <x:c r="D49" s="825" t="str">
        <x:v>샘의 책임 부담 Episode 2 들어주기</x:v>
      </x:c>
      <x:c r="E49" s="825" t="str">
        <x:v>CHARACTER</x:v>
      </x:c>
      <x:c r="F49" s="825" t="str">
        <x:v>샘</x:v>
      </x:c>
      <x:c r="G49" s="825" t="str">
        <x:v>정착지</x:v>
      </x:c>
      <x:c r="H49" s="830" t="n">
        <x:v>2</x:v>
      </x:c>
      <x:c r="I49" s="830" t="n">
        <x:v>1</x:v>
      </x:c>
      <x:c r="J49" s="827" t="str">
        <x:v>선택</x:v>
      </x:c>
      <x:c r="K49" s="825" t="str">
        <x:v>W2 전후</x:v>
      </x:c>
      <x:c r="L49" s="825" t="str">
        <x:v>Main 보고 후</x:v>
      </x:c>
      <x:c r="M49" s="825" t="str">
        <x:v>샘의 압박 누적 완화 / Character 진행</x:v>
      </x:c>
      <x:c r="N49" s="827" t="str">
        <x:v>Character</x:v>
      </x:c>
      <x:c r="O49" s="827" t="str">
        <x:v>사람</x:v>
      </x:c>
      <x:c r="P49" s="827" t="str">
        <x:v>TEMP</x:v>
      </x:c>
      <x:c r="Q49" s="825" t="str">
        <x:v>Episode 횟수·정확 비용은 추후 조정.</x:v>
      </x:c>
    </x:row>
    <x:row r="50" ht="36" hidden="0" customHeight="1">
      <x:c r="A50" s="825" t="str">
        <x:v>W1D6_04</x:v>
      </x:c>
      <x:c r="B50" s="827" t="n">
        <x:v>6</x:v>
      </x:c>
      <x:c r="C50" s="827" t="str">
        <x:v>W1</x:v>
      </x:c>
      <x:c r="D50" s="825" t="str">
        <x:v>Character Focus A — 지나 / 페이 / 보리치 중 1명 깊게 따라가기</x:v>
      </x:c>
      <x:c r="E50" s="825" t="str">
        <x:v>CHARACTER</x:v>
      </x:c>
      <x:c r="F50" s="825" t="str">
        <x:v>선택 인물</x:v>
      </x:c>
      <x:c r="G50" s="825" t="str">
        <x:v>정착지/작업공간/관측지</x:v>
      </x:c>
      <x:c r="H50" s="830" t="n">
        <x:v>2</x:v>
      </x:c>
      <x:c r="I50" s="830" t="n">
        <x:v>0</x:v>
      </x:c>
      <x:c r="J50" s="827" t="str">
        <x:v>선택·상호배타</x:v>
      </x:c>
      <x:c r="K50" s="825" t="str">
        <x:v>Day6 종료 전</x:v>
      </x:c>
      <x:c r="L50" s="825" t="str">
        <x:v>각 인물 W1 선행 Episode 완료</x:v>
      </x:c>
      <x:c r="M50" s="825" t="str">
        <x:v>지나/페이/보리치 중 선택한 1명의 Focus 전용 장면 완료 / 즉시 Affinity 최대+1 / 관련 Stat XP 최대+1 / 내부 Full Route Anchor</x:v>
      </x:c>
      <x:c r="N50" s="827" t="str">
        <x:v>Character</x:v>
      </x:c>
      <x:c r="O50" s="827" t="str">
        <x:v>사람</x:v>
      </x:c>
      <x:c r="P50" s="827" t="str">
        <x:v>TEMP 확정 후보</x:v>
      </x:c>
      <x:c r="Q50" s="825" t="str">
        <x:v>실제 원고는 27_W1_FocusResearch의 JINA/FAYE/BORICHI Variant. Hover에는 즉시 XP·Affinity만 보이고 Mastery 자격은 숨김.</x:v>
      </x:c>
    </x:row>
    <x:row r="51" ht="36" hidden="0" customHeight="1">
      <x:c r="A51" s="825" t="str">
        <x:v>W1D6_05</x:v>
      </x:c>
      <x:c r="B51" s="827" t="n">
        <x:v>6</x:v>
      </x:c>
      <x:c r="C51" s="827" t="str">
        <x:v>W1</x:v>
      </x:c>
      <x:c r="D51" s="825" t="str">
        <x:v>수송선 시설 1회 복구</x:v>
      </x:c>
      <x:c r="E51" s="825" t="str">
        <x:v>REPAIR</x:v>
      </x:c>
      <x:c r="F51" s="825" t="str">
        <x:v>수송선</x:v>
      </x:c>
      <x:c r="G51" s="825" t="str">
        <x:v>수송선</x:v>
      </x:c>
      <x:c r="H51" s="830" t="n">
        <x:v>2</x:v>
      </x:c>
      <x:c r="I51" s="830" t="n">
        <x:v>0</x:v>
      </x:c>
      <x:c r="J51" s="827" t="str">
        <x:v>선택</x:v>
      </x:c>
      <x:c r="K51" s="825" t="str">
        <x:v>없음</x:v>
      </x:c>
      <x:c r="L51" s="825" t="str">
        <x:v>기술 조건 TEMP</x:v>
      </x:c>
      <x:c r="M51" s="825" t="str">
        <x:v>선택 Facility Integrity +1 / Research 선택 시 W1 Research Restoration 추가/보충 진행</x:v>
      </x:c>
      <x:c r="N51" s="827" t="str">
        <x:v>공통</x:v>
      </x:c>
      <x:c r="O51" s="827" t="str">
        <x:v>수송선</x:v>
      </x:c>
      <x:c r="P51" s="827" t="str">
        <x:v>TEMP</x:v>
      </x:c>
      <x:c r="Q51" s="825" t="str">
        <x:v>Research를 고치면 즉시 추락 전 기록·환경센서·장기 표본 등 W1 조사 정보가 추가된다. 3회 누적 시 Research5 + W3 재분석 기반.</x:v>
      </x:c>
    </x:row>
    <x:row r="52" ht="15" hidden="0" customHeight="1">
      <x:c r="A52" s="825" t="str">
        <x:v>W1D6_06</x:v>
      </x:c>
      <x:c r="B52" s="827" t="n">
        <x:v>6</x:v>
      </x:c>
      <x:c r="C52" s="827" t="str">
        <x:v>W1</x:v>
      </x:c>
      <x:c r="D52" s="825" t="str">
        <x:v>성장용 생활 Activity</x:v>
      </x:c>
      <x:c r="E52" s="825" t="str">
        <x:v>ACTIVITY</x:v>
      </x:c>
      <x:c r="F52" s="825" t="str">
        <x:v>제이</x:v>
      </x:c>
      <x:c r="G52" s="825" t="str">
        <x:v>정착지</x:v>
      </x:c>
      <x:c r="H52" s="830" t="n">
        <x:v>2</x:v>
      </x:c>
      <x:c r="I52" s="830" t="n">
        <x:v>0</x:v>
      </x:c>
      <x:c r="J52" s="827" t="str">
        <x:v>선택</x:v>
      </x:c>
      <x:c r="K52" s="825" t="str">
        <x:v>없음</x:v>
      </x:c>
      <x:c r="L52" s="825" t="str">
        <x:v>콘텐츠별 조건</x:v>
      </x:c>
      <x:c r="M52" s="825" t="str">
        <x:v>XP 획득</x:v>
      </x:c>
      <x:c r="N52" s="827" t="str">
        <x:v>공통</x:v>
      </x:c>
      <x:c r="O52" s="827" t="str">
        <x:v>성장</x:v>
      </x:c>
      <x:c r="P52" s="827" t="str">
        <x:v>TEMP</x:v>
      </x:c>
      <x:c r="Q52" s="825" t="str">
        <x:v>러프 압력 슬롯.</x:v>
      </x:c>
    </x:row>
    <x:row r="53" ht="15" hidden="0" customHeight="1">
      <x:c r="A53" s="825" t="str">
        <x:v>W1D7_01</x:v>
      </x:c>
      <x:c r="B53" s="827" t="n">
        <x:v>7</x:v>
      </x:c>
      <x:c r="C53" s="827" t="str">
        <x:v>W1</x:v>
      </x:c>
      <x:c r="D53" s="825" t="str">
        <x:v>공개 방식 마지막 준비</x:v>
      </x:c>
      <x:c r="E53" s="825" t="str">
        <x:v>MAIN</x:v>
      </x:c>
      <x:c r="F53" s="825" t="str">
        <x:v>샘·공동체</x:v>
      </x:c>
      <x:c r="G53" s="825" t="str">
        <x:v>정착지</x:v>
      </x:c>
      <x:c r="H53" s="830" t="n">
        <x:v>2</x:v>
      </x:c>
      <x:c r="I53" s="830" t="n">
        <x:v>0</x:v>
      </x:c>
      <x:c r="J53" s="827" t="str">
        <x:v>선택</x:v>
      </x:c>
      <x:c r="K53" s="825" t="str">
        <x:v>Day7 Event 전</x:v>
      </x:c>
      <x:c r="L53" s="825" t="str">
        <x:v>공개 Main ACTIVE</x:v>
      </x:c>
      <x:c r="M53" s="825" t="str">
        <x:v>선택 후 혼란/부담 완화 가능</x:v>
      </x:c>
      <x:c r="N53" s="827" t="str">
        <x:v>공통</x:v>
      </x:c>
      <x:c r="O53" s="827" t="str">
        <x:v>Main</x:v>
      </x:c>
      <x:c r="P53" s="827" t="str">
        <x:v>TEMP</x:v>
      </x:c>
      <x:c r="Q53" s="825" t="str">
        <x:v>준비를 못 해도 최종 Event는 진행 가능.</x:v>
      </x:c>
    </x:row>
    <x:row r="54" ht="24" hidden="0" customHeight="1">
      <x:c r="A54" s="825" t="str">
        <x:v>W1D7_02</x:v>
      </x:c>
      <x:c r="B54" s="827" t="n">
        <x:v>7</x:v>
      </x:c>
      <x:c r="C54" s="827" t="str">
        <x:v>W1</x:v>
      </x:c>
      <x:c r="D54" s="825" t="str">
        <x:v>대형 공동체 공개 Event — 전면 공개 / 단계적 공개</x:v>
      </x:c>
      <x:c r="E54" s="825" t="str">
        <x:v>MAIN</x:v>
      </x:c>
      <x:c r="F54" s="825" t="str">
        <x:v>핵심 6명·공동체</x:v>
      </x:c>
      <x:c r="G54" s="825" t="str">
        <x:v>공동체 공간</x:v>
      </x:c>
      <x:c r="H54" s="830" t="n">
        <x:v>3</x:v>
      </x:c>
      <x:c r="I54" s="830" t="n">
        <x:v>0</x:v>
      </x:c>
      <x:c r="J54" s="827" t="str">
        <x:v>필수</x:v>
      </x:c>
      <x:c r="K54" s="825" t="str">
        <x:v>Day7</x:v>
      </x:c>
      <x:c r="L54" s="825" t="str">
        <x:v>조사 보고 완료</x:v>
      </x:c>
      <x:c r="M54" s="825" t="str">
        <x:v>A 전면: 강인함XP+2/Sam+1/Diya-1. B 단계적: 교감XP+2/Diya+1/Sam-1.</x:v>
      </x:c>
      <x:c r="N54" s="827" t="str">
        <x:v>공통</x:v>
      </x:c>
      <x:c r="O54" s="827" t="str">
        <x:v>Main</x:v>
      </x:c>
      <x:c r="P54" s="827" t="str">
        <x:v>확정</x:v>
      </x:c>
      <x:c r="Q54" s="825" t="str">
        <x:v>B는 정보 은폐가 아니라 필요한 정보부터 순서대로 공개하고 불확실성도 명시.</x:v>
      </x:c>
    </x:row>
    <x:row r="55" ht="30" hidden="0" customHeight="1">
      <x:c r="A55" s="839" t="str">
        <x:v>W1D7_03</x:v>
      </x:c>
      <x:c r="B55" s="839" t="n">
        <x:v>7</x:v>
      </x:c>
      <x:c r="C55" s="839" t="str">
        <x:v>W1</x:v>
      </x:c>
      <x:c r="D55" s="839" t="str">
        <x:v>Character Focus B — 벤자민 / 디야 중 1명의 공개 이후 반응 깊게 확인</x:v>
      </x:c>
      <x:c r="E55" s="839" t="str">
        <x:v>CHARACTER</x:v>
      </x:c>
      <x:c r="F55" s="839" t="str">
        <x:v>선택 인물</x:v>
      </x:c>
      <x:c r="G55" s="839" t="str">
        <x:v>정착지</x:v>
      </x:c>
      <x:c r="H55" s="840" t="n">
        <x:v>2</x:v>
      </x:c>
      <x:c r="I55" s="840" t="n">
        <x:v>0</x:v>
      </x:c>
      <x:c r="J55" s="839" t="str">
        <x:v>선택·상호배타</x:v>
      </x:c>
      <x:c r="K55" s="839" t="str">
        <x:v>Day7 종료 전</x:v>
      </x:c>
      <x:c r="L55" s="839" t="str">
        <x:v>공개 Event 완료 + 해당 인물 W1 Seed</x:v>
      </x:c>
      <x:c r="M55" s="839" t="str">
        <x:v>벤자민/디야 중 선택한 1명의 Focus 전용 장면 완료 / 즉시 Affinity 최대+1 / 관련 Stat XP 최대+1 / 내부 Full Route Anchor</x:v>
      </x:c>
      <x:c r="N55" s="839" t="str">
        <x:v>Character</x:v>
      </x:c>
      <x:c r="O55" s="839" t="str">
        <x:v>사람</x:v>
      </x:c>
      <x:c r="P55" s="839" t="str">
        <x:v>TEMP 확정 후보</x:v>
      </x:c>
      <x:c r="Q55" s="839" t="str">
        <x:v>실제 원고는 27_W1_FocusResearch의 BEN/DIYA Variant. Final 접근은 Focus 미선택이어도 유지.</x:v>
      </x:c>
    </x:row>
    <x:row r="56" ht="36" hidden="0" customHeight="1">
      <x:c r="A56" s="825" t="str">
        <x:v>W1D7_04</x:v>
      </x:c>
      <x:c r="B56" s="827" t="n">
        <x:v>7</x:v>
      </x:c>
      <x:c r="C56" s="827" t="str">
        <x:v>W1</x:v>
      </x:c>
      <x:c r="D56" s="825" t="str">
        <x:v>샘의 공개 결정 후 부담을 들어주기</x:v>
      </x:c>
      <x:c r="E56" s="825" t="str">
        <x:v>CHARACTER</x:v>
      </x:c>
      <x:c r="F56" s="825" t="str">
        <x:v>샘</x:v>
      </x:c>
      <x:c r="G56" s="825" t="str">
        <x:v>정착지</x:v>
      </x:c>
      <x:c r="H56" s="830" t="n">
        <x:v>2</x:v>
      </x:c>
      <x:c r="I56" s="830" t="n">
        <x:v>1</x:v>
      </x:c>
      <x:c r="J56" s="827" t="str">
        <x:v>조건부</x:v>
      </x:c>
      <x:c r="K56" s="825" t="str">
        <x:v>Day7~W2</x:v>
      </x:c>
      <x:c r="L56" s="825" t="str">
        <x:v>샘 Character 진행</x:v>
      </x:c>
      <x:c r="M56" s="825" t="str">
        <x:v>샘 부담 완화 / 공개 선택에 대한 감정 후속. Sam Mastery 자격 자체는 D3 Episode1 + D6 Episode2에서 결정.</x:v>
      </x:c>
      <x:c r="N56" s="827" t="str">
        <x:v>Character</x:v>
      </x:c>
      <x:c r="O56" s="827" t="str">
        <x:v>사람</x:v>
      </x:c>
      <x:c r="P56" s="827" t="str">
        <x:v>TEMP</x:v>
      </x:c>
      <x:c r="Q56" s="825" t="str">
        <x:v>선택 결과에 따라 대사 변화. Full Route에 유용하지만 Mastery 필수 Anchor는 아님.</x:v>
      </x:c>
    </x:row>
    <x:row r="57" ht="36" hidden="0" customHeight="1">
      <x:c r="A57" s="825" t="str">
        <x:v>W1D7_05</x:v>
      </x:c>
      <x:c r="B57" s="827" t="n">
        <x:v>7</x:v>
      </x:c>
      <x:c r="C57" s="827" t="str">
        <x:v>W1</x:v>
      </x:c>
      <x:c r="D57" s="825" t="str">
        <x:v>수송선 시설 1회 복구</x:v>
      </x:c>
      <x:c r="E57" s="825" t="str">
        <x:v>REPAIR</x:v>
      </x:c>
      <x:c r="F57" s="825" t="str">
        <x:v>수송선</x:v>
      </x:c>
      <x:c r="G57" s="825" t="str">
        <x:v>수송선</x:v>
      </x:c>
      <x:c r="H57" s="830" t="n">
        <x:v>2</x:v>
      </x:c>
      <x:c r="I57" s="830" t="n">
        <x:v>0</x:v>
      </x:c>
      <x:c r="J57" s="827" t="str">
        <x:v>선택</x:v>
      </x:c>
      <x:c r="K57" s="825" t="str">
        <x:v>없음</x:v>
      </x:c>
      <x:c r="L57" s="825" t="str">
        <x:v>기술 조건 TEMP</x:v>
      </x:c>
      <x:c r="M57" s="825" t="str">
        <x:v>선택 Facility Integrity +1 / Research 선택 시 W1 Research Restoration 추가/보충 진행</x:v>
      </x:c>
      <x:c r="N57" s="827" t="str">
        <x:v>공통</x:v>
      </x:c>
      <x:c r="O57" s="827" t="str">
        <x:v>수송선</x:v>
      </x:c>
      <x:c r="P57" s="827" t="str">
        <x:v>TEMP</x:v>
      </x:c>
      <x:c r="Q57" s="825" t="str">
        <x:v>Research를 고치면 즉시 추락 전 기록·환경센서·장기 표본 등 W1 조사 정보가 추가된다. 3회 누적 시 Research5 + W3 재분석 기반.</x:v>
      </x:c>
    </x:row>
    <x:row r="58" ht="15" hidden="0" customHeight="1">
      <x:c r="A58" s="825" t="str">
        <x:v>W1D7_06</x:v>
      </x:c>
      <x:c r="B58" s="827" t="n">
        <x:v>7</x:v>
      </x:c>
      <x:c r="C58" s="827" t="str">
        <x:v>W1</x:v>
      </x:c>
      <x:c r="D58" s="825" t="str">
        <x:v>휴식 또는 성장 Activity</x:v>
      </x:c>
      <x:c r="E58" s="825" t="str">
        <x:v>ACTIVITY</x:v>
      </x:c>
      <x:c r="F58" s="825" t="str">
        <x:v>제이</x:v>
      </x:c>
      <x:c r="G58" s="825" t="str">
        <x:v>정착지</x:v>
      </x:c>
      <x:c r="H58" s="830" t="n">
        <x:v>2</x:v>
      </x:c>
      <x:c r="I58" s="830" t="n">
        <x:v>0</x:v>
      </x:c>
      <x:c r="J58" s="827" t="str">
        <x:v>선택</x:v>
      </x:c>
      <x:c r="K58" s="825" t="str">
        <x:v>없음</x:v>
      </x:c>
      <x:c r="L58" s="825" t="str">
        <x:v>콘텐츠별 조건</x:v>
      </x:c>
      <x:c r="M58" s="825" t="str">
        <x:v>Will 회복 또는 XP</x:v>
      </x:c>
      <x:c r="N58" s="827" t="str">
        <x:v>공통</x:v>
      </x:c>
      <x:c r="O58" s="827" t="str">
        <x:v>성장</x:v>
      </x:c>
      <x:c r="P58" s="827" t="str">
        <x:v>TEMP</x:v>
      </x:c>
      <x:c r="Q58" s="825" t="str">
        <x:v>다음 주 전 숨 고르기 선택지.</x:v>
      </x:c>
    </x:row>
    <x:row r="59" ht="15" hidden="0" customHeight="1">
      <x:c r="A59" s="825"/>
      <x:c r="B59" s="825"/>
      <x:c r="C59" s="825"/>
      <x:c r="D59" s="825"/>
      <x:c r="E59" s="825"/>
      <x:c r="F59" s="825"/>
      <x:c r="G59" s="825"/>
      <x:c r="H59" s="825"/>
      <x:c r="I59" s="825"/>
      <x:c r="J59" s="825"/>
      <x:c r="K59" s="825"/>
      <x:c r="L59" s="825"/>
      <x:c r="M59" s="825"/>
      <x:c r="N59" s="825"/>
      <x:c r="O59" s="825"/>
      <x:c r="P59" s="825"/>
      <x:c r="Q59" s="825"/>
    </x:row>
    <x:row r="60" ht="15" hidden="0" customHeight="1">
      <x:c r="A60" s="825"/>
      <x:c r="B60" s="825"/>
      <x:c r="C60" s="825"/>
      <x:c r="D60" s="825"/>
      <x:c r="E60" s="825"/>
      <x:c r="F60" s="825"/>
      <x:c r="G60" s="825"/>
      <x:c r="H60" s="825"/>
      <x:c r="I60" s="825"/>
      <x:c r="J60" s="825"/>
      <x:c r="K60" s="825"/>
      <x:c r="L60" s="825"/>
      <x:c r="M60" s="825"/>
      <x:c r="N60" s="825"/>
      <x:c r="O60" s="825"/>
      <x:c r="P60" s="825"/>
      <x:c r="Q60" s="825"/>
    </x:row>
    <x:row r="61" ht="26" hidden="0" customHeight="1">
      <x:c r="A61" s="852" t="str">
        <x:v>Week 2 — Day 8~14 Action Budget</x:v>
      </x:c>
      <x:c r="B61" s="852"/>
      <x:c r="C61" s="852"/>
      <x:c r="D61" s="852"/>
      <x:c r="E61" s="852"/>
      <x:c r="F61" s="852"/>
      <x:c r="G61" s="852"/>
      <x:c r="H61" s="852"/>
      <x:c r="I61" s="852"/>
      <x:c r="J61" s="852"/>
      <x:c r="K61" s="852"/>
      <x:c r="L61" s="852"/>
      <x:c r="M61" s="852"/>
      <x:c r="N61" s="852"/>
      <x:c r="O61" s="852"/>
      <x:c r="P61" s="852"/>
      <x:c r="Q61" s="852"/>
    </x:row>
    <x:row r="62" ht="30" hidden="0" customHeight="1">
      <x:c r="A62" s="849" t="str">
        <x:v>ActionID</x:v>
      </x:c>
      <x:c r="B62" s="849" t="str">
        <x:v>Day</x:v>
      </x:c>
      <x:c r="C62" s="849" t="str">
        <x:v>Week</x:v>
      </x:c>
      <x:c r="D62" s="849" t="str">
        <x:v>콘텐츠 / 행동</x:v>
      </x:c>
      <x:c r="E62" s="849" t="str">
        <x:v>Type</x:v>
      </x:c>
      <x:c r="F62" s="849" t="str">
        <x:v>인물·축</x:v>
      </x:c>
      <x:c r="G62" s="849" t="str">
        <x:v>장소</x:v>
      </x:c>
      <x:c r="H62" s="849" t="str">
        <x:v>시간(h)</x:v>
      </x:c>
      <x:c r="I62" s="849" t="str">
        <x:v>Will</x:v>
      </x:c>
      <x:c r="J62" s="849" t="str">
        <x:v>필수도</x:v>
      </x:c>
      <x:c r="K62" s="849" t="str">
        <x:v>Deadline</x:v>
      </x:c>
      <x:c r="L62" s="849" t="str">
        <x:v>요구 / 오픈 조건</x:v>
      </x:c>
      <x:c r="M62" s="849" t="str">
        <x:v>주요 결과</x:v>
      </x:c>
      <x:c r="N62" s="849" t="str">
        <x:v>Route</x:v>
      </x:c>
      <x:c r="O62" s="849" t="str">
        <x:v>압력 축</x:v>
      </x:c>
      <x:c r="P62" s="849" t="str">
        <x:v>콘텐츠 상태</x:v>
      </x:c>
      <x:c r="Q62" s="849" t="str">
        <x:v>메모</x:v>
      </x:c>
    </x:row>
    <x:row r="63" ht="24" hidden="0" customHeight="1">
      <x:c r="A63" s="825" t="str">
        <x:v>W2D8_01</x:v>
      </x:c>
      <x:c r="B63" s="827" t="n">
        <x:v>8</x:v>
      </x:c>
      <x:c r="C63" s="827" t="str">
        <x:v>W2</x:v>
      </x:c>
      <x:c r="D63" s="825" t="str">
        <x:v>샌드웜 출현 → 보리치 분석 → 대형 모래폭풍 접근 발견</x:v>
      </x:c>
      <x:c r="E63" s="825" t="str">
        <x:v>MAIN</x:v>
      </x:c>
      <x:c r="F63" s="825" t="str">
        <x:v>보리치·샘</x:v>
      </x:c>
      <x:c r="G63" s="825" t="str">
        <x:v>정착지/관측지</x:v>
      </x:c>
      <x:c r="H63" s="830" t="n">
        <x:v>3</x:v>
      </x:c>
      <x:c r="I63" s="830" t="n">
        <x:v>0</x:v>
      </x:c>
      <x:c r="J63" s="827" t="str">
        <x:v>필수</x:v>
      </x:c>
      <x:c r="K63" s="825" t="str">
        <x:v>Day8</x:v>
      </x:c>
      <x:c r="L63" s="825" t="str">
        <x:v>Day7 공개 Event 완료</x:v>
      </x:c>
      <x:c r="M63" s="825" t="str">
        <x:v>W2 Main 전환 / 폭풍 대비 목표 오픈</x:v>
      </x:c>
      <x:c r="N63" s="827" t="str">
        <x:v>공통</x:v>
      </x:c>
      <x:c r="O63" s="827" t="str">
        <x:v>Main</x:v>
      </x:c>
      <x:c r="P63" s="827" t="str">
        <x:v>확정</x:v>
      </x:c>
      <x:c r="Q63" s="825" t="str">
        <x:v>28_W2_NarrativeAuthoring: 샌드웜은 공격하지 않고 도주. 추적 끝에 폭풍 조사 오픈.</x:v>
      </x:c>
    </x:row>
    <x:row r="64" ht="24" hidden="0" customHeight="1">
      <x:c r="A64" s="825" t="str">
        <x:v>W2D8_02</x:v>
      </x:c>
      <x:c r="B64" s="827" t="n">
        <x:v>8</x:v>
      </x:c>
      <x:c r="C64" s="827" t="str">
        <x:v>W2</x:v>
      </x:c>
      <x:c r="D64" s="825" t="str">
        <x:v>샌드웜 사건 직후 보리치와 관측을 계속할지 결정</x:v>
      </x:c>
      <x:c r="E64" s="825" t="str">
        <x:v>CHARACTER</x:v>
      </x:c>
      <x:c r="F64" s="825" t="str">
        <x:v>보리치</x:v>
      </x:c>
      <x:c r="G64" s="825" t="str">
        <x:v>관측지</x:v>
      </x:c>
      <x:c r="H64" s="830" t="n">
        <x:v>2</x:v>
      </x:c>
      <x:c r="I64" s="830" t="n">
        <x:v>0</x:v>
      </x:c>
      <x:c r="J64" s="827" t="str">
        <x:v>조건부</x:v>
      </x:c>
      <x:c r="K64" s="825" t="str">
        <x:v>W2 중</x:v>
      </x:c>
      <x:c r="L64" s="825" t="str">
        <x:v>샌드웜 Main 완료 + 보리치 생존</x:v>
      </x:c>
      <x:c r="M64" s="825" t="str">
        <x:v>A 멈춤: Borichi+1/확정 지연. B 함께 끝까지 분석: 기술XP+3/Borichi-1/폭풍 단서 즉시.</x:v>
      </x:c>
      <x:c r="N64" s="827" t="str">
        <x:v>Character</x:v>
      </x:c>
      <x:c r="O64" s="827" t="str">
        <x:v>사람</x:v>
      </x:c>
      <x:c r="P64" s="827" t="str">
        <x:v>확정</x:v>
      </x:c>
      <x:c r="Q64" s="825" t="str">
        <x:v>28_W2_NarrativeAuthoring: A 멈춤 / B 함께 분석. Hover에 Affinity·XP·지연 공개.</x:v>
      </x:c>
    </x:row>
    <x:row r="65" ht="24" hidden="0" customHeight="1">
      <x:c r="A65" s="825" t="str">
        <x:v>W2D8_03</x:v>
      </x:c>
      <x:c r="B65" s="827" t="n">
        <x:v>8</x:v>
      </x:c>
      <x:c r="C65" s="827" t="str">
        <x:v>W2</x:v>
      </x:c>
      <x:c r="D65" s="825" t="str">
        <x:v>샘과 폭풍 대비 우선순위를 정리</x:v>
      </x:c>
      <x:c r="E65" s="825" t="str">
        <x:v>MAIN</x:v>
      </x:c>
      <x:c r="F65" s="825" t="str">
        <x:v>샘</x:v>
      </x:c>
      <x:c r="G65" s="825" t="str">
        <x:v>정착지</x:v>
      </x:c>
      <x:c r="H65" s="830" t="n">
        <x:v>1</x:v>
      </x:c>
      <x:c r="I65" s="830" t="n">
        <x:v>0</x:v>
      </x:c>
      <x:c r="J65" s="827" t="str">
        <x:v>기한내필수</x:v>
      </x:c>
      <x:c r="K65" s="825" t="str">
        <x:v>Day9 계획 전</x:v>
      </x:c>
      <x:c r="L65" s="825" t="str">
        <x:v>폭풍 발견</x:v>
      </x:c>
      <x:c r="M65" s="825" t="str">
        <x:v>수송선을 피난처로 쓸 필요성 / 다음날 계획 수립 준비</x:v>
      </x:c>
      <x:c r="N65" s="827" t="str">
        <x:v>공통</x:v>
      </x:c>
      <x:c r="O65" s="827" t="str">
        <x:v>Main</x:v>
      </x:c>
      <x:c r="P65" s="827" t="str">
        <x:v>확정</x:v>
      </x:c>
      <x:c r="Q65" s="825" t="str">
        <x:v>28_W2_NarrativeAuthoring: 수송선을 '출항선'보다 먼저 '피난처'로 재정의.</x:v>
      </x:c>
    </x:row>
    <x:row r="66" ht="15" hidden="0" customHeight="1">
      <x:c r="A66" s="825" t="str">
        <x:v>W2D8_04</x:v>
      </x:c>
      <x:c r="B66" s="827" t="n">
        <x:v>8</x:v>
      </x:c>
      <x:c r="C66" s="827" t="str">
        <x:v>W2</x:v>
      </x:c>
      <x:c r="D66" s="825" t="str">
        <x:v>수송선 시설 1회 복구</x:v>
      </x:c>
      <x:c r="E66" s="825" t="str">
        <x:v>REPAIR</x:v>
      </x:c>
      <x:c r="F66" s="825" t="str">
        <x:v>수송선</x:v>
      </x:c>
      <x:c r="G66" s="825" t="str">
        <x:v>수송선</x:v>
      </x:c>
      <x:c r="H66" s="830" t="n">
        <x:v>2</x:v>
      </x:c>
      <x:c r="I66" s="830" t="n">
        <x:v>0</x:v>
      </x:c>
      <x:c r="J66" s="827" t="str">
        <x:v>선택</x:v>
      </x:c>
      <x:c r="K66" s="825" t="str">
        <x:v>D14 봉쇄 전</x:v>
      </x:c>
      <x:c r="L66" s="825" t="str">
        <x:v>기술 조건 TEMP</x:v>
      </x:c>
      <x:c r="M66" s="825" t="str">
        <x:v>선택 Facility Integrity +1 후보</x:v>
      </x:c>
      <x:c r="N66" s="827" t="str">
        <x:v>공통</x:v>
      </x:c>
      <x:c r="O66" s="827" t="str">
        <x:v>수송선</x:v>
      </x:c>
      <x:c r="P66" s="827" t="str">
        <x:v>TEMP</x:v>
      </x:c>
      <x:c r="Q66" s="825" t="str">
        <x:v>W2부터 수리 투자 가치가 크게 상승.</x:v>
      </x:c>
    </x:row>
    <x:row r="67" ht="15" hidden="0" customHeight="1">
      <x:c r="A67" s="825" t="str">
        <x:v>W2D8_05</x:v>
      </x:c>
      <x:c r="B67" s="827" t="n">
        <x:v>8</x:v>
      </x:c>
      <x:c r="C67" s="827" t="str">
        <x:v>W2</x:v>
      </x:c>
      <x:c r="D67" s="825" t="str">
        <x:v>오아시스 또는 거주지 보존 작업</x:v>
      </x:c>
      <x:c r="E67" s="825" t="str">
        <x:v>PRESERVE</x:v>
      </x:c>
      <x:c r="F67" s="825" t="str">
        <x:v>행성</x:v>
      </x:c>
      <x:c r="G67" s="825" t="str">
        <x:v>오아시스/거주지</x:v>
      </x:c>
      <x:c r="H67" s="830" t="n">
        <x:v>3</x:v>
      </x:c>
      <x:c r="I67" s="830" t="n">
        <x:v>0</x:v>
      </x:c>
      <x:c r="J67" s="827" t="str">
        <x:v>선택</x:v>
      </x:c>
      <x:c r="K67" s="825" t="str">
        <x:v>D14 봉쇄 전</x:v>
      </x:c>
      <x:c r="L67" s="825" t="str">
        <x:v>관련 장소 접근 가능</x:v>
      </x:c>
      <x:c r="M67" s="825" t="str">
        <x:v>Preservation +1 후보 / Hidden·Normal 기반</x:v>
      </x:c>
      <x:c r="N67" s="827" t="str">
        <x:v>Hidden</x:v>
      </x:c>
      <x:c r="O67" s="827" t="str">
        <x:v>행성</x:v>
      </x:c>
      <x:c r="P67" s="827" t="str">
        <x:v>TEMP</x:v>
      </x:c>
      <x:c r="Q67" s="825" t="str">
        <x:v>정확한 +수치와 W1 선행 여부는 밸런스 후.</x:v>
      </x:c>
    </x:row>
    <x:row r="68" ht="24" hidden="0" customHeight="1">
      <x:c r="A68" s="825" t="str">
        <x:v>W2D8_06</x:v>
      </x:c>
      <x:c r="B68" s="827" t="n">
        <x:v>8</x:v>
      </x:c>
      <x:c r="C68" s="827" t="str">
        <x:v>W2</x:v>
      </x:c>
      <x:c r="D68" s="825" t="str">
        <x:v>18:00 이후 야간조 대표와 폭풍 경고 대화</x:v>
      </x:c>
      <x:c r="E68" s="825" t="str">
        <x:v>SIDE</x:v>
      </x:c>
      <x:c r="F68" s="825" t="str">
        <x:v>야간조 대표</x:v>
      </x:c>
      <x:c r="G68" s="825" t="str">
        <x:v>수송선</x:v>
      </x:c>
      <x:c r="H68" s="830" t="n">
        <x:v>1</x:v>
      </x:c>
      <x:c r="I68" s="830" t="n">
        <x:v>0</x:v>
      </x:c>
      <x:c r="J68" s="827" t="str">
        <x:v>선택</x:v>
      </x:c>
      <x:c r="K68" s="825" t="str">
        <x:v>Day8 밤</x:v>
      </x:c>
      <x:c r="L68" s="825" t="str">
        <x:v>18:00 이후 + 폭풍 발견</x:v>
      </x:c>
      <x:c r="M68" s="825" t="str">
        <x:v>야간조 분위기 변화 / 향후 야간 사건 선행 감정</x:v>
      </x:c>
      <x:c r="N68" s="827" t="str">
        <x:v>공통</x:v>
      </x:c>
      <x:c r="O68" s="827" t="str">
        <x:v>세계</x:v>
      </x:c>
      <x:c r="P68" s="827" t="str">
        <x:v>확정</x:v>
      </x:c>
      <x:c r="Q68" s="825" t="str">
        <x:v>야간조가 실제로 준비하고 있음을 보여줌.</x:v>
      </x:c>
    </x:row>
    <x:row r="69" ht="24" hidden="0" customHeight="1">
      <x:c r="A69" s="825" t="str">
        <x:v>W2D8_07</x:v>
      </x:c>
      <x:c r="B69" s="827" t="n">
        <x:v>8</x:v>
      </x:c>
      <x:c r="C69" s="827" t="str">
        <x:v>W2</x:v>
      </x:c>
      <x:c r="D69" s="825" t="str">
        <x:v>성장 또는 휴식 Activity</x:v>
      </x:c>
      <x:c r="E69" s="825" t="str">
        <x:v>ACTIVITY</x:v>
      </x:c>
      <x:c r="F69" s="825" t="str">
        <x:v>제이</x:v>
      </x:c>
      <x:c r="G69" s="825" t="str">
        <x:v>정착지</x:v>
      </x:c>
      <x:c r="H69" s="830" t="n">
        <x:v>2</x:v>
      </x:c>
      <x:c r="I69" s="830" t="n">
        <x:v>0</x:v>
      </x:c>
      <x:c r="J69" s="827" t="str">
        <x:v>선택</x:v>
      </x:c>
      <x:c r="K69" s="825" t="str">
        <x:v>없음</x:v>
      </x:c>
      <x:c r="L69" s="825" t="str">
        <x:v>콘텐츠별 조건</x:v>
      </x:c>
      <x:c r="M69" s="825" t="str">
        <x:v>XP 또는 Will 확보</x:v>
      </x:c>
      <x:c r="N69" s="827" t="str">
        <x:v>공통</x:v>
      </x:c>
      <x:c r="O69" s="827" t="str">
        <x:v>성장</x:v>
      </x:c>
      <x:c r="P69" s="827" t="str">
        <x:v>TEMP</x:v>
      </x:c>
      <x:c r="Q69" s="825" t="str">
        <x:v>폭풍 대비 전에 자기 자원을 준비할 마지막 비교적 여유로운 슬롯.</x:v>
      </x:c>
    </x:row>
    <x:row r="70" ht="24" hidden="0" customHeight="1">
      <x:c r="A70" s="825" t="str">
        <x:v>W2D9_01</x:v>
      </x:c>
      <x:c r="B70" s="827" t="n">
        <x:v>9</x:v>
      </x:c>
      <x:c r="C70" s="827" t="str">
        <x:v>W2</x:v>
      </x:c>
      <x:c r="D70" s="825" t="str">
        <x:v>수송선을 폭풍 피난처로 사용하기로 결정하고 대피 계획 수립</x:v>
      </x:c>
      <x:c r="E70" s="825" t="str">
        <x:v>MAIN</x:v>
      </x:c>
      <x:c r="F70" s="825" t="str">
        <x:v>샘·페이·벤자민</x:v>
      </x:c>
      <x:c r="G70" s="825" t="str">
        <x:v>수송선</x:v>
      </x:c>
      <x:c r="H70" s="830" t="n">
        <x:v>2</x:v>
      </x:c>
      <x:c r="I70" s="830" t="n">
        <x:v>0</x:v>
      </x:c>
      <x:c r="J70" s="827" t="str">
        <x:v>필수</x:v>
      </x:c>
      <x:c r="K70" s="825" t="str">
        <x:v>Day9</x:v>
      </x:c>
      <x:c r="L70" s="825" t="str">
        <x:v>폭풍 발견</x:v>
      </x:c>
      <x:c r="M70" s="825" t="str">
        <x:v>W2 전략 목표 확정 / D14 봉쇄 Main 오픈</x:v>
      </x:c>
      <x:c r="N70" s="827" t="str">
        <x:v>공통</x:v>
      </x:c>
      <x:c r="O70" s="827" t="str">
        <x:v>Main</x:v>
      </x:c>
      <x:c r="P70" s="827" t="str">
        <x:v>확정</x:v>
      </x:c>
      <x:c r="Q70" s="825" t="str">
        <x:v>28_W2_NarrativeAuthoring: 산소/전력/거주 중심 Shelter 계획.</x:v>
      </x:c>
    </x:row>
    <x:row r="71" ht="24" hidden="0" customHeight="1">
      <x:c r="A71" s="825" t="str">
        <x:v>W2D9_02</x:v>
      </x:c>
      <x:c r="B71" s="827" t="n">
        <x:v>9</x:v>
      </x:c>
      <x:c r="C71" s="827" t="str">
        <x:v>W2</x:v>
      </x:c>
      <x:c r="D71" s="825" t="str">
        <x:v>핵심 피난 시설 상태 점검 — 산소/거주/전력</x:v>
      </x:c>
      <x:c r="E71" s="825" t="str">
        <x:v>MAIN</x:v>
      </x:c>
      <x:c r="F71" s="825" t="str">
        <x:v>수송선</x:v>
      </x:c>
      <x:c r="G71" s="825" t="str">
        <x:v>수송선</x:v>
      </x:c>
      <x:c r="H71" s="830" t="n">
        <x:v>2</x:v>
      </x:c>
      <x:c r="I71" s="830" t="n">
        <x:v>0</x:v>
      </x:c>
      <x:c r="J71" s="827" t="str">
        <x:v>기한내필수</x:v>
      </x:c>
      <x:c r="K71" s="825" t="str">
        <x:v>Day10 종료</x:v>
      </x:c>
      <x:c r="L71" s="825" t="str">
        <x:v>대피 계획 수립</x:v>
      </x:c>
      <x:c r="M71" s="825" t="str">
        <x:v>W2에서 반드시 손봐야 할 시설 후보를 플레이어가 파악</x:v>
      </x:c>
      <x:c r="N71" s="827" t="str">
        <x:v>공통</x:v>
      </x:c>
      <x:c r="O71" s="827" t="str">
        <x:v>수송선</x:v>
      </x:c>
      <x:c r="P71" s="827" t="str">
        <x:v>확정</x:v>
      </x:c>
      <x:c r="Q71" s="825" t="str">
        <x:v>28_W2_NarrativeAuthoring: 피난 필수 시설 최소 요구를 플레이어에게 서사적으로 공개.</x:v>
      </x:c>
    </x:row>
    <x:row r="72" ht="36" hidden="0" customHeight="1">
      <x:c r="A72" s="825" t="str">
        <x:v>W2D9_03</x:v>
      </x:c>
      <x:c r="B72" s="827" t="n">
        <x:v>9</x:v>
      </x:c>
      <x:c r="C72" s="827" t="str">
        <x:v>W2</x:v>
      </x:c>
      <x:c r="D72" s="825" t="str">
        <x:v>페이 Character/Side — 엔진 보조전원을 함교 방송망에 연결해 음악을 보내보기</x:v>
      </x:c>
      <x:c r="E72" s="825" t="str">
        <x:v>CHARACTER</x:v>
      </x:c>
      <x:c r="F72" s="825" t="str">
        <x:v>페이</x:v>
      </x:c>
      <x:c r="G72" s="825" t="str">
        <x:v>엔진실↔함교</x:v>
      </x:c>
      <x:c r="H72" s="830" t="n">
        <x:v>2</x:v>
      </x:c>
      <x:c r="I72" s="830" t="n">
        <x:v>0</x:v>
      </x:c>
      <x:c r="J72" s="827" t="str">
        <x:v>선택</x:v>
      </x:c>
      <x:c r="K72" s="825" t="str">
        <x:v>D9~12</x:v>
      </x:c>
      <x:c r="L72" s="825" t="str">
        <x:v>페이 음악꿈 + 엔진&gt;=1 + 함교&gt;=1</x:v>
      </x:c>
      <x:c r="M72" s="825" t="str">
        <x:v>A 회선 보존: Faye+1/AUDIO_LINK_READY/기술XP+1. B 부품 전용: 기술XP+3/Faye-2/AUDIO_LINK_DAMAGED.</x:v>
      </x:c>
      <x:c r="N72" s="827" t="str">
        <x:v>Character</x:v>
      </x:c>
      <x:c r="O72" s="827" t="str">
        <x:v>사람/수송선</x:v>
      </x:c>
      <x:c r="P72" s="827" t="str">
        <x:v>확정방향</x:v>
      </x:c>
      <x:c r="Q72" s="825" t="str">
        <x:v>28_W2_NarrativeAuthoring: 전자음이 함교 전체에 울리는 발견 → 부품 보존/전용 Pivot.</x:v>
      </x:c>
    </x:row>
    <x:row r="73" ht="15" hidden="0" customHeight="1">
      <x:c r="A73" s="825" t="str">
        <x:v>W2D9_04</x:v>
      </x:c>
      <x:c r="B73" s="827" t="n">
        <x:v>9</x:v>
      </x:c>
      <x:c r="C73" s="827" t="str">
        <x:v>W2</x:v>
      </x:c>
      <x:c r="D73" s="825" t="str">
        <x:v>샘의 책임 부담 Episode 듣기</x:v>
      </x:c>
      <x:c r="E73" s="825" t="str">
        <x:v>CHARACTER</x:v>
      </x:c>
      <x:c r="F73" s="825" t="str">
        <x:v>샘</x:v>
      </x:c>
      <x:c r="G73" s="825" t="str">
        <x:v>정착지</x:v>
      </x:c>
      <x:c r="H73" s="830" t="n">
        <x:v>2</x:v>
      </x:c>
      <x:c r="I73" s="830" t="n">
        <x:v>1</x:v>
      </x:c>
      <x:c r="J73" s="827" t="str">
        <x:v>선택</x:v>
      </x:c>
      <x:c r="K73" s="825" t="str">
        <x:v>W2 중</x:v>
      </x:c>
      <x:c r="L73" s="825" t="str">
        <x:v>폭풍 대비 Main 진행</x:v>
      </x:c>
      <x:c r="M73" s="825" t="str">
        <x:v>샘 부담 누적 완화 / 후반 붕괴 리스크 관리</x:v>
      </x:c>
      <x:c r="N73" s="827" t="str">
        <x:v>Character</x:v>
      </x:c>
      <x:c r="O73" s="827" t="str">
        <x:v>사람</x:v>
      </x:c>
      <x:c r="P73" s="827" t="str">
        <x:v>TEMP</x:v>
      </x:c>
      <x:c r="Q73" s="825" t="str">
        <x:v>정확한 Episode 횟수와 Will 비용은 추후 조정.</x:v>
      </x:c>
    </x:row>
    <x:row r="74" ht="15" hidden="0" customHeight="1">
      <x:c r="A74" s="825" t="str">
        <x:v>W2D9_05</x:v>
      </x:c>
      <x:c r="B74" s="827" t="n">
        <x:v>9</x:v>
      </x:c>
      <x:c r="C74" s="827" t="str">
        <x:v>W2</x:v>
      </x:c>
      <x:c r="D74" s="825" t="str">
        <x:v>수송선 핵심 시설 1회 복구</x:v>
      </x:c>
      <x:c r="E74" s="825" t="str">
        <x:v>REPAIR</x:v>
      </x:c>
      <x:c r="F74" s="825" t="str">
        <x:v>수송선</x:v>
      </x:c>
      <x:c r="G74" s="825" t="str">
        <x:v>수송선</x:v>
      </x:c>
      <x:c r="H74" s="830" t="n">
        <x:v>2</x:v>
      </x:c>
      <x:c r="I74" s="830" t="n">
        <x:v>0</x:v>
      </x:c>
      <x:c r="J74" s="827" t="str">
        <x:v>선택</x:v>
      </x:c>
      <x:c r="K74" s="825" t="str">
        <x:v>D14 봉쇄 전</x:v>
      </x:c>
      <x:c r="L74" s="825" t="str">
        <x:v>시설 점검 완료</x:v>
      </x:c>
      <x:c r="M74" s="825" t="str">
        <x:v>Facility Integrity +1 후보 / 기능 unlock 기반</x:v>
      </x:c>
      <x:c r="N74" s="827" t="str">
        <x:v>공통</x:v>
      </x:c>
      <x:c r="O74" s="827" t="str">
        <x:v>수송선</x:v>
      </x:c>
      <x:c r="P74" s="827" t="str">
        <x:v>TEMP</x:v>
      </x:c>
      <x:c r="Q74" s="825" t="str">
        <x:v>함교/엔진/산소/연구/거주 중 우선순위 선택.</x:v>
      </x:c>
    </x:row>
    <x:row r="75" ht="15" hidden="0" customHeight="1">
      <x:c r="A75" s="825" t="str">
        <x:v>W2D9_06</x:v>
      </x:c>
      <x:c r="B75" s="827" t="n">
        <x:v>9</x:v>
      </x:c>
      <x:c r="C75" s="827" t="str">
        <x:v>W2</x:v>
      </x:c>
      <x:c r="D75" s="825" t="str">
        <x:v>오아시스 보존 작업</x:v>
      </x:c>
      <x:c r="E75" s="825" t="str">
        <x:v>PRESERVE</x:v>
      </x:c>
      <x:c r="F75" s="825" t="str">
        <x:v>행성</x:v>
      </x:c>
      <x:c r="G75" s="825" t="str">
        <x:v>오아시스</x:v>
      </x:c>
      <x:c r="H75" s="830" t="n">
        <x:v>3</x:v>
      </x:c>
      <x:c r="I75" s="830" t="n">
        <x:v>0</x:v>
      </x:c>
      <x:c r="J75" s="827" t="str">
        <x:v>선택</x:v>
      </x:c>
      <x:c r="K75" s="825" t="str">
        <x:v>D14 봉쇄 전</x:v>
      </x:c>
      <x:c r="L75" s="825" t="str">
        <x:v>오아시스 접근</x:v>
      </x:c>
      <x:c r="M75" s="825" t="str">
        <x:v>오아시스 펌프·취수정 보존도 +1 후보</x:v>
      </x:c>
      <x:c r="N75" s="827" t="str">
        <x:v>Hidden</x:v>
      </x:c>
      <x:c r="O75" s="827" t="str">
        <x:v>행성</x:v>
      </x:c>
      <x:c r="P75" s="827" t="str">
        <x:v>TEMP</x:v>
      </x:c>
      <x:c r="Q75" s="825" t="str">
        <x:v>수송선 투자와 직접 시간 경쟁.</x:v>
      </x:c>
    </x:row>
    <x:row r="76" ht="24" hidden="0" customHeight="1">
      <x:c r="A76" s="825" t="str">
        <x:v>W2D9_07</x:v>
      </x:c>
      <x:c r="B76" s="827" t="n">
        <x:v>9</x:v>
      </x:c>
      <x:c r="C76" s="827" t="str">
        <x:v>W2</x:v>
      </x:c>
      <x:c r="D76" s="825" t="str">
        <x:v>거주지 보존 작업</x:v>
      </x:c>
      <x:c r="E76" s="825" t="str">
        <x:v>PRESERVE</x:v>
      </x:c>
      <x:c r="F76" s="825" t="str">
        <x:v>행성</x:v>
      </x:c>
      <x:c r="G76" s="825" t="str">
        <x:v>거주지</x:v>
      </x:c>
      <x:c r="H76" s="830" t="n">
        <x:v>3</x:v>
      </x:c>
      <x:c r="I76" s="830" t="n">
        <x:v>0</x:v>
      </x:c>
      <x:c r="J76" s="827" t="str">
        <x:v>선택</x:v>
      </x:c>
      <x:c r="K76" s="825" t="str">
        <x:v>D14 봉쇄 전</x:v>
      </x:c>
      <x:c r="L76" s="825" t="str">
        <x:v>거주지 접근</x:v>
      </x:c>
      <x:c r="M76" s="825" t="str">
        <x:v>거주지 보존도 +1 후보 / 어린이 축제 조건 기여</x:v>
      </x:c>
      <x:c r="N76" s="827" t="str">
        <x:v>Hidden</x:v>
      </x:c>
      <x:c r="O76" s="827" t="str">
        <x:v>행성</x:v>
      </x:c>
      <x:c r="P76" s="827" t="str">
        <x:v>TEMP</x:v>
      </x:c>
      <x:c r="Q76" s="825" t="str">
        <x:v>오아시스와 별도 자원. 둘 다 할 수 있으나 시간이 듦.</x:v>
      </x:c>
    </x:row>
    <x:row r="77" ht="15" hidden="0" customHeight="1">
      <x:c r="A77" s="825" t="str">
        <x:v>W2D9_08</x:v>
      </x:c>
      <x:c r="B77" s="827" t="n">
        <x:v>9</x:v>
      </x:c>
      <x:c r="C77" s="827" t="str">
        <x:v>W2</x:v>
      </x:c>
      <x:c r="D77" s="825" t="str">
        <x:v>18:00 이후 야간조 근무 준비 확인</x:v>
      </x:c>
      <x:c r="E77" s="825" t="str">
        <x:v>SIDE</x:v>
      </x:c>
      <x:c r="F77" s="825" t="str">
        <x:v>야간조 대표</x:v>
      </x:c>
      <x:c r="G77" s="825" t="str">
        <x:v>수송선</x:v>
      </x:c>
      <x:c r="H77" s="830" t="n">
        <x:v>1</x:v>
      </x:c>
      <x:c r="I77" s="830" t="n">
        <x:v>0</x:v>
      </x:c>
      <x:c r="J77" s="827" t="str">
        <x:v>선택</x:v>
      </x:c>
      <x:c r="K77" s="825" t="str">
        <x:v>Day9 밤</x:v>
      </x:c>
      <x:c r="L77" s="825" t="str">
        <x:v>18:00 이후</x:v>
      </x:c>
      <x:c r="M77" s="825" t="str">
        <x:v>야간조 반복 노출 / 샘 사건 전 일상성 강화</x:v>
      </x:c>
      <x:c r="N77" s="827" t="str">
        <x:v>공통</x:v>
      </x:c>
      <x:c r="O77" s="827" t="str">
        <x:v>세계</x:v>
      </x:c>
      <x:c r="P77" s="827" t="str">
        <x:v>확정</x:v>
      </x:c>
      <x:c r="Q77" s="825" t="str">
        <x:v>이름·말투는 아직 TBD.</x:v>
      </x:c>
    </x:row>
    <x:row r="78" ht="15" hidden="0" customHeight="1">
      <x:c r="A78" s="825" t="str">
        <x:v>W2D10_01</x:v>
      </x:c>
      <x:c r="B78" s="827" t="n">
        <x:v>10</x:v>
      </x:c>
      <x:c r="C78" s="827" t="str">
        <x:v>W2</x:v>
      </x:c>
      <x:c r="D78" s="825" t="str">
        <x:v>대피 준비 Main 진행 — 물자·동선·인원 확인</x:v>
      </x:c>
      <x:c r="E78" s="825" t="str">
        <x:v>MAIN</x:v>
      </x:c>
      <x:c r="F78" s="825" t="str">
        <x:v>샘·공동체</x:v>
      </x:c>
      <x:c r="G78" s="825" t="str">
        <x:v>정착지/수송선</x:v>
      </x:c>
      <x:c r="H78" s="830" t="n">
        <x:v>2</x:v>
      </x:c>
      <x:c r="I78" s="830" t="n">
        <x:v>0</x:v>
      </x:c>
      <x:c r="J78" s="827" t="str">
        <x:v>필수</x:v>
      </x:c>
      <x:c r="K78" s="825" t="str">
        <x:v>Day10</x:v>
      </x:c>
      <x:c r="L78" s="825" t="str">
        <x:v>대피 계획 수립</x:v>
      </x:c>
      <x:c r="M78" s="825" t="str">
        <x:v>대피 준비도 진행 / D14 봉쇄 조건 축적</x:v>
      </x:c>
      <x:c r="N78" s="827" t="str">
        <x:v>공통</x:v>
      </x:c>
      <x:c r="O78" s="827" t="str">
        <x:v>Main</x:v>
      </x:c>
      <x:c r="P78" s="827" t="str">
        <x:v>확정</x:v>
      </x:c>
      <x:c r="Q78" s="825" t="str">
        <x:v>세부 작업은 일부 Side/Activity로 분리 가능.</x:v>
      </x:c>
    </x:row>
    <x:row r="79" ht="24" hidden="0" customHeight="1">
      <x:c r="A79" s="825" t="str">
        <x:v>W2D10_02</x:v>
      </x:c>
      <x:c r="B79" s="827" t="n">
        <x:v>10</x:v>
      </x:c>
      <x:c r="C79" s="827" t="str">
        <x:v>W2</x:v>
      </x:c>
      <x:c r="D79" s="825" t="str">
        <x:v>모래폭풍 뒤 미라 실종 Event 발생</x:v>
      </x:c>
      <x:c r="E79" s="825" t="str">
        <x:v>EVENT</x:v>
      </x:c>
      <x:c r="F79" s="825" t="str">
        <x:v>미라·지나</x:v>
      </x:c>
      <x:c r="G79" s="825" t="str">
        <x:v>거주지 외곽/폭풍 뒤 흔적 구역</x:v>
      </x:c>
      <x:c r="H79" s="830" t="n">
        <x:v>0</x:v>
      </x:c>
      <x:c r="I79" s="830" t="n">
        <x:v>0</x:v>
      </x:c>
      <x:c r="J79" s="827" t="str">
        <x:v>필수</x:v>
      </x:c>
      <x:c r="K79" s="825" t="str">
        <x:v>Day10</x:v>
      </x:c>
      <x:c r="L79" s="825" t="str">
        <x:v>모래폭풍 통과 / 미라가 보이지 않음</x:v>
      </x:c>
      <x:c r="M79" s="825" t="str">
        <x:v>미라 수색 활성 / 발자국 소실 정보 / 짧은 수색 Deadline</x:v>
      </x:c>
      <x:c r="N79" s="827" t="str">
        <x:v>공통</x:v>
      </x:c>
      <x:c r="O79" s="827" t="str">
        <x:v>사람</x:v>
      </x:c>
      <x:c r="P79" s="827" t="str">
        <x:v>확정</x:v>
      </x:c>
      <x:c r="Q79" s="825" t="str">
        <x:v>28_W2_NarrativeAuthoring: 모래폭풍 뒤 발자국 소실 → 실종. Jay가 직접 수색해 발견. 구조 실패/지나 희생 Branch 없음.</x:v>
      </x:c>
    </x:row>
    <x:row r="80" ht="24" hidden="0" customHeight="1">
      <x:c r="A80" s="825" t="str">
        <x:v>W2D10_03</x:v>
      </x:c>
      <x:c r="B80" s="827" t="n">
        <x:v>10</x:v>
      </x:c>
      <x:c r="C80" s="827" t="str">
        <x:v>W2</x:v>
      </x:c>
      <x:c r="D80" s="825" t="str">
        <x:v>제이가 실종된 미라를 직접 수색해 발견</x:v>
      </x:c>
      <x:c r="E80" s="825" t="str">
        <x:v>EMERGENCY</x:v>
      </x:c>
      <x:c r="F80" s="825" t="str">
        <x:v>미라·제이</x:v>
      </x:c>
      <x:c r="G80" s="825" t="str">
        <x:v>실종 지점 주변</x:v>
      </x:c>
      <x:c r="H80" s="830" t="n">
        <x:v>2</x:v>
      </x:c>
      <x:c r="I80" s="830" t="n">
        <x:v>1</x:v>
      </x:c>
      <x:c r="J80" s="827" t="str">
        <x:v>조건부</x:v>
      </x:c>
      <x:c r="K80" s="825" t="str">
        <x:v>발생 후 짧은 시간</x:v>
      </x:c>
      <x:c r="L80" s="825" t="str">
        <x:v>미라 수색 ACTIVE</x:v>
      </x:c>
      <x:c r="M80" s="825" t="str">
        <x:v>미라 발견 / 지나 신뢰 변화 / True 지나 루트 핵심 플래그</x:v>
      </x:c>
      <x:c r="N80" s="827" t="str">
        <x:v>True</x:v>
      </x:c>
      <x:c r="O80" s="827" t="str">
        <x:v>사람</x:v>
      </x:c>
      <x:c r="P80" s="827" t="str">
        <x:v>TEMP</x:v>
      </x:c>
      <x:c r="Q80" s="825" t="str">
        <x:v>28_W2_NarrativeAuthoring: Jay가 흔적·지형·주민 증언을 따라 찾는 수색 Scene.</x:v>
      </x:c>
    </x:row>
    <x:row r="81" ht="24" hidden="0" customHeight="1">
      <x:c r="A81" s="825" t="str">
        <x:v>W2D10_04</x:v>
      </x:c>
      <x:c r="B81" s="827" t="n">
        <x:v>10</x:v>
      </x:c>
      <x:c r="C81" s="827" t="str">
        <x:v>W2</x:v>
      </x:c>
      <x:c r="D81" s="825" t="str">
        <x:v>미라 발견 후 지나 — 엄마로 남게 할지, 대피 책임자로 돌려보낼지 결정</x:v>
      </x:c>
      <x:c r="E81" s="825" t="str">
        <x:v>CHARACTER</x:v>
      </x:c>
      <x:c r="F81" s="825" t="str">
        <x:v>지나</x:v>
      </x:c>
      <x:c r="G81" s="825" t="str">
        <x:v>거주지</x:v>
      </x:c>
      <x:c r="H81" s="830" t="n">
        <x:v>1.5</x:v>
      </x:c>
      <x:c r="I81" s="830" t="n">
        <x:v>0</x:v>
      </x:c>
      <x:c r="J81" s="827" t="str">
        <x:v>조건부</x:v>
      </x:c>
      <x:c r="K81" s="825" t="str">
        <x:v>W2 중</x:v>
      </x:c>
      <x:c r="L81" s="825" t="str">
        <x:v>제이가 미라를 직접 수색해 발견</x:v>
      </x:c>
      <x:c r="M81" s="825" t="str">
        <x:v>A 미라 곁: Jina+1/+2h. B 업무 복귀: 강인함XP+2/Jina-1/2h 절약.</x:v>
      </x:c>
      <x:c r="N81" s="827" t="str">
        <x:v>Character</x:v>
      </x:c>
      <x:c r="O81" s="827" t="str">
        <x:v>사람</x:v>
      </x:c>
      <x:c r="P81" s="827" t="str">
        <x:v>확정</x:v>
      </x:c>
      <x:c r="Q81" s="825" t="str">
        <x:v>28_W2_NarrativeAuthoring: 지나가 먼저 업무 복귀 의사를 보인 뒤 Jay가 붙잡을지 보낼지 선택.</x:v>
      </x:c>
    </x:row>
    <x:row r="82" ht="15" hidden="0" customHeight="1">
      <x:c r="A82" s="825" t="str">
        <x:v>W2D10_05</x:v>
      </x:c>
      <x:c r="B82" s="827" t="n">
        <x:v>10</x:v>
      </x:c>
      <x:c r="C82" s="827" t="str">
        <x:v>W2</x:v>
      </x:c>
      <x:c r="D82" s="825" t="str">
        <x:v>수송선 시설 1회 복구</x:v>
      </x:c>
      <x:c r="E82" s="825" t="str">
        <x:v>REPAIR</x:v>
      </x:c>
      <x:c r="F82" s="825" t="str">
        <x:v>수송선</x:v>
      </x:c>
      <x:c r="G82" s="825" t="str">
        <x:v>수송선</x:v>
      </x:c>
      <x:c r="H82" s="830" t="n">
        <x:v>2</x:v>
      </x:c>
      <x:c r="I82" s="830" t="n">
        <x:v>0</x:v>
      </x:c>
      <x:c r="J82" s="827" t="str">
        <x:v>선택</x:v>
      </x:c>
      <x:c r="K82" s="825" t="str">
        <x:v>D14 봉쇄 전</x:v>
      </x:c>
      <x:c r="L82" s="825" t="str">
        <x:v>기술 조건 TEMP</x:v>
      </x:c>
      <x:c r="M82" s="825" t="str">
        <x:v>Facility Integrity +1 후보</x:v>
      </x:c>
      <x:c r="N82" s="827" t="str">
        <x:v>공통</x:v>
      </x:c>
      <x:c r="O82" s="827" t="str">
        <x:v>수송선</x:v>
      </x:c>
      <x:c r="P82" s="827" t="str">
        <x:v>TEMP</x:v>
      </x:c>
      <x:c r="Q82" s="825" t="str">
        <x:v>미라 수색 때문에 계획했던 수리 시간이 밀릴 수 있음.</x:v>
      </x:c>
    </x:row>
    <x:row r="83" ht="15" hidden="0" customHeight="1">
      <x:c r="A83" s="825" t="str">
        <x:v>W2D10_06</x:v>
      </x:c>
      <x:c r="B83" s="827" t="n">
        <x:v>10</x:v>
      </x:c>
      <x:c r="C83" s="827" t="str">
        <x:v>W2</x:v>
      </x:c>
      <x:c r="D83" s="825" t="str">
        <x:v>오아시스 보존 작업</x:v>
      </x:c>
      <x:c r="E83" s="825" t="str">
        <x:v>PRESERVE</x:v>
      </x:c>
      <x:c r="F83" s="825" t="str">
        <x:v>행성</x:v>
      </x:c>
      <x:c r="G83" s="825" t="str">
        <x:v>오아시스</x:v>
      </x:c>
      <x:c r="H83" s="830" t="n">
        <x:v>3</x:v>
      </x:c>
      <x:c r="I83" s="830" t="n">
        <x:v>0</x:v>
      </x:c>
      <x:c r="J83" s="827" t="str">
        <x:v>선택</x:v>
      </x:c>
      <x:c r="K83" s="825" t="str">
        <x:v>D14 봉쇄 전</x:v>
      </x:c>
      <x:c r="L83" s="825" t="str">
        <x:v>오아시스 접근</x:v>
      </x:c>
      <x:c r="M83" s="825" t="str">
        <x:v>오아시스 펌프·취수정 보존도 +1 후보</x:v>
      </x:c>
      <x:c r="N83" s="827" t="str">
        <x:v>Hidden</x:v>
      </x:c>
      <x:c r="O83" s="827" t="str">
        <x:v>행성</x:v>
      </x:c>
      <x:c r="P83" s="827" t="str">
        <x:v>TEMP</x:v>
      </x:c>
      <x:c r="Q83" s="825" t="str">
        <x:v>Hidden 기반.</x:v>
      </x:c>
    </x:row>
    <x:row r="84" ht="15" hidden="0" customHeight="1">
      <x:c r="A84" s="825" t="str">
        <x:v>W2D10_07</x:v>
      </x:c>
      <x:c r="B84" s="827" t="n">
        <x:v>10</x:v>
      </x:c>
      <x:c r="C84" s="827" t="str">
        <x:v>W2</x:v>
      </x:c>
      <x:c r="D84" s="825" t="str">
        <x:v>거주지 보존 작업</x:v>
      </x:c>
      <x:c r="E84" s="825" t="str">
        <x:v>PRESERVE</x:v>
      </x:c>
      <x:c r="F84" s="825" t="str">
        <x:v>행성</x:v>
      </x:c>
      <x:c r="G84" s="825" t="str">
        <x:v>거주지</x:v>
      </x:c>
      <x:c r="H84" s="830" t="n">
        <x:v>3</x:v>
      </x:c>
      <x:c r="I84" s="830" t="n">
        <x:v>0</x:v>
      </x:c>
      <x:c r="J84" s="827" t="str">
        <x:v>선택</x:v>
      </x:c>
      <x:c r="K84" s="825" t="str">
        <x:v>D14 봉쇄 전</x:v>
      </x:c>
      <x:c r="L84" s="825" t="str">
        <x:v>거주지 접근</x:v>
      </x:c>
      <x:c r="M84" s="825" t="str">
        <x:v>거주지 보존도 +1 후보 / 축제 조건 기여</x:v>
      </x:c>
      <x:c r="N84" s="827" t="str">
        <x:v>Hidden</x:v>
      </x:c>
      <x:c r="O84" s="827" t="str">
        <x:v>행성</x:v>
      </x:c>
      <x:c r="P84" s="827" t="str">
        <x:v>TEMP</x:v>
      </x:c>
      <x:c r="Q84" s="825" t="str">
        <x:v>미라 실종 사건과 같은 날이라 감정/시간 경쟁이 강함.</x:v>
      </x:c>
    </x:row>
    <x:row r="85" ht="24" hidden="0" customHeight="1">
      <x:c r="A85" s="825" t="str">
        <x:v>W2D10_08</x:v>
      </x:c>
      <x:c r="B85" s="827" t="n">
        <x:v>10</x:v>
      </x:c>
      <x:c r="C85" s="827" t="str">
        <x:v>W2</x:v>
      </x:c>
      <x:c r="D85" s="825" t="str">
        <x:v>벤자민 Route Deepening — 묘지에서 마지막으로 손볼 것</x:v>
      </x:c>
      <x:c r="E85" s="825" t="str">
        <x:v>CHARACTER</x:v>
      </x:c>
      <x:c r="F85" s="825" t="str">
        <x:v>벤자민</x:v>
      </x:c>
      <x:c r="G85" s="825" t="str">
        <x:v>묘지</x:v>
      </x:c>
      <x:c r="H85" s="830" t="n">
        <x:v>2</x:v>
      </x:c>
      <x:c r="I85" s="830" t="n">
        <x:v>0</x:v>
      </x:c>
      <x:c r="J85" s="827" t="str">
        <x:v>선택</x:v>
      </x:c>
      <x:c r="K85" s="825" t="str">
        <x:v>W2 중</x:v>
      </x:c>
      <x:c r="L85" s="825" t="str">
        <x:v>벤자민 W1 Character 진행</x:v>
      </x:c>
      <x:c r="M85" s="825" t="str">
        <x:v>Benjamin Full Route Mastery Deepening / 기억을 장소에만 묶어두는 습관을 다시 확인</x:v>
      </x:c>
      <x:c r="N85" s="827" t="str">
        <x:v>Character</x:v>
      </x:c>
      <x:c r="O85" s="827" t="str">
        <x:v>사람</x:v>
      </x:c>
      <x:c r="P85" s="827" t="str">
        <x:v>TEMP 확정 후보</x:v>
      </x:c>
      <x:c r="Q85" s="825" t="str">
        <x:v>W3 Final unlock 자체에는 필수 아님. W1 묘지 + D12 Living Ship milestone만으로 UNDECIDED Final 가능.</x:v>
      </x:c>
    </x:row>
    <x:row r="86" ht="15" hidden="0" customHeight="1">
      <x:c r="A86" s="825" t="str">
        <x:v>W2D10_09</x:v>
      </x:c>
      <x:c r="B86" s="827" t="n">
        <x:v>10</x:v>
      </x:c>
      <x:c r="C86" s="827" t="str">
        <x:v>W2</x:v>
      </x:c>
      <x:c r="D86" s="825" t="str">
        <x:v>성장 또는 휴식 Activity</x:v>
      </x:c>
      <x:c r="E86" s="825" t="str">
        <x:v>ACTIVITY</x:v>
      </x:c>
      <x:c r="F86" s="825" t="str">
        <x:v>제이</x:v>
      </x:c>
      <x:c r="G86" s="825" t="str">
        <x:v>정착지</x:v>
      </x:c>
      <x:c r="H86" s="830" t="n">
        <x:v>2</x:v>
      </x:c>
      <x:c r="I86" s="830" t="n">
        <x:v>0</x:v>
      </x:c>
      <x:c r="J86" s="827" t="str">
        <x:v>선택</x:v>
      </x:c>
      <x:c r="K86" s="825" t="str">
        <x:v>없음</x:v>
      </x:c>
      <x:c r="L86" s="825" t="str">
        <x:v>콘텐츠별 조건</x:v>
      </x:c>
      <x:c r="M86" s="825" t="str">
        <x:v>XP 또는 Will</x:v>
      </x:c>
      <x:c r="N86" s="827" t="str">
        <x:v>공통</x:v>
      </x:c>
      <x:c r="O86" s="827" t="str">
        <x:v>성장</x:v>
      </x:c>
      <x:c r="P86" s="827" t="str">
        <x:v>TEMP</x:v>
      </x:c>
      <x:c r="Q86" s="825" t="str">
        <x:v>Emergency 대응으로 자원 소모 후 회복 선택 가능.</x:v>
      </x:c>
    </x:row>
    <x:row r="87" ht="24" hidden="0" customHeight="1">
      <x:c r="A87" s="825" t="str">
        <x:v>W2D11_01</x:v>
      </x:c>
      <x:c r="B87" s="827" t="n">
        <x:v>11</x:v>
      </x:c>
      <x:c r="C87" s="827" t="str">
        <x:v>W2</x:v>
      </x:c>
      <x:c r="D87" s="825" t="str">
        <x:v>대피 준비 Main 진행 — 주민 이동 계획/필수 물자</x:v>
      </x:c>
      <x:c r="E87" s="825" t="str">
        <x:v>MAIN</x:v>
      </x:c>
      <x:c r="F87" s="825" t="str">
        <x:v>샘·디야·공동체</x:v>
      </x:c>
      <x:c r="G87" s="825" t="str">
        <x:v>정착지</x:v>
      </x:c>
      <x:c r="H87" s="830" t="n">
        <x:v>2</x:v>
      </x:c>
      <x:c r="I87" s="830" t="n">
        <x:v>0</x:v>
      </x:c>
      <x:c r="J87" s="827" t="str">
        <x:v>필수</x:v>
      </x:c>
      <x:c r="K87" s="825" t="str">
        <x:v>Day11</x:v>
      </x:c>
      <x:c r="L87" s="825" t="str">
        <x:v>대피 준비도 진행</x:v>
      </x:c>
      <x:c r="M87" s="825" t="str">
        <x:v>D14 전환 준비 / 공동체 전체가 폭풍을 체감</x:v>
      </x:c>
      <x:c r="N87" s="827" t="str">
        <x:v>공통</x:v>
      </x:c>
      <x:c r="O87" s="827" t="str">
        <x:v>Main</x:v>
      </x:c>
      <x:c r="P87" s="827" t="str">
        <x:v>확정</x:v>
      </x:c>
      <x:c r="Q87" s="825" t="str">
        <x:v>W2 Main을 매일 2h 강제하지 않도록 이후 조정 가능.</x:v>
      </x:c>
    </x:row>
    <x:row r="88" ht="24" hidden="0" customHeight="1">
      <x:c r="A88" s="825" t="str">
        <x:v>W2D11_02</x:v>
      </x:c>
      <x:c r="B88" s="827" t="n">
        <x:v>11</x:v>
      </x:c>
      <x:c r="C88" s="827" t="str">
        <x:v>W2</x:v>
      </x:c>
      <x:c r="D88" s="825" t="str">
        <x:v>어린이 축제/공동체 휴식 Event</x:v>
      </x:c>
      <x:c r="E88" s="825" t="str">
        <x:v>SIDE</x:v>
      </x:c>
      <x:c r="F88" s="825" t="str">
        <x:v>디야·미라·아이들</x:v>
      </x:c>
      <x:c r="G88" s="825" t="str">
        <x:v>거주지</x:v>
      </x:c>
      <x:c r="H88" s="830" t="n">
        <x:v>2</x:v>
      </x:c>
      <x:c r="I88" s="830" t="n">
        <x:v>0</x:v>
      </x:c>
      <x:c r="J88" s="827" t="str">
        <x:v>조건부</x:v>
      </x:c>
      <x:c r="K88" s="825" t="str">
        <x:v>D11~12</x:v>
      </x:c>
      <x:c r="L88" s="825" t="str">
        <x:v>거주지 보존 &gt;=2 (TEMP Proxy)</x:v>
      </x:c>
      <x:c r="M88" s="825" t="str">
        <x:v>큰 Will 회복 후보 / 아이들이 넓은 곳에서 뛰노는 장면</x:v>
      </x:c>
      <x:c r="N88" s="827" t="str">
        <x:v>Hidden/Character</x:v>
      </x:c>
      <x:c r="O88" s="827" t="str">
        <x:v>사람</x:v>
      </x:c>
      <x:c r="P88" s="827" t="str">
        <x:v>확정</x:v>
      </x:c>
      <x:c r="Q88" s="825" t="str">
        <x:v>28_W2_NarrativeAuthoring: '폭풍 오기 전 축제'라는 즉흥적 작은 축제. Will+2 후보.</x:v>
      </x:c>
    </x:row>
    <x:row r="89" ht="36" hidden="0" customHeight="1">
      <x:c r="A89" s="825" t="str">
        <x:v>W2D11_03</x:v>
      </x:c>
      <x:c r="B89" s="827" t="n">
        <x:v>11</x:v>
      </x:c>
      <x:c r="C89" s="827" t="str">
        <x:v>W2</x:v>
      </x:c>
      <x:c r="D89" s="825" t="str">
        <x:v>축제 후 디야 — 아이들의 미래를 누가 결정할지 대면</x:v>
      </x:c>
      <x:c r="E89" s="825" t="str">
        <x:v>CHARACTER</x:v>
      </x:c>
      <x:c r="F89" s="825" t="str">
        <x:v>디야·제이</x:v>
      </x:c>
      <x:c r="G89" s="825" t="str">
        <x:v>거주지</x:v>
      </x:c>
      <x:c r="H89" s="830" t="n">
        <x:v>2</x:v>
      </x:c>
      <x:c r="I89" s="830" t="n">
        <x:v>0</x:v>
      </x:c>
      <x:c r="J89" s="827" t="str">
        <x:v>조건부</x:v>
      </x:c>
      <x:c r="K89" s="825" t="str">
        <x:v>축제 후</x:v>
      </x:c>
      <x:c r="L89" s="825" t="str">
        <x:v>어린이 축제 발생</x:v>
      </x:c>
      <x:c r="M89" s="825" t="str">
        <x:v>A 아이에게 묻자: 교감XP+2/TRUE_CHILD_CHOICE/Diya-1. B 이곳을 집으로: HIDDEN_HOME_CHOICE/Diya+1.</x:v>
      </x:c>
      <x:c r="N89" s="827" t="str">
        <x:v>True/Hidden</x:v>
      </x:c>
      <x:c r="O89" s="827" t="str">
        <x:v>사람</x:v>
      </x:c>
      <x:c r="P89" s="827" t="str">
        <x:v>확정</x:v>
      </x:c>
      <x:c r="Q89" s="825" t="str">
        <x:v>28_W2_NarrativeAuthoring: 아이 미래 가치 Fork. Route Flag는 Hover 비공개.</x:v>
      </x:c>
    </x:row>
    <x:row r="90" ht="24" hidden="0" customHeight="1">
      <x:c r="A90" s="825" t="str">
        <x:v>W2D11_04</x:v>
      </x:c>
      <x:c r="B90" s="827" t="n">
        <x:v>11</x:v>
      </x:c>
      <x:c r="C90" s="827" t="str">
        <x:v>W2</x:v>
      </x:c>
      <x:c r="D90" s="825" t="str">
        <x:v>수송선 시설 1회 복구</x:v>
      </x:c>
      <x:c r="E90" s="825" t="str">
        <x:v>REPAIR</x:v>
      </x:c>
      <x:c r="F90" s="825" t="str">
        <x:v>수송선</x:v>
      </x:c>
      <x:c r="G90" s="825" t="str">
        <x:v>수송선</x:v>
      </x:c>
      <x:c r="H90" s="830" t="n">
        <x:v>2</x:v>
      </x:c>
      <x:c r="I90" s="830" t="n">
        <x:v>0</x:v>
      </x:c>
      <x:c r="J90" s="827" t="str">
        <x:v>선택</x:v>
      </x:c>
      <x:c r="K90" s="825" t="str">
        <x:v>D14 봉쇄 전</x:v>
      </x:c>
      <x:c r="L90" s="825" t="str">
        <x:v>기술 조건 TEMP</x:v>
      </x:c>
      <x:c r="M90" s="825" t="str">
        <x:v>Facility Integrity +1 후보</x:v>
      </x:c>
      <x:c r="N90" s="827" t="str">
        <x:v>공통</x:v>
      </x:c>
      <x:c r="O90" s="827" t="str">
        <x:v>수송선</x:v>
      </x:c>
      <x:c r="P90" s="827" t="str">
        <x:v>TEMP</x:v>
      </x:c>
      <x:c r="Q90" s="825" t="str">
        <x:v>축제/디야 Route를 선택하면 같은 날 복구 시간이 밀리는 경쟁. Festival Gate는 W2D11_02에서 판정.</x:v>
      </x:c>
    </x:row>
    <x:row r="91" ht="15" hidden="0" customHeight="1">
      <x:c r="A91" s="825" t="str">
        <x:v>W2D11_05</x:v>
      </x:c>
      <x:c r="B91" s="827" t="n">
        <x:v>11</x:v>
      </x:c>
      <x:c r="C91" s="827" t="str">
        <x:v>W2</x:v>
      </x:c>
      <x:c r="D91" s="825" t="str">
        <x:v>오아시스 보존 작업</x:v>
      </x:c>
      <x:c r="E91" s="825" t="str">
        <x:v>PRESERVE</x:v>
      </x:c>
      <x:c r="F91" s="825" t="str">
        <x:v>행성</x:v>
      </x:c>
      <x:c r="G91" s="825" t="str">
        <x:v>오아시스</x:v>
      </x:c>
      <x:c r="H91" s="830" t="n">
        <x:v>3</x:v>
      </x:c>
      <x:c r="I91" s="830" t="n">
        <x:v>0</x:v>
      </x:c>
      <x:c r="J91" s="827" t="str">
        <x:v>선택</x:v>
      </x:c>
      <x:c r="K91" s="825" t="str">
        <x:v>D14 봉쇄 전</x:v>
      </x:c>
      <x:c r="L91" s="825" t="str">
        <x:v>오아시스 접근</x:v>
      </x:c>
      <x:c r="M91" s="825" t="str">
        <x:v>오아시스 펌프·취수정 보존도 +1 후보</x:v>
      </x:c>
      <x:c r="N91" s="827" t="str">
        <x:v>Hidden</x:v>
      </x:c>
      <x:c r="O91" s="827" t="str">
        <x:v>행성</x:v>
      </x:c>
      <x:c r="P91" s="827" t="str">
        <x:v>TEMP</x:v>
      </x:c>
      <x:c r="Q91" s="825" t="str">
        <x:v>축제와 Hidden 기반이 같은 날 시간 경쟁.</x:v>
      </x:c>
    </x:row>
    <x:row r="92" ht="15" hidden="0" customHeight="1">
      <x:c r="A92" s="825" t="str">
        <x:v>W2D11_06</x:v>
      </x:c>
      <x:c r="B92" s="827" t="n">
        <x:v>11</x:v>
      </x:c>
      <x:c r="C92" s="827" t="str">
        <x:v>W2</x:v>
      </x:c>
      <x:c r="D92" s="825" t="str">
        <x:v>거주지 보존 작업</x:v>
      </x:c>
      <x:c r="E92" s="825" t="str">
        <x:v>PRESERVE</x:v>
      </x:c>
      <x:c r="F92" s="825" t="str">
        <x:v>행성</x:v>
      </x:c>
      <x:c r="G92" s="825" t="str">
        <x:v>거주지</x:v>
      </x:c>
      <x:c r="H92" s="830" t="n">
        <x:v>3</x:v>
      </x:c>
      <x:c r="I92" s="830" t="n">
        <x:v>0</x:v>
      </x:c>
      <x:c r="J92" s="827" t="str">
        <x:v>선택</x:v>
      </x:c>
      <x:c r="K92" s="825" t="str">
        <x:v>D14 봉쇄 전</x:v>
      </x:c>
      <x:c r="L92" s="825" t="str">
        <x:v>거주지 접근</x:v>
      </x:c>
      <x:c r="M92" s="825" t="str">
        <x:v>거주지 보존도 +1 후보</x:v>
      </x:c>
      <x:c r="N92" s="827" t="str">
        <x:v>Hidden</x:v>
      </x:c>
      <x:c r="O92" s="827" t="str">
        <x:v>행성</x:v>
      </x:c>
      <x:c r="P92" s="827" t="str">
        <x:v>TEMP</x:v>
      </x:c>
      <x:c r="Q92" s="825" t="str">
        <x:v>축제 오픈 전에 필요한 최소 보존량은 추후 밸런스.</x:v>
      </x:c>
    </x:row>
    <x:row r="93" ht="15" hidden="0" customHeight="1">
      <x:c r="A93" s="825" t="str">
        <x:v>W2D11_07</x:v>
      </x:c>
      <x:c r="B93" s="827" t="n">
        <x:v>11</x:v>
      </x:c>
      <x:c r="C93" s="827" t="str">
        <x:v>W2</x:v>
      </x:c>
      <x:c r="D93" s="825" t="str">
        <x:v>샘 또는 페이 Character Episode 진행</x:v>
      </x:c>
      <x:c r="E93" s="825" t="str">
        <x:v>CHARACTER</x:v>
      </x:c>
      <x:c r="F93" s="825" t="str">
        <x:v>샘/페이</x:v>
      </x:c>
      <x:c r="G93" s="825" t="str">
        <x:v>정착지/수송선</x:v>
      </x:c>
      <x:c r="H93" s="830" t="n">
        <x:v>2</x:v>
      </x:c>
      <x:c r="I93" s="830" t="n">
        <x:v>0</x:v>
      </x:c>
      <x:c r="J93" s="827" t="str">
        <x:v>선택</x:v>
      </x:c>
      <x:c r="K93" s="825" t="str">
        <x:v>W2 중</x:v>
      </x:c>
      <x:c r="L93" s="825" t="str">
        <x:v>해당 선행 조건</x:v>
      </x:c>
      <x:c r="M93" s="825" t="str">
        <x:v>개인 아크 진행</x:v>
      </x:c>
      <x:c r="N93" s="827" t="str">
        <x:v>Character</x:v>
      </x:c>
      <x:c r="O93" s="827" t="str">
        <x:v>사람</x:v>
      </x:c>
      <x:c r="P93" s="827" t="str">
        <x:v>TEMP</x:v>
      </x:c>
      <x:c r="Q93" s="825" t="str">
        <x:v>둘을 동시에 밀기 어려운 의도적 경쟁 슬롯.</x:v>
      </x:c>
    </x:row>
    <x:row r="94" ht="15" hidden="0" customHeight="1">
      <x:c r="A94" s="825" t="str">
        <x:v>W2D11_08</x:v>
      </x:c>
      <x:c r="B94" s="827" t="n">
        <x:v>11</x:v>
      </x:c>
      <x:c r="C94" s="827" t="str">
        <x:v>W2</x:v>
      </x:c>
      <x:c r="D94" s="825" t="str">
        <x:v>휴식/성장 Activity</x:v>
      </x:c>
      <x:c r="E94" s="825" t="str">
        <x:v>ACTIVITY</x:v>
      </x:c>
      <x:c r="F94" s="825" t="str">
        <x:v>제이</x:v>
      </x:c>
      <x:c r="G94" s="825" t="str">
        <x:v>정착지</x:v>
      </x:c>
      <x:c r="H94" s="830" t="n">
        <x:v>2</x:v>
      </x:c>
      <x:c r="I94" s="830" t="n">
        <x:v>0</x:v>
      </x:c>
      <x:c r="J94" s="827" t="str">
        <x:v>선택</x:v>
      </x:c>
      <x:c r="K94" s="825" t="str">
        <x:v>없음</x:v>
      </x:c>
      <x:c r="L94" s="825" t="str">
        <x:v>콘텐츠별 조건</x:v>
      </x:c>
      <x:c r="M94" s="825" t="str">
        <x:v>Will 또는 XP</x:v>
      </x:c>
      <x:c r="N94" s="827" t="str">
        <x:v>공통</x:v>
      </x:c>
      <x:c r="O94" s="827" t="str">
        <x:v>성장</x:v>
      </x:c>
      <x:c r="P94" s="827" t="str">
        <x:v>TEMP</x:v>
      </x:c>
      <x:c r="Q94" s="825" t="str">
        <x:v>축제 미발생 플레이에도 기본 선택지 유지.</x:v>
      </x:c>
    </x:row>
    <x:row r="95" ht="24" hidden="0" customHeight="1">
      <x:c r="A95" s="825" t="str">
        <x:v>W2D12_01</x:v>
      </x:c>
      <x:c r="B95" s="827" t="n">
        <x:v>12</x:v>
      </x:c>
      <x:c r="C95" s="827" t="str">
        <x:v>W2</x:v>
      </x:c>
      <x:c r="D95" s="825" t="str">
        <x:v>대피 준비 Main 진행 — 수송선 내부 수용/생명유지 확인</x:v>
      </x:c>
      <x:c r="E95" s="825" t="str">
        <x:v>MAIN</x:v>
      </x:c>
      <x:c r="F95" s="825" t="str">
        <x:v>샘·페이·벤자민</x:v>
      </x:c>
      <x:c r="G95" s="825" t="str">
        <x:v>수송선</x:v>
      </x:c>
      <x:c r="H95" s="830" t="n">
        <x:v>2</x:v>
      </x:c>
      <x:c r="I95" s="830" t="n">
        <x:v>0</x:v>
      </x:c>
      <x:c r="J95" s="827" t="str">
        <x:v>필수</x:v>
      </x:c>
      <x:c r="K95" s="825" t="str">
        <x:v>Day12</x:v>
      </x:c>
      <x:c r="L95" s="825" t="str">
        <x:v>대피 준비도 진행</x:v>
      </x:c>
      <x:c r="M95" s="825" t="str">
        <x:v>산소/거주/전력 준비가 D14 봉쇄와 연결</x:v>
      </x:c>
      <x:c r="N95" s="827" t="str">
        <x:v>공통</x:v>
      </x:c>
      <x:c r="O95" s="827" t="str">
        <x:v>Main</x:v>
      </x:c>
      <x:c r="P95" s="827" t="str">
        <x:v>확정</x:v>
      </x:c>
      <x:c r="Q95" s="825" t="str">
        <x:v>W3 시설 규칙의 재확인.</x:v>
      </x:c>
    </x:row>
    <x:row r="96" ht="24" hidden="0" customHeight="1">
      <x:c r="A96" s="825" t="str">
        <x:v>W2D12_02</x:v>
      </x:c>
      <x:c r="B96" s="827" t="n">
        <x:v>12</x:v>
      </x:c>
      <x:c r="C96" s="827" t="str">
        <x:v>W2</x:v>
      </x:c>
      <x:c r="D96" s="825" t="str">
        <x:v>지나와 제이의 과거를 깊게 이야기하기</x:v>
      </x:c>
      <x:c r="E96" s="825" t="str">
        <x:v>CHARACTER</x:v>
      </x:c>
      <x:c r="F96" s="825" t="str">
        <x:v>지나·제이</x:v>
      </x:c>
      <x:c r="G96" s="825" t="str">
        <x:v>정착지</x:v>
      </x:c>
      <x:c r="H96" s="830" t="n">
        <x:v>2</x:v>
      </x:c>
      <x:c r="I96" s="830" t="n">
        <x:v>0</x:v>
      </x:c>
      <x:c r="J96" s="827" t="str">
        <x:v>조건부</x:v>
      </x:c>
      <x:c r="K96" s="825" t="str">
        <x:v>W2 중</x:v>
      </x:c>
      <x:c r="L96" s="825" t="str">
        <x:v>지나 W1 Character 진행</x:v>
      </x:c>
      <x:c r="M96" s="825" t="str">
        <x:v>Jay의 과거 책임 공개 / Jina Full Route Mastery Deepening</x:v>
      </x:c>
      <x:c r="N96" s="827" t="str">
        <x:v>Character</x:v>
      </x:c>
      <x:c r="O96" s="827" t="str">
        <x:v>사람</x:v>
      </x:c>
      <x:c r="P96" s="827" t="str">
        <x:v>확정</x:v>
      </x:c>
      <x:c r="Q96" s="825" t="str">
        <x:v>28_W2_NarrativeAuthoring: 십 년 전 정착 상자를 통해 과거 Jay와 현재 Jina를 비교.</x:v>
      </x:c>
    </x:row>
    <x:row r="97" ht="36" hidden="0" customHeight="1">
      <x:c r="A97" s="825" t="str">
        <x:v>W2D12_03</x:v>
      </x:c>
      <x:c r="B97" s="827" t="n">
        <x:v>12</x:v>
      </x:c>
      <x:c r="C97" s="827" t="str">
        <x:v>W2</x:v>
      </x:c>
      <x:c r="D97" s="825" t="str">
        <x:v>벤자민 — 묘지와 '살아 있는 사람들의 배' 중 무엇을 먼저 볼지 선택</x:v>
      </x:c>
      <x:c r="E97" s="825" t="str">
        <x:v>CHARACTER</x:v>
      </x:c>
      <x:c r="F97" s="825" t="str">
        <x:v>벤자민</x:v>
      </x:c>
      <x:c r="G97" s="825" t="str">
        <x:v>수송선</x:v>
      </x:c>
      <x:c r="H97" s="830" t="n">
        <x:v>1.5</x:v>
      </x:c>
      <x:c r="I97" s="830" t="n">
        <x:v>0</x:v>
      </x:c>
      <x:c r="J97" s="827" t="str">
        <x:v>조건부</x:v>
      </x:c>
      <x:c r="K97" s="825" t="str">
        <x:v>W2 중</x:v>
      </x:c>
      <x:c r="L97" s="825" t="str">
        <x:v>Hull&gt;=10 + 함교/엔진/산소/연구/거주 중 3개 이상 Integrity&gt;=3 (TEMP)</x:v>
      </x:c>
      <x:c r="M97" s="825" t="str">
        <x:v>A 배를 같이 본다: 강인함XP+2/Ben-1/LIVING_SHIP_OPEN. B 묘지부터: Ben+1/STAY_MEMORY_REINFORCED.</x:v>
      </x:c>
      <x:c r="N97" s="827" t="str">
        <x:v>Character</x:v>
      </x:c>
      <x:c r="O97" s="827" t="str">
        <x:v>사람</x:v>
      </x:c>
      <x:c r="P97" s="827" t="str">
        <x:v>TBD</x:v>
      </x:c>
      <x:c r="Q97" s="825" t="str">
        <x:v>28_W2_NarrativeAuthoring: 묘지 vs 살아 있는 사람의 배, 우선순위 Pivot.</x:v>
      </x:c>
    </x:row>
    <x:row r="98" ht="24" hidden="0" customHeight="1">
      <x:c r="A98" s="825" t="str">
        <x:v>W2D12_04</x:v>
      </x:c>
      <x:c r="B98" s="827" t="n">
        <x:v>12</x:v>
      </x:c>
      <x:c r="C98" s="827" t="str">
        <x:v>W2</x:v>
      </x:c>
      <x:c r="D98" s="825" t="str">
        <x:v>온실 작물 시험재배 — "모래에서도 자랄까"</x:v>
      </x:c>
      <x:c r="E98" s="825" t="str">
        <x:v>SIDE</x:v>
      </x:c>
      <x:c r="F98" s="825" t="str">
        <x:v>디야·보리치·정착민</x:v>
      </x:c>
      <x:c r="G98" s="825" t="str">
        <x:v>거주지 외곽 시험밭</x:v>
      </x:c>
      <x:c r="H98" s="830" t="n">
        <x:v>1.5</x:v>
      </x:c>
      <x:c r="I98" s="830" t="n">
        <x:v>0</x:v>
      </x:c>
      <x:c r="J98" s="827" t="str">
        <x:v>선택</x:v>
      </x:c>
      <x:c r="K98" s="825" t="str">
        <x:v>D11~13 / D14 봉쇄 전</x:v>
      </x:c>
      <x:c r="L98" s="825" t="str">
        <x:v>온실 접근 + 오아시스/거주지 접근</x:v>
      </x:c>
      <x:c r="M98" s="825" t="str">
        <x:v>온실 중요성+행성 농업 가능성 암시 / Diya·Borichi Full Route Deepening 후보</x:v>
      </x:c>
      <x:c r="N98" s="827" t="str">
        <x:v>공통 / Hidden 암시</x:v>
      </x:c>
      <x:c r="O98" s="827" t="str">
        <x:v>세계·행성</x:v>
      </x:c>
      <x:c r="P98" s="827" t="str">
        <x:v>확정방향</x:v>
      </x:c>
      <x:c r="Q98" s="825" t="str">
        <x:v>28_W2_NarrativeAuthoring: 작물이 즉시 죽지 않는 정도의 결과만 제시. Sustainability 직접 변화 없음.</x:v>
      </x:c>
    </x:row>
    <x:row r="99" ht="15" hidden="0" customHeight="1">
      <x:c r="A99" s="825" t="str">
        <x:v>W2D12_05</x:v>
      </x:c>
      <x:c r="B99" s="827" t="n">
        <x:v>12</x:v>
      </x:c>
      <x:c r="C99" s="827" t="str">
        <x:v>W2</x:v>
      </x:c>
      <x:c r="D99" s="825" t="str">
        <x:v>핵심 시설 집중 복구</x:v>
      </x:c>
      <x:c r="E99" s="825" t="str">
        <x:v>REPAIR</x:v>
      </x:c>
      <x:c r="F99" s="825" t="str">
        <x:v>수송선</x:v>
      </x:c>
      <x:c r="G99" s="825" t="str">
        <x:v>수송선</x:v>
      </x:c>
      <x:c r="H99" s="830" t="n">
        <x:v>2</x:v>
      </x:c>
      <x:c r="I99" s="830" t="n">
        <x:v>0</x:v>
      </x:c>
      <x:c r="J99" s="827" t="str">
        <x:v>선택</x:v>
      </x:c>
      <x:c r="K99" s="825" t="str">
        <x:v>D14 봉쇄 전</x:v>
      </x:c>
      <x:c r="L99" s="825" t="str">
        <x:v>기술 조건 TEMP</x:v>
      </x:c>
      <x:c r="M99" s="825" t="str">
        <x:v>Facility Integrity +1 후보 / W3 시작상태 개선</x:v>
      </x:c>
      <x:c r="N99" s="827" t="str">
        <x:v>공통</x:v>
      </x:c>
      <x:c r="O99" s="827" t="str">
        <x:v>수송선</x:v>
      </x:c>
      <x:c r="P99" s="827" t="str">
        <x:v>TEMP</x:v>
      </x:c>
      <x:c r="Q99" s="825" t="str">
        <x:v>W2 말미라 수리 우선순위가 강해짐.</x:v>
      </x:c>
    </x:row>
    <x:row r="100" ht="24" hidden="0" customHeight="1">
      <x:c r="A100" s="825" t="str">
        <x:v>W2D12_06</x:v>
      </x:c>
      <x:c r="B100" s="827" t="n">
        <x:v>12</x:v>
      </x:c>
      <x:c r="C100" s="827" t="str">
        <x:v>W2</x:v>
      </x:c>
      <x:c r="D100" s="825" t="str">
        <x:v>오아시스 또는 거주지 집중 보존</x:v>
      </x:c>
      <x:c r="E100" s="825" t="str">
        <x:v>PRESERVE</x:v>
      </x:c>
      <x:c r="F100" s="825" t="str">
        <x:v>행성</x:v>
      </x:c>
      <x:c r="G100" s="825" t="str">
        <x:v>오아시스/거주지</x:v>
      </x:c>
      <x:c r="H100" s="830" t="n">
        <x:v>3</x:v>
      </x:c>
      <x:c r="I100" s="830" t="n">
        <x:v>0</x:v>
      </x:c>
      <x:c r="J100" s="827" t="str">
        <x:v>선택</x:v>
      </x:c>
      <x:c r="K100" s="825" t="str">
        <x:v>D14 봉쇄 전</x:v>
      </x:c>
      <x:c r="L100" s="825" t="str">
        <x:v>관련 장소 접근</x:v>
      </x:c>
      <x:c r="M100" s="825" t="str">
        <x:v>Preservation +1 후보</x:v>
      </x:c>
      <x:c r="N100" s="827" t="str">
        <x:v>Hidden</x:v>
      </x:c>
      <x:c r="O100" s="827" t="str">
        <x:v>행성</x:v>
      </x:c>
      <x:c r="P100" s="827" t="str">
        <x:v>TEMP</x:v>
      </x:c>
      <x:c r="Q100" s="825" t="str">
        <x:v>둘 중 하나를 고르는 대표 슬롯. 실제로는 각각 별도 Interaction.</x:v>
      </x:c>
    </x:row>
    <x:row r="101" ht="15" hidden="0" customHeight="1">
      <x:c r="A101" s="825" t="str">
        <x:v>W2D12_07</x:v>
      </x:c>
      <x:c r="B101" s="827" t="n">
        <x:v>12</x:v>
      </x:c>
      <x:c r="C101" s="827" t="str">
        <x:v>W2</x:v>
      </x:c>
      <x:c r="D101" s="825" t="str">
        <x:v>묘지 보존/추모 작업</x:v>
      </x:c>
      <x:c r="E101" s="825" t="str">
        <x:v>PRESERVE</x:v>
      </x:c>
      <x:c r="F101" s="825" t="str">
        <x:v>벤자민</x:v>
      </x:c>
      <x:c r="G101" s="825" t="str">
        <x:v>묘지</x:v>
      </x:c>
      <x:c r="H101" s="830" t="n">
        <x:v>3</x:v>
      </x:c>
      <x:c r="I101" s="830" t="n">
        <x:v>0</x:v>
      </x:c>
      <x:c r="J101" s="827" t="str">
        <x:v>선택</x:v>
      </x:c>
      <x:c r="K101" s="825" t="str">
        <x:v>D14 봉쇄 전</x:v>
      </x:c>
      <x:c r="L101" s="825" t="str">
        <x:v>묘지 접근</x:v>
      </x:c>
      <x:c r="M101" s="825" t="str">
        <x:v>묘지 보존도 상승 / 벤자민 정서 경로</x:v>
      </x:c>
      <x:c r="N101" s="827" t="str">
        <x:v>Character</x:v>
      </x:c>
      <x:c r="O101" s="827" t="str">
        <x:v>행성</x:v>
      </x:c>
      <x:c r="P101" s="827" t="str">
        <x:v>TEMP</x:v>
      </x:c>
      <x:c r="Q101" s="825" t="str">
        <x:v>Sustainability에는 직접 포함하지 않음.</x:v>
      </x:c>
    </x:row>
    <x:row r="102" ht="24" hidden="0" customHeight="1">
      <x:c r="A102" s="825" t="str">
        <x:v>W2D12_08</x:v>
      </x:c>
      <x:c r="B102" s="827" t="n">
        <x:v>12</x:v>
      </x:c>
      <x:c r="C102" s="827" t="str">
        <x:v>W2</x:v>
      </x:c>
      <x:c r="D102" s="825" t="str">
        <x:v>야간조 대표와 근무 상황 대화</x:v>
      </x:c>
      <x:c r="E102" s="825" t="str">
        <x:v>SIDE</x:v>
      </x:c>
      <x:c r="F102" s="825" t="str">
        <x:v>야간조 대표</x:v>
      </x:c>
      <x:c r="G102" s="825" t="str">
        <x:v>수송선</x:v>
      </x:c>
      <x:c r="H102" s="830" t="n">
        <x:v>1</x:v>
      </x:c>
      <x:c r="I102" s="830" t="n">
        <x:v>0</x:v>
      </x:c>
      <x:c r="J102" s="827" t="str">
        <x:v>선택</x:v>
      </x:c>
      <x:c r="K102" s="825" t="str">
        <x:v>Day12 밤</x:v>
      </x:c>
      <x:c r="L102" s="825" t="str">
        <x:v>18:00 이후</x:v>
      </x:c>
      <x:c r="M102" s="825" t="str">
        <x:v>야간조가 최소 인원으로 버티는 구조를 재강조</x:v>
      </x:c>
      <x:c r="N102" s="827" t="str">
        <x:v>공통</x:v>
      </x:c>
      <x:c r="O102" s="827" t="str">
        <x:v>세계</x:v>
      </x:c>
      <x:c r="P102" s="827" t="str">
        <x:v>확정</x:v>
      </x:c>
      <x:c r="Q102" s="825" t="str">
        <x:v>D13 비극이 갑작스럽지 않도록 마지막 일상 노출.</x:v>
      </x:c>
    </x:row>
    <x:row r="103" ht="15" hidden="0" customHeight="1">
      <x:c r="A103" s="825" t="str">
        <x:v>W2D12_09</x:v>
      </x:c>
      <x:c r="B103" s="827" t="n">
        <x:v>12</x:v>
      </x:c>
      <x:c r="C103" s="827" t="str">
        <x:v>W2</x:v>
      </x:c>
      <x:c r="D103" s="825" t="str">
        <x:v>성장/휴식 Activity</x:v>
      </x:c>
      <x:c r="E103" s="825" t="str">
        <x:v>ACTIVITY</x:v>
      </x:c>
      <x:c r="F103" s="825" t="str">
        <x:v>제이</x:v>
      </x:c>
      <x:c r="G103" s="825" t="str">
        <x:v>정착지</x:v>
      </x:c>
      <x:c r="H103" s="830" t="n">
        <x:v>2</x:v>
      </x:c>
      <x:c r="I103" s="830" t="n">
        <x:v>0</x:v>
      </x:c>
      <x:c r="J103" s="827" t="str">
        <x:v>선택</x:v>
      </x:c>
      <x:c r="K103" s="825" t="str">
        <x:v>없음</x:v>
      </x:c>
      <x:c r="L103" s="825" t="str">
        <x:v>콘텐츠별 조건</x:v>
      </x:c>
      <x:c r="M103" s="825" t="str">
        <x:v>XP 또는 Will</x:v>
      </x:c>
      <x:c r="N103" s="827" t="str">
        <x:v>공통</x:v>
      </x:c>
      <x:c r="O103" s="827" t="str">
        <x:v>성장</x:v>
      </x:c>
      <x:c r="P103" s="827" t="str">
        <x:v>TEMP</x:v>
      </x:c>
      <x:c r="Q103" s="825" t="str">
        <x:v>W3 전에 Stat을 올릴 마지막 중요한 구간.</x:v>
      </x:c>
    </x:row>
    <x:row r="104" ht="24" hidden="0" customHeight="1">
      <x:c r="A104" s="825" t="str">
        <x:v>W2D13_01</x:v>
      </x:c>
      <x:c r="B104" s="827" t="n">
        <x:v>13</x:v>
      </x:c>
      <x:c r="C104" s="827" t="str">
        <x:v>W2</x:v>
      </x:c>
      <x:c r="D104" s="825" t="str">
        <x:v>최종 대피 준비 Main — 남은 외부 작업 목록 확정</x:v>
      </x:c>
      <x:c r="E104" s="825" t="str">
        <x:v>MAIN</x:v>
      </x:c>
      <x:c r="F104" s="825" t="str">
        <x:v>샘·공동체</x:v>
      </x:c>
      <x:c r="G104" s="825" t="str">
        <x:v>정착지</x:v>
      </x:c>
      <x:c r="H104" s="830" t="n">
        <x:v>2</x:v>
      </x:c>
      <x:c r="I104" s="830" t="n">
        <x:v>0</x:v>
      </x:c>
      <x:c r="J104" s="827" t="str">
        <x:v>필수</x:v>
      </x:c>
      <x:c r="K104" s="825" t="str">
        <x:v>Day13</x:v>
      </x:c>
      <x:c r="L104" s="825" t="str">
        <x:v>대피 준비 진행</x:v>
      </x:c>
      <x:c r="M104" s="825" t="str">
        <x:v>D14 최종 봉쇄 전 남은 과업 명확화</x:v>
      </x:c>
      <x:c r="N104" s="827" t="str">
        <x:v>공통</x:v>
      </x:c>
      <x:c r="O104" s="827" t="str">
        <x:v>Main</x:v>
      </x:c>
      <x:c r="P104" s="827" t="str">
        <x:v>확정</x:v>
      </x:c>
      <x:c r="Q104" s="825" t="str">
        <x:v>플레이어에게 '내일이면 밖에서 못 한다'는 압박 제공.</x:v>
      </x:c>
    </x:row>
    <x:row r="105" ht="15" hidden="0" customHeight="1">
      <x:c r="A105" s="825" t="str">
        <x:v>W2D13_02</x:v>
      </x:c>
      <x:c r="B105" s="827" t="n">
        <x:v>13</x:v>
      </x:c>
      <x:c r="C105" s="827" t="str">
        <x:v>W2</x:v>
      </x:c>
      <x:c r="D105" s="825" t="str">
        <x:v>수송선 시설 집중 복구</x:v>
      </x:c>
      <x:c r="E105" s="825" t="str">
        <x:v>REPAIR</x:v>
      </x:c>
      <x:c r="F105" s="825" t="str">
        <x:v>수송선</x:v>
      </x:c>
      <x:c r="G105" s="825" t="str">
        <x:v>수송선</x:v>
      </x:c>
      <x:c r="H105" s="830" t="n">
        <x:v>2</x:v>
      </x:c>
      <x:c r="I105" s="830" t="n">
        <x:v>0</x:v>
      </x:c>
      <x:c r="J105" s="827" t="str">
        <x:v>선택</x:v>
      </x:c>
      <x:c r="K105" s="825" t="str">
        <x:v>D14 봉쇄 전</x:v>
      </x:c>
      <x:c r="L105" s="825" t="str">
        <x:v>기술 조건 TEMP</x:v>
      </x:c>
      <x:c r="M105" s="825" t="str">
        <x:v>Facility Integrity +1 후보</x:v>
      </x:c>
      <x:c r="N105" s="827" t="str">
        <x:v>공통</x:v>
      </x:c>
      <x:c r="O105" s="827" t="str">
        <x:v>수송선</x:v>
      </x:c>
      <x:c r="P105" s="827" t="str">
        <x:v>TEMP</x:v>
      </x:c>
      <x:c r="Q105" s="825" t="str">
        <x:v>W3 생존 준비.</x:v>
      </x:c>
    </x:row>
    <x:row r="106" ht="15" hidden="0" customHeight="1">
      <x:c r="A106" s="825" t="str">
        <x:v>W2D13_03</x:v>
      </x:c>
      <x:c r="B106" s="827" t="n">
        <x:v>13</x:v>
      </x:c>
      <x:c r="C106" s="827" t="str">
        <x:v>W2</x:v>
      </x:c>
      <x:c r="D106" s="825" t="str">
        <x:v>오아시스 보존 작업</x:v>
      </x:c>
      <x:c r="E106" s="825" t="str">
        <x:v>PRESERVE</x:v>
      </x:c>
      <x:c r="F106" s="825" t="str">
        <x:v>행성</x:v>
      </x:c>
      <x:c r="G106" s="825" t="str">
        <x:v>오아시스</x:v>
      </x:c>
      <x:c r="H106" s="830" t="n">
        <x:v>3</x:v>
      </x:c>
      <x:c r="I106" s="830" t="n">
        <x:v>0</x:v>
      </x:c>
      <x:c r="J106" s="827" t="str">
        <x:v>선택</x:v>
      </x:c>
      <x:c r="K106" s="825" t="str">
        <x:v>D14 봉쇄 전</x:v>
      </x:c>
      <x:c r="L106" s="825" t="str">
        <x:v>오아시스 접근</x:v>
      </x:c>
      <x:c r="M106" s="825" t="str">
        <x:v>오아시스 펌프·취수정 보존도 +1 후보</x:v>
      </x:c>
      <x:c r="N106" s="827" t="str">
        <x:v>Hidden</x:v>
      </x:c>
      <x:c r="O106" s="827" t="str">
        <x:v>행성</x:v>
      </x:c>
      <x:c r="P106" s="827" t="str">
        <x:v>TEMP</x:v>
      </x:c>
      <x:c r="Q106" s="825" t="str">
        <x:v>마지막 기회에 가까움.</x:v>
      </x:c>
    </x:row>
    <x:row r="107" ht="15" hidden="0" customHeight="1">
      <x:c r="A107" s="825" t="str">
        <x:v>W2D13_04</x:v>
      </x:c>
      <x:c r="B107" s="827" t="n">
        <x:v>13</x:v>
      </x:c>
      <x:c r="C107" s="827" t="str">
        <x:v>W2</x:v>
      </x:c>
      <x:c r="D107" s="825" t="str">
        <x:v>거주지 보존 작업</x:v>
      </x:c>
      <x:c r="E107" s="825" t="str">
        <x:v>PRESERVE</x:v>
      </x:c>
      <x:c r="F107" s="825" t="str">
        <x:v>행성</x:v>
      </x:c>
      <x:c r="G107" s="825" t="str">
        <x:v>거주지</x:v>
      </x:c>
      <x:c r="H107" s="830" t="n">
        <x:v>3</x:v>
      </x:c>
      <x:c r="I107" s="830" t="n">
        <x:v>0</x:v>
      </x:c>
      <x:c r="J107" s="827" t="str">
        <x:v>선택</x:v>
      </x:c>
      <x:c r="K107" s="825" t="str">
        <x:v>D14 봉쇄 전</x:v>
      </x:c>
      <x:c r="L107" s="825" t="str">
        <x:v>거주지 접근</x:v>
      </x:c>
      <x:c r="M107" s="825" t="str">
        <x:v>거주지 보존도 +1 후보</x:v>
      </x:c>
      <x:c r="N107" s="827" t="str">
        <x:v>Hidden</x:v>
      </x:c>
      <x:c r="O107" s="827" t="str">
        <x:v>행성</x:v>
      </x:c>
      <x:c r="P107" s="827" t="str">
        <x:v>TEMP</x:v>
      </x:c>
      <x:c r="Q107" s="825" t="str">
        <x:v>마지막 기회에 가까움.</x:v>
      </x:c>
    </x:row>
    <x:row r="108" ht="15" hidden="0" customHeight="1">
      <x:c r="A108" s="825" t="str">
        <x:v>W2D13_05</x:v>
      </x:c>
      <x:c r="B108" s="827" t="n">
        <x:v>13</x:v>
      </x:c>
      <x:c r="C108" s="827" t="str">
        <x:v>W2</x:v>
      </x:c>
      <x:c r="D108" s="825" t="str">
        <x:v>묘지 보존/벤자민 Character 후속</x:v>
      </x:c>
      <x:c r="E108" s="825" t="str">
        <x:v>CHARACTER</x:v>
      </x:c>
      <x:c r="F108" s="825" t="str">
        <x:v>벤자민</x:v>
      </x:c>
      <x:c r="G108" s="825" t="str">
        <x:v>묘지</x:v>
      </x:c>
      <x:c r="H108" s="830" t="n">
        <x:v>2</x:v>
      </x:c>
      <x:c r="I108" s="830" t="n">
        <x:v>0</x:v>
      </x:c>
      <x:c r="J108" s="827" t="str">
        <x:v>선택</x:v>
      </x:c>
      <x:c r="K108" s="825" t="str">
        <x:v>D14 봉쇄 전</x:v>
      </x:c>
      <x:c r="L108" s="825" t="str">
        <x:v>벤자민 관련 선행</x:v>
      </x:c>
      <x:c r="M108" s="825" t="str">
        <x:v>벤자민 기억 아크 진행</x:v>
      </x:c>
      <x:c r="N108" s="827" t="str">
        <x:v>Character</x:v>
      </x:c>
      <x:c r="O108" s="827" t="str">
        <x:v>사람</x:v>
      </x:c>
      <x:c r="P108" s="827" t="str">
        <x:v>TEMP</x:v>
      </x:c>
      <x:c r="Q108" s="825" t="str">
        <x:v>정확한 W2 벤자민 사건은 TBD.</x:v>
      </x:c>
    </x:row>
    <x:row r="109" ht="36" hidden="0" customHeight="1">
      <x:c r="A109" s="825" t="str">
        <x:v>W2D13_06</x:v>
      </x:c>
      <x:c r="B109" s="827" t="n">
        <x:v>13</x:v>
      </x:c>
      <x:c r="C109" s="827" t="str">
        <x:v>W2</x:v>
      </x:c>
      <x:c r="D109" s="825" t="str">
        <x:v>페이 Route Deepening — 공연용 음향·악기 장비를 살려두기</x:v>
      </x:c>
      <x:c r="E109" s="825" t="str">
        <x:v>CHARACTER</x:v>
      </x:c>
      <x:c r="F109" s="825" t="str">
        <x:v>페이</x:v>
      </x:c>
      <x:c r="G109" s="825" t="str">
        <x:v>수송선</x:v>
      </x:c>
      <x:c r="H109" s="830" t="n">
        <x:v>2</x:v>
      </x:c>
      <x:c r="I109" s="830" t="n">
        <x:v>0</x:v>
      </x:c>
      <x:c r="J109" s="827" t="str">
        <x:v>선택</x:v>
      </x:c>
      <x:c r="K109" s="825" t="str">
        <x:v>W2 중</x:v>
      </x:c>
      <x:c r="L109" s="825" t="str">
        <x:v>W1 음악꿈 + D9 페이 중간 Beat</x:v>
      </x:c>
      <x:c r="M109" s="825" t="str">
        <x:v>FAYE_AUDIO_LINK_READY 확정 / D9 DAMAGED면 복구 포함 / W3 공연 Full Route 조건 / Jay 기술 Mastery 자격</x:v>
      </x:c>
      <x:c r="N109" s="827" t="str">
        <x:v>Character</x:v>
      </x:c>
      <x:c r="O109" s="827" t="str">
        <x:v>사람/수송선</x:v>
      </x:c>
      <x:c r="P109" s="827" t="str">
        <x:v>TEMP 확정 후보</x:v>
      </x:c>
      <x:c r="Q109" s="825" t="str">
        <x:v>28_W2_NarrativeAuthoring: D9 회선 유지/손상 상태에 따라 보강 또는 복구 Variant.</x:v>
      </x:c>
    </x:row>
    <x:row r="110" ht="36" hidden="0" customHeight="1">
      <x:c r="A110" s="825" t="str">
        <x:v>W2D13_07</x:v>
      </x:c>
      <x:c r="B110" s="827" t="n">
        <x:v>13</x:v>
      </x:c>
      <x:c r="C110" s="827" t="str">
        <x:v>W2</x:v>
      </x:c>
      <x:c r="D110" s="825" t="str">
        <x:v>샘과 야간 인계 전 — 둘 다 살릴 수 없을 때의 기준을 어떻게 세울지 결정</x:v>
      </x:c>
      <x:c r="E110" s="825" t="str">
        <x:v>CHARACTER</x:v>
      </x:c>
      <x:c r="F110" s="825" t="str">
        <x:v>샘</x:v>
      </x:c>
      <x:c r="G110" s="825" t="str">
        <x:v>수송선</x:v>
      </x:c>
      <x:c r="H110" s="830" t="n">
        <x:v>1.5</x:v>
      </x:c>
      <x:c r="I110" s="830" t="n">
        <x:v>0</x:v>
      </x:c>
      <x:c r="J110" s="827" t="str">
        <x:v>선택</x:v>
      </x:c>
      <x:c r="K110" s="825" t="str">
        <x:v>Day13 저녁</x:v>
      </x:c>
      <x:c r="L110" s="825" t="str">
        <x:v>샘 생존 + D13 저녁 + W1~2 샘 Route 진행</x:v>
      </x:c>
      <x:c r="M110" s="825" t="str">
        <x:v>A 공동 기준 작성: Sam+1/BURDEN-1/1.5h. B '기준을 정했으면 망설이지 마': 강인함XP+3/Sam-1/BURDEN+1.</x:v>
      </x:c>
      <x:c r="N110" s="827" t="str">
        <x:v>Character</x:v>
      </x:c>
      <x:c r="O110" s="827" t="str">
        <x:v>사람</x:v>
      </x:c>
      <x:c r="P110" s="827" t="str">
        <x:v>TEMP 확정 후보</x:v>
      </x:c>
      <x:c r="Q110" s="825" t="str">
        <x:v>28_W2_NarrativeAuthoring: 공동 기준 vs 냉정한 생존 기준. Overnight 원인은 아님.</x:v>
      </x:c>
    </x:row>
    <x:row r="111" ht="15" hidden="0" customHeight="1">
      <x:c r="A111" s="825" t="str">
        <x:v>W2D13_08</x:v>
      </x:c>
      <x:c r="B111" s="827" t="n">
        <x:v>13</x:v>
      </x:c>
      <x:c r="C111" s="827" t="str">
        <x:v>W2</x:v>
      </x:c>
      <x:c r="D111" s="825" t="str">
        <x:v>휴식/성장 Activity</x:v>
      </x:c>
      <x:c r="E111" s="825" t="str">
        <x:v>ACTIVITY</x:v>
      </x:c>
      <x:c r="F111" s="825" t="str">
        <x:v>제이</x:v>
      </x:c>
      <x:c r="G111" s="825" t="str">
        <x:v>정착지</x:v>
      </x:c>
      <x:c r="H111" s="830" t="n">
        <x:v>2</x:v>
      </x:c>
      <x:c r="I111" s="830" t="n">
        <x:v>0</x:v>
      </x:c>
      <x:c r="J111" s="827" t="str">
        <x:v>선택</x:v>
      </x:c>
      <x:c r="K111" s="825" t="str">
        <x:v>없음</x:v>
      </x:c>
      <x:c r="L111" s="825" t="str">
        <x:v>콘텐츠별 조건</x:v>
      </x:c>
      <x:c r="M111" s="825" t="str">
        <x:v>XP 또는 Will</x:v>
      </x:c>
      <x:c r="N111" s="827" t="str">
        <x:v>공통</x:v>
      </x:c>
      <x:c r="O111" s="827" t="str">
        <x:v>성장</x:v>
      </x:c>
      <x:c r="P111" s="827" t="str">
        <x:v>TEMP</x:v>
      </x:c>
      <x:c r="Q111" s="825" t="str">
        <x:v>W3 직전 성장 기회.</x:v>
      </x:c>
    </x:row>
    <x:row r="112" ht="36" hidden="0" customHeight="1">
      <x:c r="A112" s="825" t="str">
        <x:v>W2D13_09</x:v>
      </x:c>
      <x:c r="B112" s="827" t="n">
        <x:v>13</x:v>
      </x:c>
      <x:c r="C112" s="827" t="str">
        <x:v>W2</x:v>
      </x:c>
      <x:c r="D112" s="825" t="str">
        <x:v>Overnight: 온실 고장과 외부 야간조 구조 요청 동시 발생</x:v>
      </x:c>
      <x:c r="E112" s="825" t="str">
        <x:v>EVENT</x:v>
      </x:c>
      <x:c r="F112" s="825" t="str">
        <x:v>샘·야간조 대표</x:v>
      </x:c>
      <x:c r="G112" s="825" t="str">
        <x:v>수송선/외부</x:v>
      </x:c>
      <x:c r="H112" s="830" t="n">
        <x:v>0</x:v>
      </x:c>
      <x:c r="I112" s="830" t="n">
        <x:v>0</x:v>
      </x:c>
      <x:c r="J112" s="827" t="str">
        <x:v>필수</x:v>
      </x:c>
      <x:c r="K112" s="825" t="str">
        <x:v>Day13 종료 후</x:v>
      </x:c>
      <x:c r="L112" s="825" t="str">
        <x:v>End Day</x:v>
      </x:c>
      <x:c r="M112" s="825" t="str">
        <x:v>샘이 온실 인력을 유지하고 혼자 구조 시도 → 야간조 1명 사망, 온실 생존. 기계적 후유증 TEMP: Greenhouse 5→3.</x:v>
      </x:c>
      <x:c r="N112" s="827" t="str">
        <x:v>Character/Main</x:v>
      </x:c>
      <x:c r="O112" s="827" t="str">
        <x:v>세계</x:v>
      </x:c>
      <x:c r="P112" s="827" t="str">
        <x:v>확정</x:v>
      </x:c>
      <x:c r="Q112" s="825" t="str">
        <x:v>28_W2_NarrativeAuthoring: 샘 자동 판단, 온실 생존/작업자 사망. 플레이어 직접 선택 금지.</x:v>
      </x:c>
    </x:row>
    <x:row r="113" ht="24" hidden="0" customHeight="1">
      <x:c r="A113" s="825" t="str">
        <x:v>W2D14_01</x:v>
      </x:c>
      <x:c r="B113" s="827" t="n">
        <x:v>14</x:v>
      </x:c>
      <x:c r="C113" s="827" t="str">
        <x:v>W2</x:v>
      </x:c>
      <x:c r="D113" s="825" t="str">
        <x:v>아침: 샘 야간 사건 후속 Character Event</x:v>
      </x:c>
      <x:c r="E113" s="825" t="str">
        <x:v>CHARACTER</x:v>
      </x:c>
      <x:c r="F113" s="825" t="str">
        <x:v>샘·야간조 대표</x:v>
      </x:c>
      <x:c r="G113" s="825" t="str">
        <x:v>수송선</x:v>
      </x:c>
      <x:c r="H113" s="830" t="n">
        <x:v>2</x:v>
      </x:c>
      <x:c r="I113" s="830" t="n">
        <x:v>0</x:v>
      </x:c>
      <x:c r="J113" s="827" t="str">
        <x:v>필수</x:v>
      </x:c>
      <x:c r="K113" s="825" t="str">
        <x:v>Day14 아침</x:v>
      </x:c>
      <x:c r="L113" s="825" t="str">
        <x:v>D13 Overnight 완료</x:v>
      </x:c>
      <x:c r="M113" s="825" t="str">
        <x:v>샘의 핵심 공포 공개: '이 판단이 맞았다면 또 해야 한다'</x:v>
      </x:c>
      <x:c r="N113" s="827" t="str">
        <x:v>Character</x:v>
      </x:c>
      <x:c r="O113" s="827" t="str">
        <x:v>사람</x:v>
      </x:c>
      <x:c r="P113" s="827" t="str">
        <x:v>확정</x:v>
      </x:c>
      <x:c r="Q113" s="825" t="str">
        <x:v>28_W2_NarrativeAuthoring: '맞았기 때문에 다음에도 해야 한다'가 샘의 공포.</x:v>
      </x:c>
    </x:row>
    <x:row r="114" ht="24" hidden="0" customHeight="1">
      <x:c r="A114" s="825" t="str">
        <x:v>W2D14_02</x:v>
      </x:c>
      <x:c r="B114" s="827" t="n">
        <x:v>14</x:v>
      </x:c>
      <x:c r="C114" s="827" t="str">
        <x:v>W2</x:v>
      </x:c>
      <x:c r="D114" s="825" t="str">
        <x:v>주민·물자 최종 대피</x:v>
      </x:c>
      <x:c r="E114" s="825" t="str">
        <x:v>MAIN</x:v>
      </x:c>
      <x:c r="F114" s="825" t="str">
        <x:v>샘·디야·공동체</x:v>
      </x:c>
      <x:c r="G114" s="825" t="str">
        <x:v>정착지→수송선</x:v>
      </x:c>
      <x:c r="H114" s="830" t="n">
        <x:v>3</x:v>
      </x:c>
      <x:c r="I114" s="830" t="n">
        <x:v>0</x:v>
      </x:c>
      <x:c r="J114" s="827" t="str">
        <x:v>필수</x:v>
      </x:c>
      <x:c r="K114" s="825" t="str">
        <x:v>Day14</x:v>
      </x:c>
      <x:c r="L114" s="825" t="str">
        <x:v>대피 준비 누적</x:v>
      </x:c>
      <x:c r="M114" s="825" t="str">
        <x:v>외부 거주지 생활 종료 / W3 공간 전환 준비</x:v>
      </x:c>
      <x:c r="N114" s="827" t="str">
        <x:v>공통</x:v>
      </x:c>
      <x:c r="O114" s="827" t="str">
        <x:v>Main</x:v>
      </x:c>
      <x:c r="P114" s="827" t="str">
        <x:v>확정</x:v>
      </x:c>
      <x:c r="Q114" s="825" t="str">
        <x:v>28_W2_NarrativeAuthoring: 비워지는 집과 미라의 모래고래로 외부 생활 종료를 체감.</x:v>
      </x:c>
    </x:row>
    <x:row r="115" ht="24" hidden="0" customHeight="1">
      <x:c r="A115" s="825" t="str">
        <x:v>W2D14_03</x:v>
      </x:c>
      <x:c r="B115" s="827" t="n">
        <x:v>14</x:v>
      </x:c>
      <x:c r="C115" s="827" t="str">
        <x:v>W2</x:v>
      </x:c>
      <x:c r="D115" s="825" t="str">
        <x:v>수송선 출입구 최종 봉쇄</x:v>
      </x:c>
      <x:c r="E115" s="825" t="str">
        <x:v>MAIN</x:v>
      </x:c>
      <x:c r="F115" s="825" t="str">
        <x:v>샘·페이·벤자민</x:v>
      </x:c>
      <x:c r="G115" s="825" t="str">
        <x:v>수송선</x:v>
      </x:c>
      <x:c r="H115" s="830" t="n">
        <x:v>1</x:v>
      </x:c>
      <x:c r="I115" s="830" t="n">
        <x:v>0</x:v>
      </x:c>
      <x:c r="J115" s="827" t="str">
        <x:v>필수</x:v>
      </x:c>
      <x:c r="K115" s="825" t="str">
        <x:v>Day14 종료</x:v>
      </x:c>
      <x:c r="L115" s="825" t="str">
        <x:v>최종 대피 완료</x:v>
      </x:c>
      <x:c r="M115" s="825" t="str">
        <x:v>W2 종료 / W3에서 외부 자유행동 불가</x:v>
      </x:c>
      <x:c r="N115" s="827" t="str">
        <x:v>공통</x:v>
      </x:c>
      <x:c r="O115" s="827" t="str">
        <x:v>Main</x:v>
      </x:c>
      <x:c r="P115" s="827" t="str">
        <x:v>확정</x:v>
      </x:c>
      <x:c r="Q115" s="825" t="str">
        <x:v>28_W2_NarrativeAuthoring: 인원 재확인 후 실제 문이 닫히는 W2 종료 장면.</x:v>
      </x:c>
    </x:row>
    <x:row r="116" ht="15" hidden="0" customHeight="1">
      <x:c r="A116" s="825" t="str">
        <x:v>W2D14_04</x:v>
      </x:c>
      <x:c r="B116" s="827" t="n">
        <x:v>14</x:v>
      </x:c>
      <x:c r="C116" s="827" t="str">
        <x:v>W2</x:v>
      </x:c>
      <x:c r="D116" s="825" t="str">
        <x:v>마지막 수송선 시설 수리</x:v>
      </x:c>
      <x:c r="E116" s="825" t="str">
        <x:v>REPAIR</x:v>
      </x:c>
      <x:c r="F116" s="825" t="str">
        <x:v>수송선</x:v>
      </x:c>
      <x:c r="G116" s="825" t="str">
        <x:v>수송선</x:v>
      </x:c>
      <x:c r="H116" s="830" t="n">
        <x:v>2</x:v>
      </x:c>
      <x:c r="I116" s="830" t="n">
        <x:v>0</x:v>
      </x:c>
      <x:c r="J116" s="827" t="str">
        <x:v>선택</x:v>
      </x:c>
      <x:c r="K116" s="825" t="str">
        <x:v>봉쇄 전</x:v>
      </x:c>
      <x:c r="L116" s="825" t="str">
        <x:v>수송선 접근</x:v>
      </x:c>
      <x:c r="M116" s="825" t="str">
        <x:v>W3 시작 Integrity 개선</x:v>
      </x:c>
      <x:c r="N116" s="827" t="str">
        <x:v>공통</x:v>
      </x:c>
      <x:c r="O116" s="827" t="str">
        <x:v>수송선</x:v>
      </x:c>
      <x:c r="P116" s="827" t="str">
        <x:v>TEMP</x:v>
      </x:c>
      <x:c r="Q116" s="825" t="str">
        <x:v>수송선에 남는 시간 투자.</x:v>
      </x:c>
    </x:row>
    <x:row r="117" ht="15" hidden="0" customHeight="1">
      <x:c r="A117" s="825" t="str">
        <x:v>W2D14_05</x:v>
      </x:c>
      <x:c r="B117" s="827" t="n">
        <x:v>14</x:v>
      </x:c>
      <x:c r="C117" s="827" t="str">
        <x:v>W2</x:v>
      </x:c>
      <x:c r="D117" s="825" t="str">
        <x:v>마지막 오아시스 보존 작업</x:v>
      </x:c>
      <x:c r="E117" s="825" t="str">
        <x:v>PRESERVE</x:v>
      </x:c>
      <x:c r="F117" s="825" t="str">
        <x:v>행성</x:v>
      </x:c>
      <x:c r="G117" s="825" t="str">
        <x:v>오아시스</x:v>
      </x:c>
      <x:c r="H117" s="830" t="n">
        <x:v>3</x:v>
      </x:c>
      <x:c r="I117" s="830" t="n">
        <x:v>0</x:v>
      </x:c>
      <x:c r="J117" s="827" t="str">
        <x:v>선택</x:v>
      </x:c>
      <x:c r="K117" s="825" t="str">
        <x:v>봉쇄 전</x:v>
      </x:c>
      <x:c r="L117" s="825" t="str">
        <x:v>오아시스 접근</x:v>
      </x:c>
      <x:c r="M117" s="825" t="str">
        <x:v>오아시스 펌프·취수정 보존도 +1 후보</x:v>
      </x:c>
      <x:c r="N117" s="827" t="str">
        <x:v>Hidden</x:v>
      </x:c>
      <x:c r="O117" s="827" t="str">
        <x:v>행성</x:v>
      </x:c>
      <x:c r="P117" s="827" t="str">
        <x:v>TEMP</x:v>
      </x:c>
      <x:c r="Q117" s="825" t="str">
        <x:v>다른 마지막 보존 선택과 시간 경쟁.</x:v>
      </x:c>
    </x:row>
    <x:row r="118" ht="15" hidden="0" customHeight="1">
      <x:c r="A118" s="825" t="str">
        <x:v>W2D14_06</x:v>
      </x:c>
      <x:c r="B118" s="827" t="n">
        <x:v>14</x:v>
      </x:c>
      <x:c r="C118" s="827" t="str">
        <x:v>W2</x:v>
      </x:c>
      <x:c r="D118" s="825" t="str">
        <x:v>마지막 거주지 보존 작업</x:v>
      </x:c>
      <x:c r="E118" s="825" t="str">
        <x:v>PRESERVE</x:v>
      </x:c>
      <x:c r="F118" s="825" t="str">
        <x:v>행성</x:v>
      </x:c>
      <x:c r="G118" s="825" t="str">
        <x:v>거주지</x:v>
      </x:c>
      <x:c r="H118" s="830" t="n">
        <x:v>3</x:v>
      </x:c>
      <x:c r="I118" s="830" t="n">
        <x:v>0</x:v>
      </x:c>
      <x:c r="J118" s="827" t="str">
        <x:v>선택</x:v>
      </x:c>
      <x:c r="K118" s="825" t="str">
        <x:v>봉쇄 전</x:v>
      </x:c>
      <x:c r="L118" s="825" t="str">
        <x:v>거주지 접근</x:v>
      </x:c>
      <x:c r="M118" s="825" t="str">
        <x:v>거주지 보존도 +1 후보</x:v>
      </x:c>
      <x:c r="N118" s="827" t="str">
        <x:v>Hidden</x:v>
      </x:c>
      <x:c r="O118" s="827" t="str">
        <x:v>행성</x:v>
      </x:c>
      <x:c r="P118" s="827" t="str">
        <x:v>TEMP</x:v>
      </x:c>
      <x:c r="Q118" s="825" t="str">
        <x:v>다른 마지막 보존 선택과 시간 경쟁.</x:v>
      </x:c>
    </x:row>
    <x:row r="119" ht="15" hidden="0" customHeight="1">
      <x:c r="A119" s="825" t="str">
        <x:v>W2D14_07</x:v>
      </x:c>
      <x:c r="B119" s="827" t="n">
        <x:v>14</x:v>
      </x:c>
      <x:c r="C119" s="827" t="str">
        <x:v>W2</x:v>
      </x:c>
      <x:c r="D119" s="825" t="str">
        <x:v>마지막 묘지 보존/인사</x:v>
      </x:c>
      <x:c r="E119" s="825" t="str">
        <x:v>PRESERVE</x:v>
      </x:c>
      <x:c r="F119" s="825" t="str">
        <x:v>벤자민</x:v>
      </x:c>
      <x:c r="G119" s="825" t="str">
        <x:v>묘지</x:v>
      </x:c>
      <x:c r="H119" s="830" t="n">
        <x:v>3</x:v>
      </x:c>
      <x:c r="I119" s="830" t="n">
        <x:v>0</x:v>
      </x:c>
      <x:c r="J119" s="827" t="str">
        <x:v>선택</x:v>
      </x:c>
      <x:c r="K119" s="825" t="str">
        <x:v>봉쇄 전</x:v>
      </x:c>
      <x:c r="L119" s="825" t="str">
        <x:v>묘지 접근</x:v>
      </x:c>
      <x:c r="M119" s="825" t="str">
        <x:v>묘지 보존도 / 벤자민 후속 반응</x:v>
      </x:c>
      <x:c r="N119" s="827" t="str">
        <x:v>Character</x:v>
      </x:c>
      <x:c r="O119" s="827" t="str">
        <x:v>행성</x:v>
      </x:c>
      <x:c r="P119" s="827" t="str">
        <x:v>TEMP</x:v>
      </x:c>
      <x:c r="Q119" s="825" t="str">
        <x:v>Sustainability가 아니라 정서 자원.</x:v>
      </x:c>
    </x:row>
    <x:row r="120" ht="15" hidden="0" customHeight="1">
      <x:c r="A120" s="825" t="str">
        <x:v>W2D14_08</x:v>
      </x:c>
      <x:c r="B120" s="827" t="n">
        <x:v>14</x:v>
      </x:c>
      <x:c r="C120" s="827" t="str">
        <x:v>W2</x:v>
      </x:c>
      <x:c r="D120" s="825" t="str">
        <x:v>외부에서 마지막 Character 대화 1회</x:v>
      </x:c>
      <x:c r="E120" s="825" t="str">
        <x:v>CHARACTER</x:v>
      </x:c>
      <x:c r="F120" s="825" t="str">
        <x:v>선택 인물</x:v>
      </x:c>
      <x:c r="G120" s="825" t="str">
        <x:v>정착지</x:v>
      </x:c>
      <x:c r="H120" s="830" t="n">
        <x:v>2</x:v>
      </x:c>
      <x:c r="I120" s="830" t="n">
        <x:v>0</x:v>
      </x:c>
      <x:c r="J120" s="827" t="str">
        <x:v>선택</x:v>
      </x:c>
      <x:c r="K120" s="825" t="str">
        <x:v>봉쇄 전</x:v>
      </x:c>
      <x:c r="L120" s="825" t="str">
        <x:v>해당 Character 선행</x:v>
      </x:c>
      <x:c r="M120" s="825" t="str">
        <x:v>W2 아크 마무리 또는 W3 Seed</x:v>
      </x:c>
      <x:c r="N120" s="827" t="str">
        <x:v>Character</x:v>
      </x:c>
      <x:c r="O120" s="827" t="str">
        <x:v>사람</x:v>
      </x:c>
      <x:c r="P120" s="827" t="str">
        <x:v>TEMP</x:v>
      </x:c>
      <x:c r="Q120" s="825" t="str">
        <x:v>누구를 선택했는지 기억되는 마지막 여유.</x:v>
      </x:c>
    </x:row>
    <x:row r="121" ht="15" hidden="0" customHeight="1">
      <x:c r="A121" s="825" t="str">
        <x:v>W2D14_09</x:v>
      </x:c>
      <x:c r="B121" s="827" t="n">
        <x:v>14</x:v>
      </x:c>
      <x:c r="C121" s="827" t="str">
        <x:v>W2</x:v>
      </x:c>
      <x:c r="D121" s="825" t="str">
        <x:v>휴식/성장 Activity</x:v>
      </x:c>
      <x:c r="E121" s="825" t="str">
        <x:v>ACTIVITY</x:v>
      </x:c>
      <x:c r="F121" s="825" t="str">
        <x:v>제이</x:v>
      </x:c>
      <x:c r="G121" s="825" t="str">
        <x:v>정착지</x:v>
      </x:c>
      <x:c r="H121" s="830" t="n">
        <x:v>2</x:v>
      </x:c>
      <x:c r="I121" s="830" t="n">
        <x:v>0</x:v>
      </x:c>
      <x:c r="J121" s="827" t="str">
        <x:v>선택</x:v>
      </x:c>
      <x:c r="K121" s="825" t="str">
        <x:v>봉쇄 전</x:v>
      </x:c>
      <x:c r="L121" s="825" t="str">
        <x:v>콘텐츠별 조건</x:v>
      </x:c>
      <x:c r="M121" s="825" t="str">
        <x:v>Will 또는 XP</x:v>
      </x:c>
      <x:c r="N121" s="827" t="str">
        <x:v>공통</x:v>
      </x:c>
      <x:c r="O121" s="827" t="str">
        <x:v>성장</x:v>
      </x:c>
      <x:c r="P121" s="827" t="str">
        <x:v>TEMP</x:v>
      </x:c>
      <x:c r="Q121" s="825" t="str">
        <x:v>D15 폭풍 시작 전 자기 준비.</x:v>
      </x:c>
    </x:row>
    <x:row r="122" ht="15" hidden="0" customHeight="1">
      <x:c r="A122" s="825"/>
      <x:c r="B122" s="825"/>
      <x:c r="C122" s="825"/>
      <x:c r="D122" s="825"/>
      <x:c r="E122" s="825"/>
      <x:c r="F122" s="825"/>
      <x:c r="G122" s="825"/>
      <x:c r="H122" s="825"/>
      <x:c r="I122" s="825"/>
      <x:c r="J122" s="825"/>
      <x:c r="K122" s="825"/>
      <x:c r="L122" s="825"/>
      <x:c r="M122" s="825"/>
      <x:c r="N122" s="825"/>
      <x:c r="O122" s="825"/>
      <x:c r="P122" s="825"/>
      <x:c r="Q122" s="825"/>
    </x:row>
    <x:row r="123" ht="15" hidden="0" customHeight="1">
      <x:c r="A123" s="825"/>
      <x:c r="B123" s="825"/>
      <x:c r="C123" s="825"/>
      <x:c r="D123" s="825"/>
      <x:c r="E123" s="825"/>
      <x:c r="F123" s="825"/>
      <x:c r="G123" s="825"/>
      <x:c r="H123" s="825"/>
      <x:c r="I123" s="825"/>
      <x:c r="J123" s="825"/>
      <x:c r="K123" s="825"/>
      <x:c r="L123" s="825"/>
      <x:c r="M123" s="825"/>
      <x:c r="N123" s="825"/>
      <x:c r="O123" s="825"/>
      <x:c r="P123" s="825"/>
      <x:c r="Q123" s="825"/>
    </x:row>
    <x:row r="124" ht="26" hidden="0" customHeight="1">
      <x:c r="A124" s="852" t="str">
        <x:v>Week 3 — Day 15~21 Action Budget / Emergency Buffer</x:v>
      </x:c>
      <x:c r="B124" s="852"/>
      <x:c r="C124" s="852"/>
      <x:c r="D124" s="852"/>
      <x:c r="E124" s="852"/>
      <x:c r="F124" s="852"/>
      <x:c r="G124" s="852"/>
      <x:c r="H124" s="852"/>
      <x:c r="I124" s="852"/>
      <x:c r="J124" s="852"/>
      <x:c r="K124" s="852"/>
      <x:c r="L124" s="852"/>
      <x:c r="M124" s="852"/>
      <x:c r="N124" s="852"/>
      <x:c r="O124" s="852"/>
      <x:c r="P124" s="852"/>
      <x:c r="Q124" s="852"/>
    </x:row>
    <x:row r="125" ht="30" hidden="0" customHeight="1">
      <x:c r="A125" s="849" t="str">
        <x:v>ActionID</x:v>
      </x:c>
      <x:c r="B125" s="849" t="str">
        <x:v>Day</x:v>
      </x:c>
      <x:c r="C125" s="849" t="str">
        <x:v>Week</x:v>
      </x:c>
      <x:c r="D125" s="849" t="str">
        <x:v>콘텐츠 / 행동</x:v>
      </x:c>
      <x:c r="E125" s="849" t="str">
        <x:v>Type</x:v>
      </x:c>
      <x:c r="F125" s="849" t="str">
        <x:v>인물·축</x:v>
      </x:c>
      <x:c r="G125" s="849" t="str">
        <x:v>장소</x:v>
      </x:c>
      <x:c r="H125" s="849" t="str">
        <x:v>시간(h)</x:v>
      </x:c>
      <x:c r="I125" s="849" t="str">
        <x:v>Will</x:v>
      </x:c>
      <x:c r="J125" s="849" t="str">
        <x:v>필수도</x:v>
      </x:c>
      <x:c r="K125" s="849" t="str">
        <x:v>Deadline</x:v>
      </x:c>
      <x:c r="L125" s="849" t="str">
        <x:v>요구 / 오픈 조건</x:v>
      </x:c>
      <x:c r="M125" s="849" t="str">
        <x:v>주요 결과</x:v>
      </x:c>
      <x:c r="N125" s="849" t="str">
        <x:v>Route</x:v>
      </x:c>
      <x:c r="O125" s="849" t="str">
        <x:v>압력 축</x:v>
      </x:c>
      <x:c r="P125" s="849" t="str">
        <x:v>콘텐츠 상태</x:v>
      </x:c>
      <x:c r="Q125" s="849" t="str">
        <x:v>메모</x:v>
      </x:c>
    </x:row>
    <x:row r="126" ht="24" hidden="0" customHeight="1">
      <x:c r="A126" s="825" t="str">
        <x:v>W3D15_01</x:v>
      </x:c>
      <x:c r="B126" s="827" t="n">
        <x:v>15</x:v>
      </x:c>
      <x:c r="C126" s="827" t="str">
        <x:v>W3</x:v>
      </x:c>
      <x:c r="D126" s="825" t="str">
        <x:v>수송선 내부 4구역 전환 / 8개 시설 상태 브리핑</x:v>
      </x:c>
      <x:c r="E126" s="825" t="str">
        <x:v>MAIN</x:v>
      </x:c>
      <x:c r="F126" s="825" t="str">
        <x:v>제이·샘·핵심 6명</x:v>
      </x:c>
      <x:c r="G126" s="825" t="str">
        <x:v>수송선 4구역</x:v>
      </x:c>
      <x:c r="H126" s="830" t="n">
        <x:v>1.5</x:v>
      </x:c>
      <x:c r="I126" s="830" t="n">
        <x:v>0</x:v>
      </x:c>
      <x:c r="J126" s="827" t="str">
        <x:v>필수</x:v>
      </x:c>
      <x:c r="K126" s="825" t="str">
        <x:v>Day15 초반</x:v>
      </x:c>
      <x:c r="L126" s="825" t="str">
        <x:v>D14 봉쇄 완료</x:v>
      </x:c>
      <x:c r="M126" s="825" t="str">
        <x:v>W3 공간·시설·내구도·NPC 위치 관리 시작</x:v>
      </x:c>
      <x:c r="N126" s="827" t="str">
        <x:v>공통</x:v>
      </x:c>
      <x:c r="O126" s="827" t="str">
        <x:v>Main</x:v>
      </x:c>
      <x:c r="P126" s="827" t="str">
        <x:v>확정</x:v>
      </x:c>
      <x:c r="Q126" s="825" t="str">
        <x:v>실제 로그/선택/Hover 원고: 29_W3_NarrativeAuthoring.</x:v>
      </x:c>
    </x:row>
    <x:row r="127" ht="24" hidden="0" customHeight="1">
      <x:c r="A127" s="825" t="str">
        <x:v>W3D15_02</x:v>
      </x:c>
      <x:c r="B127" s="827" t="n">
        <x:v>15</x:v>
      </x:c>
      <x:c r="C127" s="827" t="str">
        <x:v>W3</x:v>
      </x:c>
      <x:c r="D127" s="825" t="str">
        <x:v>첫 Wave — 시설 2곳 동시 Emergency</x:v>
      </x:c>
      <x:c r="E127" s="825" t="str">
        <x:v>EMERGENCY</x:v>
      </x:c>
      <x:c r="F127" s="825" t="str">
        <x:v>제이·현재 구역 NPC</x:v>
      </x:c>
      <x:c r="G127" s="825" t="str">
        <x:v>발생 구역</x:v>
      </x:c>
      <x:c r="H127" s="830" t="n">
        <x:v>4</x:v>
      </x:c>
      <x:c r="I127" s="830" t="n">
        <x:v>0</x:v>
      </x:c>
      <x:c r="J127" s="827" t="str">
        <x:v>필수</x:v>
      </x:c>
      <x:c r="K127" s="825" t="str">
        <x:v>11:00 동시 발생 / 첫 Tick +4h</x:v>
      </x:c>
      <x:c r="L127" s="825" t="str">
        <x:v>현재 Integrity 상위 2개 / Freezer 제외</x:v>
      </x:c>
      <x:c r="M127" s="825" t="str">
        <x:v>동시2 대응 / CrisisSeen 기록 / 시설 손상 또는 무피해 해결</x:v>
      </x:c>
      <x:c r="N127" s="827" t="str">
        <x:v>공통</x:v>
      </x:c>
      <x:c r="O127" s="827" t="str">
        <x:v>Emergency</x:v>
      </x:c>
      <x:c r="P127" s="827" t="str">
        <x:v>TEMP</x:v>
      </x:c>
      <x:c r="Q127" s="825" t="str">
        <x:v>첫 동시 Wave 공통 원고 + 시설별 Emergency UI: 29_W3_NarrativeAuthoring.</x:v>
      </x:c>
    </x:row>
    <x:row r="128" ht="24" hidden="0" customHeight="1">
      <x:c r="A128" s="825" t="str">
        <x:v>W3D15_03</x:v>
      </x:c>
      <x:c r="B128" s="827" t="n">
        <x:v>15</x:v>
      </x:c>
      <x:c r="C128" s="827" t="str">
        <x:v>W3</x:v>
      </x:c>
      <x:c r="D128" s="825" t="str">
        <x:v>NPC 이동 요청 기능 익히기</x:v>
      </x:c>
      <x:c r="E128" s="825" t="str">
        <x:v>SYSTEM</x:v>
      </x:c>
      <x:c r="F128" s="825" t="str">
        <x:v>핵심 6명</x:v>
      </x:c>
      <x:c r="G128" s="825" t="str">
        <x:v>수송선 4구역</x:v>
      </x:c>
      <x:c r="H128" s="830" t="n">
        <x:v>0</x:v>
      </x:c>
      <x:c r="I128" s="830" t="n">
        <x:v>0</x:v>
      </x:c>
      <x:c r="J128" s="827" t="str">
        <x:v>선택</x:v>
      </x:c>
      <x:c r="K128" s="825" t="str">
        <x:v>없음</x:v>
      </x:c>
      <x:c r="L128" s="825" t="str">
        <x:v>해당 NPC 생존·이동 가능</x:v>
      </x:c>
      <x:c r="M128" s="825" t="str">
        <x:v>현재 인물 배치를 바꾸고 1h 뒤 도착 예약</x:v>
      </x:c>
      <x:c r="N128" s="827" t="str">
        <x:v>공통</x:v>
      </x:c>
      <x:c r="O128" s="827" t="str">
        <x:v>사람</x:v>
      </x:c>
      <x:c r="P128" s="827" t="str">
        <x:v>확정</x:v>
      </x:c>
      <x:c r="Q128" s="825" t="str">
        <x:v>요청 자체 0h. 이동 1h은 세계시간으로 진행되며 다른 행동과 병행 가능.</x:v>
      </x:c>
    </x:row>
    <x:row r="129" ht="24" hidden="0" customHeight="1">
      <x:c r="A129" s="825" t="str">
        <x:v>W3D15_04</x:v>
      </x:c>
      <x:c r="B129" s="827" t="n">
        <x:v>15</x:v>
      </x:c>
      <x:c r="C129" s="827" t="str">
        <x:v>W3</x:v>
      </x:c>
      <x:c r="D129" s="825" t="str">
        <x:v>시설 일반 수리 1회</x:v>
      </x:c>
      <x:c r="E129" s="825" t="str">
        <x:v>REPAIR</x:v>
      </x:c>
      <x:c r="F129" s="825" t="str">
        <x:v>제이/벤자민/페이</x:v>
      </x:c>
      <x:c r="G129" s="825" t="str">
        <x:v>수송선</x:v>
      </x:c>
      <x:c r="H129" s="830" t="n">
        <x:v>2</x:v>
      </x:c>
      <x:c r="I129" s="830" t="n">
        <x:v>0</x:v>
      </x:c>
      <x:c r="J129" s="827" t="str">
        <x:v>선택</x:v>
      </x:c>
      <x:c r="K129" s="825" t="str">
        <x:v>없음</x:v>
      </x:c>
      <x:c r="L129" s="825" t="str">
        <x:v>해당 시설 접근 가능</x:v>
      </x:c>
      <x:c r="M129" s="825" t="str">
        <x:v>시설 Integrity 회복</x:v>
      </x:c>
      <x:c r="N129" s="827" t="str">
        <x:v>공통</x:v>
      </x:c>
      <x:c r="O129" s="827" t="str">
        <x:v>수송선</x:v>
      </x:c>
      <x:c r="P129" s="827" t="str">
        <x:v>TEMP</x:v>
      </x:c>
      <x:c r="Q129" s="825" t="str">
        <x:v>W3는 '고칠 것인가 사람을 만날 것인가'가 Emergency 버퍼와 경쟁.</x:v>
      </x:c>
    </x:row>
    <x:row r="130" ht="30" hidden="0" customHeight="1">
      <x:c r="A130" s="839" t="str">
        <x:v>W3D15_05</x:v>
      </x:c>
      <x:c r="B130" s="839" t="n">
        <x:v>15</x:v>
      </x:c>
      <x:c r="C130" s="839" t="str">
        <x:v>W3</x:v>
      </x:c>
      <x:c r="D130" s="839" t="str">
        <x:v>폭풍 첫날 핵심 인물 1명 상태 확인</x:v>
      </x:c>
      <x:c r="E130" s="839" t="str">
        <x:v>CHARACTER</x:v>
      </x:c>
      <x:c r="F130" s="839" t="str">
        <x:v>선택 인물</x:v>
      </x:c>
      <x:c r="G130" s="839" t="str">
        <x:v>수송선 4구역</x:v>
      </x:c>
      <x:c r="H130" s="840" t="n">
        <x:v>2</x:v>
      </x:c>
      <x:c r="I130" s="840" t="n">
        <x:v>0</x:v>
      </x:c>
      <x:c r="J130" s="839" t="str">
        <x:v>선택</x:v>
      </x:c>
      <x:c r="K130" s="839" t="str">
        <x:v>Day15 종료 전</x:v>
      </x:c>
      <x:c r="L130" s="839" t="str">
        <x:v>해당 인물 생존</x:v>
      </x:c>
      <x:c r="M130" s="839" t="str">
        <x:v>폭풍 첫 반응 / Character Final의 감정 연결</x:v>
      </x:c>
      <x:c r="N130" s="839" t="str">
        <x:v>Character</x:v>
      </x:c>
      <x:c r="O130" s="839" t="str">
        <x:v>사람</x:v>
      </x:c>
      <x:c r="P130" s="839" t="str">
        <x:v>TEMP</x:v>
      </x:c>
      <x:c r="Q130" s="839" t="str">
        <x:v>누구를 선택하는지가 플레이어의 우선순위가 됨.</x:v>
      </x:c>
    </x:row>
    <x:row r="131" ht="24" hidden="0" customHeight="1">
      <x:c r="A131" s="825" t="str">
        <x:v>W3D15_06</x:v>
      </x:c>
      <x:c r="B131" s="827" t="n">
        <x:v>15</x:v>
      </x:c>
      <x:c r="C131" s="827" t="str">
        <x:v>W3</x:v>
      </x:c>
      <x:c r="D131" s="825" t="str">
        <x:v>Emergency 후속 피해/수리 예비 버퍼</x:v>
      </x:c>
      <x:c r="E131" s="825" t="str">
        <x:v>EMERGENCY</x:v>
      </x:c>
      <x:c r="F131" s="825" t="str">
        <x:v>수송선</x:v>
      </x:c>
      <x:c r="G131" s="825" t="str">
        <x:v>발생 구역</x:v>
      </x:c>
      <x:c r="H131" s="830" t="n">
        <x:v>2</x:v>
      </x:c>
      <x:c r="I131" s="830" t="n">
        <x:v>0</x:v>
      </x:c>
      <x:c r="J131" s="827" t="str">
        <x:v>선택</x:v>
      </x:c>
      <x:c r="K131" s="825" t="str">
        <x:v>Day15</x:v>
      </x:c>
      <x:c r="L131" s="825" t="str">
        <x:v>폭풍 진행</x:v>
      </x:c>
      <x:c r="M131" s="825" t="str">
        <x:v>Breach 후 시설 보강·NPC 재배치·예상 밖 Derived 대응 여유</x:v>
      </x:c>
      <x:c r="N131" s="827" t="str">
        <x:v>공통</x:v>
      </x:c>
      <x:c r="O131" s="827" t="str">
        <x:v>Emergency</x:v>
      </x:c>
      <x:c r="P131" s="827" t="str">
        <x:v>TEMP</x:v>
      </x:c>
      <x:c r="Q131" s="825" t="str">
        <x:v>신규 Root 추가 슬롯이 아님. D15 고정 Root는 1개만 발생.</x:v>
      </x:c>
    </x:row>
    <x:row r="132" ht="24" hidden="0" customHeight="1">
      <x:c r="A132" s="825" t="str">
        <x:v>W3D15_07</x:v>
      </x:c>
      <x:c r="B132" s="827" t="n">
        <x:v>15</x:v>
      </x:c>
      <x:c r="C132" s="827" t="str">
        <x:v>W3</x:v>
      </x:c>
      <x:c r="D132" s="825" t="str">
        <x:v>Day15 종료 후 미래 결정 선언</x:v>
      </x:c>
      <x:c r="E132" s="825" t="str">
        <x:v>EVENT</x:v>
      </x:c>
      <x:c r="F132" s="825" t="str">
        <x:v>보리치·샘·공동체</x:v>
      </x:c>
      <x:c r="G132" s="825" t="str">
        <x:v>함교 또는 안전구역</x:v>
      </x:c>
      <x:c r="H132" s="830" t="n">
        <x:v>0</x:v>
      </x:c>
      <x:c r="I132" s="830" t="n">
        <x:v>0</x:v>
      </x:c>
      <x:c r="J132" s="827" t="str">
        <x:v>필수</x:v>
      </x:c>
      <x:c r="K132" s="825" t="str">
        <x:v>Day15 종료 후</x:v>
      </x:c>
      <x:c r="L132" s="825" t="str">
        <x:v>Day15 직접행동 종료</x:v>
      </x:c>
      <x:c r="M132" s="825" t="str">
        <x:v>보리치 '두 번은 못 버틴다' → 샘이 폭풍 종료 후 떠남/거주 결정을 선언</x:v>
      </x:c>
      <x:c r="N132" s="827" t="str">
        <x:v>공통</x:v>
      </x:c>
      <x:c r="O132" s="827" t="str">
        <x:v>Main</x:v>
      </x:c>
      <x:c r="P132" s="827" t="str">
        <x:v>확정</x:v>
      </x:c>
      <x:c r="Q132" s="825" t="str">
        <x:v>D15 종료 직후 미래 선언 실제 대사 작성 완료: 29_W3_NarrativeAuthoring.</x:v>
      </x:c>
    </x:row>
    <x:row r="133" ht="24" hidden="0" customHeight="1">
      <x:c r="A133" s="825" t="str">
        <x:v>W3D16_01</x:v>
      </x:c>
      <x:c r="B133" s="827" t="n">
        <x:v>16</x:v>
      </x:c>
      <x:c r="C133" s="827" t="str">
        <x:v>W3</x:v>
      </x:c>
      <x:c r="D133" s="825" t="str">
        <x:v>밤사이 수송선 상태 보고 / 오늘의 피해 확인</x:v>
      </x:c>
      <x:c r="E133" s="825" t="str">
        <x:v>MAIN</x:v>
      </x:c>
      <x:c r="F133" s="825" t="str">
        <x:v>샘·야간조 대표</x:v>
      </x:c>
      <x:c r="G133" s="825" t="str">
        <x:v>수송선</x:v>
      </x:c>
      <x:c r="H133" s="830" t="n">
        <x:v>1</x:v>
      </x:c>
      <x:c r="I133" s="830" t="n">
        <x:v>0</x:v>
      </x:c>
      <x:c r="J133" s="827" t="str">
        <x:v>필수</x:v>
      </x:c>
      <x:c r="K133" s="825" t="str">
        <x:v>Day16 시작</x:v>
      </x:c>
      <x:c r="L133" s="825" t="str">
        <x:v>Day15 종료</x:v>
      </x:c>
      <x:c r="M133" s="825" t="str">
        <x:v>Overnight 결과와 위험 상태를 플레이어가 이해</x:v>
      </x:c>
      <x:c r="N133" s="827" t="str">
        <x:v>공통</x:v>
      </x:c>
      <x:c r="O133" s="827" t="str">
        <x:v>Main</x:v>
      </x:c>
      <x:c r="P133" s="827" t="str">
        <x:v>확정</x:v>
      </x:c>
      <x:c r="Q133" s="825" t="str">
        <x:v>밤은 실제 세계시간으로 경과하되, 플레이어가 대응 불가능한 랜덤 즉사는 피함.</x:v>
      </x:c>
    </x:row>
    <x:row r="134" ht="24" hidden="0" customHeight="1">
      <x:c r="A134" s="825" t="str">
        <x:v>W3D16_02</x:v>
      </x:c>
      <x:c r="B134" s="827" t="n">
        <x:v>16</x:v>
      </x:c>
      <x:c r="C134" s="827" t="str">
        <x:v>W3</x:v>
      </x:c>
      <x:c r="D134" s="825" t="str">
        <x:v>샘 Final — 선택을 대신하지 않는 선장</x:v>
      </x:c>
      <x:c r="E134" s="825" t="str">
        <x:v>CHARACTER</x:v>
      </x:c>
      <x:c r="F134" s="825" t="str">
        <x:v>샘</x:v>
      </x:c>
      <x:c r="G134" s="825" t="str">
        <x:v>수송선</x:v>
      </x:c>
      <x:c r="H134" s="830" t="n">
        <x:v>2</x:v>
      </x:c>
      <x:c r="I134" s="830" t="n">
        <x:v>0</x:v>
      </x:c>
      <x:c r="J134" s="827" t="str">
        <x:v>조건부</x:v>
      </x:c>
      <x:c r="K134" s="825" t="str">
        <x:v>D16~18 / Boss 전</x:v>
      </x:c>
      <x:c r="L134" s="825" t="str">
        <x:v>샘 생존 + D15 선언 + 샘 Route 진행 / 붕괴 실패 아님</x:v>
      </x:c>
      <x:c r="M134" s="825" t="str">
        <x:v>샘 아크 결론 / Will +2(Max5) / Full Route면 Jay 강인함 XP+6 / Sam LEAVE 유지</x:v>
      </x:c>
      <x:c r="N134" s="827" t="str">
        <x:v>Character</x:v>
      </x:c>
      <x:c r="O134" s="827" t="str">
        <x:v>사람</x:v>
      </x:c>
      <x:c r="P134" s="827" t="str">
        <x:v>TEMP</x:v>
      </x:c>
      <x:c r="Q134" s="825" t="str">
        <x:v>샘 Final 실제 원고 작성 완료. LEAVE 의견은 유지, 명령하지 않는 선장으로 결론.</x:v>
      </x:c>
    </x:row>
    <x:row r="135" ht="24" hidden="0" customHeight="1">
      <x:c r="A135" s="825" t="str">
        <x:v>W3D16_03</x:v>
      </x:c>
      <x:c r="B135" s="827" t="n">
        <x:v>16</x:v>
      </x:c>
      <x:c r="C135" s="827" t="str">
        <x:v>W3</x:v>
      </x:c>
      <x:c r="D135" s="825" t="str">
        <x:v>샘의 부담을 다시 들어주기</x:v>
      </x:c>
      <x:c r="E135" s="825" t="str">
        <x:v>CHARACTER</x:v>
      </x:c>
      <x:c r="F135" s="825" t="str">
        <x:v>샘</x:v>
      </x:c>
      <x:c r="G135" s="825" t="str">
        <x:v>수송선</x:v>
      </x:c>
      <x:c r="H135" s="830" t="n">
        <x:v>2</x:v>
      </x:c>
      <x:c r="I135" s="830" t="n">
        <x:v>1</x:v>
      </x:c>
      <x:c r="J135" s="827" t="str">
        <x:v>조건부</x:v>
      </x:c>
      <x:c r="K135" s="825" t="str">
        <x:v>D16~19</x:v>
      </x:c>
      <x:c r="L135" s="825" t="str">
        <x:v>샘 부담 누적 상태</x:v>
      </x:c>
      <x:c r="M135" s="825" t="str">
        <x:v>샘 붕괴 위험 완화 / 선장 아크 진행</x:v>
      </x:c>
      <x:c r="N135" s="827" t="str">
        <x:v>Character</x:v>
      </x:c>
      <x:c r="O135" s="827" t="str">
        <x:v>사람</x:v>
      </x:c>
      <x:c r="P135" s="827" t="str">
        <x:v>TEMP</x:v>
      </x:c>
      <x:c r="Q135" s="825" t="str">
        <x:v>W1~2에서 이미 충분히 도왔다면 필요성이 낮아질 수 있음.</x:v>
      </x:c>
    </x:row>
    <x:row r="136" ht="15" hidden="0" customHeight="1">
      <x:c r="A136" s="825" t="str">
        <x:v>W3D16_04</x:v>
      </x:c>
      <x:c r="B136" s="827" t="n">
        <x:v>16</x:v>
      </x:c>
      <x:c r="C136" s="827" t="str">
        <x:v>W3</x:v>
      </x:c>
      <x:c r="D136" s="825" t="str">
        <x:v>시설 일반 수리 1회</x:v>
      </x:c>
      <x:c r="E136" s="825" t="str">
        <x:v>REPAIR</x:v>
      </x:c>
      <x:c r="F136" s="825" t="str">
        <x:v>제이/벤자민/페이</x:v>
      </x:c>
      <x:c r="G136" s="825" t="str">
        <x:v>수송선</x:v>
      </x:c>
      <x:c r="H136" s="830" t="n">
        <x:v>2</x:v>
      </x:c>
      <x:c r="I136" s="830" t="n">
        <x:v>0</x:v>
      </x:c>
      <x:c r="J136" s="827" t="str">
        <x:v>선택</x:v>
      </x:c>
      <x:c r="K136" s="825" t="str">
        <x:v>없음</x:v>
      </x:c>
      <x:c r="L136" s="825" t="str">
        <x:v>시설 접근 가능</x:v>
      </x:c>
      <x:c r="M136" s="825" t="str">
        <x:v>Integrity 회복 / ShipCondition 방어</x:v>
      </x:c>
      <x:c r="N136" s="827" t="str">
        <x:v>공통</x:v>
      </x:c>
      <x:c r="O136" s="827" t="str">
        <x:v>수송선</x:v>
      </x:c>
      <x:c r="P136" s="827" t="str">
        <x:v>TEMP</x:v>
      </x:c>
      <x:c r="Q136" s="825" t="str">
        <x:v>기술과 NPC 배치에 따라 실제 효율 변화.</x:v>
      </x:c>
    </x:row>
    <x:row r="137" ht="24" hidden="0" customHeight="1">
      <x:c r="A137" s="825" t="str">
        <x:v>W3D16_05</x:v>
      </x:c>
      <x:c r="B137" s="827" t="n">
        <x:v>16</x:v>
      </x:c>
      <x:c r="C137" s="827" t="str">
        <x:v>W3</x:v>
      </x:c>
      <x:c r="D137" s="825" t="str">
        <x:v>D17 대비 시설 수리 / NPC 배치 / Character 진행 버퍼</x:v>
      </x:c>
      <x:c r="E137" s="825" t="str">
        <x:v>SYSTEM</x:v>
      </x:c>
      <x:c r="F137" s="825" t="str">
        <x:v>수송선</x:v>
      </x:c>
      <x:c r="G137" s="825" t="str">
        <x:v>발생 구역</x:v>
      </x:c>
      <x:c r="H137" s="830" t="n">
        <x:v>3</x:v>
      </x:c>
      <x:c r="I137" s="830" t="n">
        <x:v>0</x:v>
      </x:c>
      <x:c r="J137" s="827" t="str">
        <x:v>선택</x:v>
      </x:c>
      <x:c r="K137" s="825" t="str">
        <x:v>Day16</x:v>
      </x:c>
      <x:c r="L137" s="825" t="str">
        <x:v>신규 Wave 없음</x:v>
      </x:c>
      <x:c r="M137" s="825" t="str">
        <x:v>D17 Target 순위 변화 / Will·Stat·관계 준비</x:v>
      </x:c>
      <x:c r="N137" s="827" t="str">
        <x:v>공통</x:v>
      </x:c>
      <x:c r="O137" s="827" t="str">
        <x:v>Emergency</x:v>
      </x:c>
      <x:c r="P137" s="827" t="str">
        <x:v>TEMP</x:v>
      </x:c>
      <x:c r="Q137" s="825" t="str">
        <x:v>D16의 수리가 D17 Director의 현재 Integrity 순위에 반영됨.</x:v>
      </x:c>
    </x:row>
    <x:row r="138" ht="24" hidden="0" customHeight="1">
      <x:c r="A138" s="825" t="str">
        <x:v>W3D16_06</x:v>
      </x:c>
      <x:c r="B138" s="827" t="n">
        <x:v>16</x:v>
      </x:c>
      <x:c r="C138" s="827" t="str">
        <x:v>W3</x:v>
      </x:c>
      <x:c r="D138" s="825" t="str">
        <x:v>NPC 재배치 요청</x:v>
      </x:c>
      <x:c r="E138" s="825" t="str">
        <x:v>SYSTEM</x:v>
      </x:c>
      <x:c r="F138" s="825" t="str">
        <x:v>핵심 6명</x:v>
      </x:c>
      <x:c r="G138" s="825" t="str">
        <x:v>수송선 4구역</x:v>
      </x:c>
      <x:c r="H138" s="830" t="n">
        <x:v>0</x:v>
      </x:c>
      <x:c r="I138" s="830" t="n">
        <x:v>0</x:v>
      </x:c>
      <x:c r="J138" s="827" t="str">
        <x:v>선택</x:v>
      </x:c>
      <x:c r="K138" s="825" t="str">
        <x:v>없음</x:v>
      </x:c>
      <x:c r="L138" s="825" t="str">
        <x:v>해당 NPC 생존·이동 가능 + Affinity/Will 비용</x:v>
      </x:c>
      <x:c r="M138" s="825" t="str">
        <x:v>다음 Emergency에 대비한 인물 배치 변경</x:v>
      </x:c>
      <x:c r="N138" s="827" t="str">
        <x:v>공통</x:v>
      </x:c>
      <x:c r="O138" s="827" t="str">
        <x:v>사람</x:v>
      </x:c>
      <x:c r="P138" s="827" t="str">
        <x:v>TEMP</x:v>
      </x:c>
      <x:c r="Q138" s="825" t="str">
        <x:v>v1.1: Affinity&gt;=3 무료 / Affinity2=Will1 / Affinity1=Will2 / Affinity0=요청 불가. 이동 자체는 1h.</x:v>
      </x:c>
    </x:row>
    <x:row r="139" ht="24" hidden="0" customHeight="1">
      <x:c r="A139" s="825" t="str">
        <x:v>W3D17_01</x:v>
      </x:c>
      <x:c r="B139" s="827" t="n">
        <x:v>17</x:v>
      </x:c>
      <x:c r="C139" s="827" t="str">
        <x:v>W3</x:v>
      </x:c>
      <x:c r="D139" s="825" t="str">
        <x:v>폭풍 상황 짧은 보고</x:v>
      </x:c>
      <x:c r="E139" s="825" t="str">
        <x:v>MAIN</x:v>
      </x:c>
      <x:c r="F139" s="825" t="str">
        <x:v>샘/보리치</x:v>
      </x:c>
      <x:c r="G139" s="825" t="str">
        <x:v>수송선</x:v>
      </x:c>
      <x:c r="H139" s="830" t="n">
        <x:v>0.5</x:v>
      </x:c>
      <x:c r="I139" s="830" t="n">
        <x:v>0</x:v>
      </x:c>
      <x:c r="J139" s="827" t="str">
        <x:v>필수</x:v>
      </x:c>
      <x:c r="K139" s="825" t="str">
        <x:v>Day17 시작</x:v>
      </x:c>
      <x:c r="L139" s="825" t="str">
        <x:v>폭풍 진행</x:v>
      </x:c>
      <x:c r="M139" s="825" t="str">
        <x:v>고정 Main을 최소화하고 자유/위기 대응 중심 유지</x:v>
      </x:c>
      <x:c r="N139" s="827" t="str">
        <x:v>공통</x:v>
      </x:c>
      <x:c r="O139" s="827" t="str">
        <x:v>Main</x:v>
      </x:c>
      <x:c r="P139" s="827" t="str">
        <x:v>TEMP</x:v>
      </x:c>
      <x:c r="Q139" s="825" t="str">
        <x:v>Day16~19의 실제 사건 순서는 플레이마다 달라도 됨.</x:v>
      </x:c>
    </x:row>
    <x:row r="140" ht="24" hidden="0" customHeight="1">
      <x:c r="A140" s="825" t="str">
        <x:v>W3D17_02</x:v>
      </x:c>
      <x:c r="B140" s="827" t="n">
        <x:v>17</x:v>
      </x:c>
      <x:c r="C140" s="827" t="str">
        <x:v>W3</x:v>
      </x:c>
      <x:c r="D140" s="825" t="str">
        <x:v>지나 최종 신뢰 대화 — 출항 지지를 요청</x:v>
      </x:c>
      <x:c r="E140" s="825" t="str">
        <x:v>CHARACTER</x:v>
      </x:c>
      <x:c r="F140" s="825" t="str">
        <x:v>지나·제이</x:v>
      </x:c>
      <x:c r="G140" s="825" t="str">
        <x:v>수송선</x:v>
      </x:c>
      <x:c r="H140" s="830" t="n">
        <x:v>2</x:v>
      </x:c>
      <x:c r="I140" s="830" t="n">
        <x:v>0</x:v>
      </x:c>
      <x:c r="J140" s="827" t="str">
        <x:v>조건부</x:v>
      </x:c>
      <x:c r="K140" s="825" t="str">
        <x:v>D16~20</x:v>
      </x:c>
      <x:c r="L140" s="825" t="str">
        <x:v>제이가 실종된 미라를 직접 찾아냄 + 지나 Character 진행</x:v>
      </x:c>
      <x:c r="M140" s="825" t="str">
        <x:v>지나 최종 계산에 따라 LEAVE 또는 STAY / Will +2(Max5) / Full Route면 Jay 교감 XP+6</x:v>
      </x:c>
      <x:c r="N140" s="827" t="str">
        <x:v>True</x:v>
      </x:c>
      <x:c r="O140" s="827" t="str">
        <x:v>사람</x:v>
      </x:c>
      <x:c r="P140" s="827" t="str">
        <x:v>확정</x:v>
      </x:c>
      <x:c r="Q140" s="825" t="str">
        <x:v>v3.1 Canon Sync: 과거 친구 회복이 아니라 '답을 맡기던 관계→함께 계산하는 동료'가 핵심. 출항 조건을 받아들이면 LEAVE 가능.</x:v>
      </x:c>
    </x:row>
    <x:row r="141" ht="24" hidden="0" customHeight="1">
      <x:c r="A141" s="825" t="str">
        <x:v>W3D17_03</x:v>
      </x:c>
      <x:c r="B141" s="827" t="n">
        <x:v>17</x:v>
      </x:c>
      <x:c r="C141" s="827" t="str">
        <x:v>W3</x:v>
      </x:c>
      <x:c r="D141" s="825" t="str">
        <x:v>다른 Character Final/미래 대화 1회</x:v>
      </x:c>
      <x:c r="E141" s="825" t="str">
        <x:v>CHARACTER</x:v>
      </x:c>
      <x:c r="F141" s="825" t="str">
        <x:v>선택 인물</x:v>
      </x:c>
      <x:c r="G141" s="825" t="str">
        <x:v>수송선</x:v>
      </x:c>
      <x:c r="H141" s="830" t="n">
        <x:v>2</x:v>
      </x:c>
      <x:c r="I141" s="830" t="n">
        <x:v>0</x:v>
      </x:c>
      <x:c r="J141" s="827" t="str">
        <x:v>선택</x:v>
      </x:c>
      <x:c r="K141" s="825" t="str">
        <x:v>D16~18 / Boss 전</x:v>
      </x:c>
      <x:c r="L141" s="825" t="str">
        <x:v>해당 인물 생존</x:v>
      </x:c>
      <x:c r="M141" s="825" t="str">
        <x:v>미완료 Character Arc 진행</x:v>
      </x:c>
      <x:c r="N141" s="827" t="str">
        <x:v>Character</x:v>
      </x:c>
      <x:c r="O141" s="827" t="str">
        <x:v>사람</x:v>
      </x:c>
      <x:c r="P141" s="827" t="str">
        <x:v>TEMP</x:v>
      </x:c>
      <x:c r="Q141" s="825" t="str">
        <x:v>샘·지나 등 고정 Final을 놓친 경우의 선택 슬롯. D19 이후에는 Mastery 보상 없이 Epilogue만.</x:v>
      </x:c>
    </x:row>
    <x:row r="142" ht="15" hidden="0" customHeight="1">
      <x:c r="A142" s="825" t="str">
        <x:v>W3D17_04</x:v>
      </x:c>
      <x:c r="B142" s="827" t="n">
        <x:v>17</x:v>
      </x:c>
      <x:c r="C142" s="827" t="str">
        <x:v>W3</x:v>
      </x:c>
      <x:c r="D142" s="825" t="str">
        <x:v>시설 일반 수리 1회</x:v>
      </x:c>
      <x:c r="E142" s="825" t="str">
        <x:v>REPAIR</x:v>
      </x:c>
      <x:c r="F142" s="825" t="str">
        <x:v>제이/벤자민/페이</x:v>
      </x:c>
      <x:c r="G142" s="825" t="str">
        <x:v>수송선</x:v>
      </x:c>
      <x:c r="H142" s="830" t="n">
        <x:v>2</x:v>
      </x:c>
      <x:c r="I142" s="830" t="n">
        <x:v>0</x:v>
      </x:c>
      <x:c r="J142" s="827" t="str">
        <x:v>선택</x:v>
      </x:c>
      <x:c r="K142" s="825" t="str">
        <x:v>없음</x:v>
      </x:c>
      <x:c r="L142" s="825" t="str">
        <x:v>시설 접근 가능</x:v>
      </x:c>
      <x:c r="M142" s="825" t="str">
        <x:v>Integrity 회복</x:v>
      </x:c>
      <x:c r="N142" s="827" t="str">
        <x:v>공통</x:v>
      </x:c>
      <x:c r="O142" s="827" t="str">
        <x:v>수송선</x:v>
      </x:c>
      <x:c r="P142" s="827" t="str">
        <x:v>TEMP</x:v>
      </x:c>
      <x:c r="Q142" s="825" t="str">
        <x:v>Emergency가 발생하면 이 계획이 밀릴 수 있음.</x:v>
      </x:c>
    </x:row>
    <x:row r="143" ht="24" hidden="0" customHeight="1">
      <x:c r="A143" s="825" t="str">
        <x:v>W3D17_05</x:v>
      </x:c>
      <x:c r="B143" s="827" t="n">
        <x:v>17</x:v>
      </x:c>
      <x:c r="C143" s="827" t="str">
        <x:v>W3</x:v>
      </x:c>
      <x:c r="D143" s="825" t="str">
        <x:v>두 번째 Wave — 미발생 시설 2곳 동시 Emergency</x:v>
      </x:c>
      <x:c r="E143" s="825" t="str">
        <x:v>EMERGENCY</x:v>
      </x:c>
      <x:c r="F143" s="825" t="str">
        <x:v>수송선</x:v>
      </x:c>
      <x:c r="G143" s="825" t="str">
        <x:v>발생 구역</x:v>
      </x:c>
      <x:c r="H143" s="830" t="n">
        <x:v>4</x:v>
      </x:c>
      <x:c r="I143" s="830" t="n">
        <x:v>0</x:v>
      </x:c>
      <x:c r="J143" s="827" t="str">
        <x:v>조건부</x:v>
      </x:c>
      <x:c r="K143" s="825" t="str">
        <x:v>12:00 동시 발생 / 첫 Tick +4h</x:v>
      </x:c>
      <x:c r="L143" s="825" t="str">
        <x:v>남은 4개 중 현재 Integrity 상위2 / Freezer 제외</x:v>
      </x:c>
      <x:c r="M143" s="825" t="str">
        <x:v>동시2 대응 / D19에 남을 약한 Target 2개 결정</x:v>
      </x:c>
      <x:c r="N143" s="827" t="str">
        <x:v>공통</x:v>
      </x:c>
      <x:c r="O143" s="827" t="str">
        <x:v>Emergency</x:v>
      </x:c>
      <x:c r="P143" s="827" t="str">
        <x:v>TEMP</x:v>
      </x:c>
      <x:c r="Q143" s="825" t="str">
        <x:v>D17 두 번째 Wave 공통 원고 작성 완료.</x:v>
      </x:c>
    </x:row>
    <x:row r="144" ht="24" hidden="0" customHeight="1">
      <x:c r="A144" s="825" t="str">
        <x:v>W3D17_06</x:v>
      </x:c>
      <x:c r="B144" s="827" t="n">
        <x:v>17</x:v>
      </x:c>
      <x:c r="C144" s="827" t="str">
        <x:v>W3</x:v>
      </x:c>
      <x:c r="D144" s="825" t="str">
        <x:v>`정신 차려, 샘!` 붕괴 Emergency 대응</x:v>
      </x:c>
      <x:c r="E144" s="825" t="str">
        <x:v>EMERGENCY</x:v>
      </x:c>
      <x:c r="F144" s="825" t="str">
        <x:v>샘·제이</x:v>
      </x:c>
      <x:c r="G144" s="825" t="str">
        <x:v>수송선</x:v>
      </x:c>
      <x:c r="H144" s="830" t="n">
        <x:v>4</x:v>
      </x:c>
      <x:c r="I144" s="830" t="n">
        <x:v>0</x:v>
      </x:c>
      <x:c r="J144" s="827" t="str">
        <x:v>조건부</x:v>
      </x:c>
      <x:c r="K144" s="825" t="str">
        <x:v>발생 후 6h 내</x:v>
      </x:c>
      <x:c r="L144" s="825" t="str">
        <x:v>샘 부담 누적 임계치 + 선언 완료</x:v>
      </x:c>
      <x:c r="M144" s="825" t="str">
        <x:v>샘 생존/회복 또는 실패 시 사망·시설 사고</x:v>
      </x:c>
      <x:c r="N144" s="827" t="str">
        <x:v>Character</x:v>
      </x:c>
      <x:c r="O144" s="827" t="str">
        <x:v>Emergency</x:v>
      </x:c>
      <x:c r="P144" s="827" t="str">
        <x:v>TEMP</x:v>
      </x:c>
      <x:c r="Q144" s="825" t="str">
        <x:v>Narrative 원고 작성 완료. 빠른 해결의 정확 Stat/Will 수치는 여전히 TBD.</x:v>
      </x:c>
    </x:row>
    <x:row r="145" ht="15" hidden="0" customHeight="1">
      <x:c r="A145" s="825" t="str">
        <x:v>W3D18_01</x:v>
      </x:c>
      <x:c r="B145" s="827" t="n">
        <x:v>18</x:v>
      </x:c>
      <x:c r="C145" s="827" t="str">
        <x:v>W3</x:v>
      </x:c>
      <x:c r="D145" s="825" t="str">
        <x:v>폭풍 상황 짧은 보고</x:v>
      </x:c>
      <x:c r="E145" s="825" t="str">
        <x:v>MAIN</x:v>
      </x:c>
      <x:c r="F145" s="825" t="str">
        <x:v>보리치</x:v>
      </x:c>
      <x:c r="G145" s="825" t="str">
        <x:v>수송선</x:v>
      </x:c>
      <x:c r="H145" s="830" t="n">
        <x:v>0.5</x:v>
      </x:c>
      <x:c r="I145" s="830" t="n">
        <x:v>0</x:v>
      </x:c>
      <x:c r="J145" s="827" t="str">
        <x:v>필수</x:v>
      </x:c>
      <x:c r="K145" s="825" t="str">
        <x:v>Day18 시작</x:v>
      </x:c>
      <x:c r="L145" s="825" t="str">
        <x:v>폭풍 진행</x:v>
      </x:c>
      <x:c r="M145" s="825" t="str">
        <x:v>현재 위기와 연구 가능 상태 확인</x:v>
      </x:c>
      <x:c r="N145" s="827" t="str">
        <x:v>공통</x:v>
      </x:c>
      <x:c r="O145" s="827" t="str">
        <x:v>Main</x:v>
      </x:c>
      <x:c r="P145" s="827" t="str">
        <x:v>TEMP</x:v>
      </x:c>
      <x:c r="Q145" s="825" t="str">
        <x:v>고정 Main 최소화.</x:v>
      </x:c>
    </x:row>
    <x:row r="146" ht="24" hidden="0" customHeight="1">
      <x:c r="A146" s="825" t="str">
        <x:v>W3D18_02</x:v>
      </x:c>
      <x:c r="B146" s="827" t="n">
        <x:v>18</x:v>
      </x:c>
      <x:c r="C146" s="827" t="str">
        <x:v>W3</x:v>
      </x:c>
      <x:c r="D146" s="825" t="str">
        <x:v>행성 거주 가능성 재점검 — 연구실 분석</x:v>
      </x:c>
      <x:c r="E146" s="825" t="str">
        <x:v>CHARACTER</x:v>
      </x:c>
      <x:c r="F146" s="825" t="str">
        <x:v>보리치·제이</x:v>
      </x:c>
      <x:c r="G146" s="825" t="str">
        <x:v>연구 구역</x:v>
      </x:c>
      <x:c r="H146" s="830" t="n">
        <x:v>3</x:v>
      </x:c>
      <x:c r="I146" s="830" t="n">
        <x:v>0</x:v>
      </x:c>
      <x:c r="J146" s="827" t="str">
        <x:v>조건부</x:v>
      </x:c>
      <x:c r="K146" s="825" t="str">
        <x:v>D20 이전</x:v>
      </x:c>
      <x:c r="L146" s="825" t="str">
        <x:v>재점검 요청 + 보리치 생존 + 연구실 사용 가능</x:v>
      </x:c>
      <x:c r="M146" s="825" t="str">
        <x:v>Sustainability LOW 고정 해제 / MEDIUM·HIGH 판정 가능</x:v>
      </x:c>
      <x:c r="N146" s="827" t="str">
        <x:v>Hidden/Normal</x:v>
      </x:c>
      <x:c r="O146" s="827" t="str">
        <x:v>행성</x:v>
      </x:c>
      <x:c r="P146" s="827" t="str">
        <x:v>확정</x:v>
      </x:c>
      <x:c r="Q146" s="825" t="str">
        <x:v>Sustainability 재점검 실제 분석 원고 작성 완료. W1 결론을 뒤집지 않음.</x:v>
      </x:c>
    </x:row>
    <x:row r="147" ht="36" hidden="0" customHeight="1">
      <x:c r="A147" s="825" t="str">
        <x:v>W3D18_03</x:v>
      </x:c>
      <x:c r="B147" s="827" t="n">
        <x:v>18</x:v>
      </x:c>
      <x:c r="C147" s="827" t="str">
        <x:v>W3</x:v>
      </x:c>
      <x:c r="D147" s="825" t="str">
        <x:v>보리치 Final — 이번에는 끝까지 확인했다</x:v>
      </x:c>
      <x:c r="E147" s="825" t="str">
        <x:v>CHARACTER</x:v>
      </x:c>
      <x:c r="F147" s="825" t="str">
        <x:v>보리치</x:v>
      </x:c>
      <x:c r="G147" s="825" t="str">
        <x:v>연구 구역</x:v>
      </x:c>
      <x:c r="H147" s="830" t="n">
        <x:v>1</x:v>
      </x:c>
      <x:c r="I147" s="830" t="n">
        <x:v>0</x:v>
      </x:c>
      <x:c r="J147" s="827" t="str">
        <x:v>조건부</x:v>
      </x:c>
      <x:c r="K147" s="825" t="str">
        <x:v>재점검 직후</x:v>
      </x:c>
      <x:c r="L147" s="825" t="str">
        <x:v>보리치 생존 + W1 조사 + D8 Sandworm/폭풍 발견 + (재점검 완료 OR D15 이후 폭풍 분석 Follow-up)</x:v>
      </x:c>
      <x:c r="M147" s="825" t="str">
        <x:v>LEAVE 유지 / 재분석 결과 수용 / Will +2(Max5) / Full Route면 Jay 기술 XP+6</x:v>
      </x:c>
      <x:c r="N147" s="827" t="str">
        <x:v>Hidden</x:v>
      </x:c>
      <x:c r="O147" s="827" t="str">
        <x:v>사람</x:v>
      </x:c>
      <x:c r="P147" s="827" t="str">
        <x:v>확정 서사 / 보상 TEMP</x:v>
      </x:c>
      <x:c r="Q147" s="825" t="str">
        <x:v>보리치 Final 실제 원고 작성 완료. LEAVE 유지.</x:v>
      </x:c>
    </x:row>
    <x:row r="148" ht="36" hidden="0" customHeight="1">
      <x:c r="A148" s="825" t="str">
        <x:v>W3D18_04</x:v>
      </x:c>
      <x:c r="B148" s="827" t="n">
        <x:v>18</x:v>
      </x:c>
      <x:c r="C148" s="827" t="str">
        <x:v>W3</x:v>
      </x:c>
      <x:c r="D148" s="825" t="str">
        <x:v>디야 Final — 아이의 미래 / 이곳을 집으로</x:v>
      </x:c>
      <x:c r="E148" s="825" t="str">
        <x:v>CHARACTER</x:v>
      </x:c>
      <x:c r="F148" s="825" t="str">
        <x:v>디야·아이</x:v>
      </x:c>
      <x:c r="G148" s="825" t="str">
        <x:v>거주 구역</x:v>
      </x:c>
      <x:c r="H148" s="830" t="n">
        <x:v>1.5</x:v>
      </x:c>
      <x:c r="I148" s="830" t="n">
        <x:v>0</x:v>
      </x:c>
      <x:c r="J148" s="827" t="str">
        <x:v>조건부</x:v>
      </x:c>
      <x:c r="K148" s="825" t="str">
        <x:v>D16~20</x:v>
      </x:c>
      <x:c r="L148" s="825" t="str">
        <x:v>Route A: 미라 직접 수색·발견 + 축제 후 '아이 의견도 묻자' / Route B: 축제 후 디야 공감 + 정착 보존 진행</x:v>
      </x:c>
      <x:c r="M148" s="825" t="str">
        <x:v>True: STAY→UNDECIDED / Hidden: STAY 유지 / Will +2(Max5) / Full Route면 Jay 교감 XP+6</x:v>
      </x:c>
      <x:c r="N148" s="827" t="str">
        <x:v>True/Hidden</x:v>
      </x:c>
      <x:c r="O148" s="827" t="str">
        <x:v>사람</x:v>
      </x:c>
      <x:c r="P148" s="827" t="str">
        <x:v>확정 서사 / 보상 TEMP</x:v>
      </x:c>
      <x:c r="Q148" s="825" t="str">
        <x:v>True/Hidden 두 Variant 실제 원고 작성 완료.</x:v>
      </x:c>
    </x:row>
    <x:row r="149" ht="15" hidden="0" customHeight="1">
      <x:c r="A149" s="825" t="str">
        <x:v>W3D18_05</x:v>
      </x:c>
      <x:c r="B149" s="827" t="n">
        <x:v>18</x:v>
      </x:c>
      <x:c r="C149" s="827" t="str">
        <x:v>W3</x:v>
      </x:c>
      <x:c r="D149" s="825" t="str">
        <x:v>시설 일반 수리 1회</x:v>
      </x:c>
      <x:c r="E149" s="825" t="str">
        <x:v>REPAIR</x:v>
      </x:c>
      <x:c r="F149" s="825" t="str">
        <x:v>제이/벤자민/페이</x:v>
      </x:c>
      <x:c r="G149" s="825" t="str">
        <x:v>수송선</x:v>
      </x:c>
      <x:c r="H149" s="830" t="n">
        <x:v>2</x:v>
      </x:c>
      <x:c r="I149" s="830" t="n">
        <x:v>0</x:v>
      </x:c>
      <x:c r="J149" s="827" t="str">
        <x:v>선택</x:v>
      </x:c>
      <x:c r="K149" s="825" t="str">
        <x:v>없음</x:v>
      </x:c>
      <x:c r="L149" s="825" t="str">
        <x:v>시설 접근 가능</x:v>
      </x:c>
      <x:c r="M149" s="825" t="str">
        <x:v>Integrity 회복</x:v>
      </x:c>
      <x:c r="N149" s="827" t="str">
        <x:v>공통</x:v>
      </x:c>
      <x:c r="O149" s="827" t="str">
        <x:v>수송선</x:v>
      </x:c>
      <x:c r="P149" s="827" t="str">
        <x:v>TEMP</x:v>
      </x:c>
      <x:c r="Q149" s="825" t="str">
        <x:v>재점검을 선택하면 생존 관리 시간이 줄어드는 경쟁.</x:v>
      </x:c>
    </x:row>
    <x:row r="150" ht="24" hidden="0" customHeight="1">
      <x:c r="A150" s="825" t="str">
        <x:v>W3D18_06</x:v>
      </x:c>
      <x:c r="B150" s="827" t="n">
        <x:v>18</x:v>
      </x:c>
      <x:c r="C150" s="827" t="str">
        <x:v>W3</x:v>
      </x:c>
      <x:c r="D150" s="825" t="str">
        <x:v>Pre-Boss Finale / 수리 / Will 회복 버퍼</x:v>
      </x:c>
      <x:c r="E150" s="825" t="str">
        <x:v>CHARACTER/SYSTEM</x:v>
      </x:c>
      <x:c r="F150" s="825" t="str">
        <x:v>수송선</x:v>
      </x:c>
      <x:c r="G150" s="825" t="str">
        <x:v>발생 구역</x:v>
      </x:c>
      <x:c r="H150" s="830" t="n">
        <x:v>3</x:v>
      </x:c>
      <x:c r="I150" s="830" t="n">
        <x:v>0</x:v>
      </x:c>
      <x:c r="J150" s="827" t="str">
        <x:v>선택</x:v>
      </x:c>
      <x:c r="K150" s="825" t="str">
        <x:v>Day18</x:v>
      </x:c>
      <x:c r="L150" s="825" t="str">
        <x:v>신규 Wave 없음 / D19 직전</x:v>
      </x:c>
      <x:c r="M150" s="825" t="str">
        <x:v>Character Final Will+2 후보 / Route Mastery Stat XP+6 후보 / 시설 최종보강</x:v>
      </x:c>
      <x:c r="N150" s="827" t="str">
        <x:v>공통</x:v>
      </x:c>
      <x:c r="O150" s="827" t="str">
        <x:v>Emergency</x:v>
      </x:c>
      <x:c r="P150" s="827" t="str">
        <x:v>TEMP</x:v>
      </x:c>
      <x:c r="Q150" s="825" t="str">
        <x:v>페이 공연은 D18로 이동: 1h, Will+3(Max5) TEMP.</x:v>
      </x:c>
    </x:row>
    <x:row r="151" ht="24" hidden="0" customHeight="1">
      <x:c r="A151" s="825" t="str">
        <x:v>W3D19_01</x:v>
      </x:c>
      <x:c r="B151" s="827" t="n">
        <x:v>19</x:v>
      </x:c>
      <x:c r="C151" s="827" t="str">
        <x:v>W3</x:v>
      </x:c>
      <x:c r="D151" s="825" t="str">
        <x:v>폭풍의 마지막 강한 구간 상황 보고</x:v>
      </x:c>
      <x:c r="E151" s="825" t="str">
        <x:v>MAIN</x:v>
      </x:c>
      <x:c r="F151" s="825" t="str">
        <x:v>샘·보리치</x:v>
      </x:c>
      <x:c r="G151" s="825" t="str">
        <x:v>수송선</x:v>
      </x:c>
      <x:c r="H151" s="830" t="n">
        <x:v>0.5</x:v>
      </x:c>
      <x:c r="I151" s="830" t="n">
        <x:v>0</x:v>
      </x:c>
      <x:c r="J151" s="827" t="str">
        <x:v>필수</x:v>
      </x:c>
      <x:c r="K151" s="825" t="str">
        <x:v>Day19 시작</x:v>
      </x:c>
      <x:c r="L151" s="825" t="str">
        <x:v>폭풍 진행</x:v>
      </x:c>
      <x:c r="M151" s="825" t="str">
        <x:v>오늘 10:00 Freezer + 남은2 동시 Crisis가 폭풍의 시스템적 마지막 고비임을 전달</x:v>
      </x:c>
      <x:c r="N151" s="827" t="str">
        <x:v>공통</x:v>
      </x:c>
      <x:c r="O151" s="827" t="str">
        <x:v>Main</x:v>
      </x:c>
      <x:c r="P151" s="827" t="str">
        <x:v>TEMP</x:v>
      </x:c>
      <x:c r="Q151" s="825" t="str">
        <x:v>D19은 고정 Boss Day. 신규 Character Final은 열지 않고 09:00 Target 공개→10:00 Boss에 집중.</x:v>
      </x:c>
    </x:row>
    <x:row r="152" ht="24" hidden="0" customHeight="1">
      <x:c r="A152" s="825" t="str">
        <x:v>W3D18_07</x:v>
      </x:c>
      <x:c r="B152" s="827" t="n">
        <x:v>18</x:v>
      </x:c>
      <x:c r="C152" s="827" t="str">
        <x:v>W3</x:v>
      </x:c>
      <x:c r="D152" s="825" t="str">
        <x:v>페이 Final — 한 시간 공연</x:v>
      </x:c>
      <x:c r="E152" s="825" t="str">
        <x:v>CHARACTER</x:v>
      </x:c>
      <x:c r="F152" s="825" t="str">
        <x:v>페이·샘·생존자</x:v>
      </x:c>
      <x:c r="G152" s="825" t="str">
        <x:v>함교/방송</x:v>
      </x:c>
      <x:c r="H152" s="830" t="n">
        <x:v>1</x:v>
      </x:c>
      <x:c r="I152" s="830" t="n">
        <x:v>0</x:v>
      </x:c>
      <x:c r="J152" s="827" t="str">
        <x:v>조건부</x:v>
      </x:c>
      <x:c r="K152" s="825" t="str">
        <x:v>D18 / D19 Boss 전</x:v>
      </x:c>
      <x:c r="L152" s="825" t="str">
        <x:v>페이·샘 생존 + 함교&gt;=1 + 엔진&gt;=1 + FAYE_AUDIO_LINK_READY</x:v>
      </x:c>
      <x:c r="M152" s="825" t="str">
        <x:v>Will +3(Max5) / Full Route면 Jay 기술 XP+6 + Faye LEAVE / 공동체 재정비</x:v>
      </x:c>
      <x:c r="N152" s="827" t="str">
        <x:v>Character/True</x:v>
      </x:c>
      <x:c r="O152" s="827" t="str">
        <x:v>사람</x:v>
      </x:c>
      <x:c r="P152" s="827" t="str">
        <x:v>확정 서사 / 보상 TEMP</x:v>
      </x:c>
      <x:c r="Q152" s="825" t="str">
        <x:v>페이 공연 실제 원고 작성 완료. 대체 공연 없음.</x:v>
      </x:c>
    </x:row>
    <x:row r="153" ht="24" hidden="0" customHeight="1">
      <x:c r="A153" s="825" t="str">
        <x:v>W3D19_03</x:v>
      </x:c>
      <x:c r="B153" s="827" t="n">
        <x:v>19</x:v>
      </x:c>
      <x:c r="C153" s="827" t="str">
        <x:v>W3</x:v>
      </x:c>
      <x:c r="D153" s="825" t="str">
        <x:v>벤자민 Crisis Final — 살아 있는 사람을 고치는 시간</x:v>
      </x:c>
      <x:c r="E153" s="825" t="str">
        <x:v>CHARACTER/EMERGENCY</x:v>
      </x:c>
      <x:c r="F153" s="825" t="str">
        <x:v>벤자민·제이</x:v>
      </x:c>
      <x:c r="G153" s="825" t="str">
        <x:v>현재 안전구역/비상 보강 지점</x:v>
      </x:c>
      <x:c r="H153" s="830" t="n">
        <x:v>1</x:v>
      </x:c>
      <x:c r="I153" s="830" t="n">
        <x:v>0</x:v>
      </x:c>
      <x:c r="J153" s="827" t="str">
        <x:v>조건부</x:v>
      </x:c>
      <x:c r="K153" s="825" t="str">
        <x:v>D19 Boss Active 중 1회 / Boss 종료 전</x:v>
      </x:c>
      <x:c r="L153" s="825" t="str">
        <x:v>벤자민 생존 + W1 묘지/약혼자 + W2 Living Ship milestone + Benjamin Available</x:v>
      </x:c>
      <x:c r="M153" s="825" t="str">
        <x:v>Will +3(Max5). Full Route면 Jay 강인함 XP+6 즉시. Stance 결론은 D20 Epilogue에서 적용.</x:v>
      </x:c>
      <x:c r="N153" s="827" t="str">
        <x:v>Character/True</x:v>
      </x:c>
      <x:c r="O153" s="827" t="str">
        <x:v>사람/Emergency</x:v>
      </x:c>
      <x:c r="P153" s="827" t="str">
        <x:v>확정방향</x:v>
      </x:c>
      <x:c r="Q153" s="825" t="str">
        <x:v>D19 1h Benjamin Crisis Final 실제 원고 작성 완료.</x:v>
      </x:c>
    </x:row>
    <x:row r="154" ht="36" hidden="0" customHeight="1">
      <x:c r="A154" s="825" t="str">
        <x:v>W3D18_09</x:v>
      </x:c>
      <x:c r="B154" s="827" t="n">
        <x:v>18</x:v>
      </x:c>
      <x:c r="C154" s="827" t="str">
        <x:v>W3</x:v>
      </x:c>
      <x:c r="D154" s="825" t="str">
        <x:v>남은 Character Final 1회</x:v>
      </x:c>
      <x:c r="E154" s="825" t="str">
        <x:v>CHARACTER</x:v>
      </x:c>
      <x:c r="F154" s="825" t="str">
        <x:v>선택 인물</x:v>
      </x:c>
      <x:c r="G154" s="825" t="str">
        <x:v>수송선</x:v>
      </x:c>
      <x:c r="H154" s="830" t="n">
        <x:v>1.5</x:v>
      </x:c>
      <x:c r="I154" s="830" t="n">
        <x:v>0</x:v>
      </x:c>
      <x:c r="J154" s="827" t="str">
        <x:v>선택</x:v>
      </x:c>
      <x:c r="K154" s="825" t="str">
        <x:v>D18 / Boss 전</x:v>
      </x:c>
      <x:c r="L154" s="825" t="str">
        <x:v>해당 인물 생존</x:v>
      </x:c>
      <x:c r="M154" s="825" t="str">
        <x:v>해당 Final의 Will/Route Mastery/Stance 결과 적용</x:v>
      </x:c>
      <x:c r="N154" s="827" t="str">
        <x:v>Character</x:v>
      </x:c>
      <x:c r="O154" s="827" t="str">
        <x:v>사람</x:v>
      </x:c>
      <x:c r="P154" s="827" t="str">
        <x:v>TEMP</x:v>
      </x:c>
      <x:c r="Q154" s="825" t="str">
        <x:v>D18 Final 경쟁용 여유 슬롯. 이미 페이/벤자민/보리치/디야가 후보라 모두 수행하기 어렵게 유지.</x:v>
      </x:c>
    </x:row>
    <x:row r="155" ht="24" hidden="0" customHeight="1">
      <x:c r="A155" s="825" t="str">
        <x:v>W3D19_05</x:v>
      </x:c>
      <x:c r="B155" s="827" t="n">
        <x:v>19</x:v>
      </x:c>
      <x:c r="C155" s="827" t="str">
        <x:v>W3</x:v>
      </x:c>
      <x:c r="D155" s="825" t="str">
        <x:v>09:00 Boss Target 공개 / 마지막 NPC 배치</x:v>
      </x:c>
      <x:c r="E155" s="825" t="str">
        <x:v>SYSTEM</x:v>
      </x:c>
      <x:c r="F155" s="825" t="str">
        <x:v>제이·핵심6</x:v>
      </x:c>
      <x:c r="G155" s="825" t="str">
        <x:v>수송선 4구역</x:v>
      </x:c>
      <x:c r="H155" s="830" t="n">
        <x:v>0</x:v>
      </x:c>
      <x:c r="I155" s="830" t="n">
        <x:v>0</x:v>
      </x:c>
      <x:c r="J155" s="827" t="str">
        <x:v>필수</x:v>
      </x:c>
      <x:c r="K155" s="825" t="str">
        <x:v>09:00</x:v>
      </x:c>
      <x:c r="L155" s="825" t="str">
        <x:v>D19 Boss Target 확정</x:v>
      </x:c>
      <x:c r="M155" s="825" t="str">
        <x:v>Freezer + 남은2 공개 / NPC 이동 요청 / 10:00 도착 예약</x:v>
      </x:c>
      <x:c r="N155" s="827" t="str">
        <x:v>공통</x:v>
      </x:c>
      <x:c r="O155" s="827" t="str">
        <x:v>사람·Emergency</x:v>
      </x:c>
      <x:c r="P155" s="827" t="str">
        <x:v>TEMP</x:v>
      </x:c>
      <x:c r="Q155" s="825" t="str">
        <x:v>09:00 Target 공개 / NPC 배치 실제 원고 작성 완료.</x:v>
      </x:c>
    </x:row>
    <x:row r="156" ht="24" hidden="0" customHeight="1">
      <x:c r="A156" s="825" t="str">
        <x:v>W3D19_06</x:v>
      </x:c>
      <x:c r="B156" s="827" t="n">
        <x:v>19</x:v>
      </x:c>
      <x:c r="C156" s="827" t="str">
        <x:v>W3</x:v>
      </x:c>
      <x:c r="D156" s="825" t="str">
        <x:v>D19 Boss Wave — Freezer + 남은 2시설 동시 Emergency</x:v>
      </x:c>
      <x:c r="E156" s="825" t="str">
        <x:v>EMERGENCY</x:v>
      </x:c>
      <x:c r="F156" s="825" t="str">
        <x:v>수송선</x:v>
      </x:c>
      <x:c r="G156" s="825" t="str">
        <x:v>발생 구역</x:v>
      </x:c>
      <x:c r="H156" s="830" t="n">
        <x:v>0</x:v>
      </x:c>
      <x:c r="I156" s="830" t="n">
        <x:v>0</x:v>
      </x:c>
      <x:c r="J156" s="827" t="str">
        <x:v>필수</x:v>
      </x:c>
      <x:c r="K156" s="825" t="str">
        <x:v>10:00 동시 시작 / Freezer 16:00 Deadline</x:v>
      </x:c>
      <x:c r="L156" s="825" t="str">
        <x:v>Freezer 고정 + 아직 CrisisSeen=false인 2시설</x:v>
      </x:c>
      <x:c r="M156" s="825" t="str">
        <x:v>세 응급 Triage / Freezer 영구기능정지 방지 / D20까지 생존</x:v>
      </x:c>
      <x:c r="N156" s="827" t="str">
        <x:v>공통</x:v>
      </x:c>
      <x:c r="O156" s="827" t="str">
        <x:v>Emergency</x:v>
      </x:c>
      <x:c r="P156" s="827" t="str">
        <x:v>TEMP</x:v>
      </x:c>
      <x:c r="Q156" s="825" t="str">
        <x:v>10:00 Boss Window 실제 로그 원고 작성 완료.</x:v>
      </x:c>
    </x:row>
    <x:row r="157" ht="36" hidden="0" customHeight="1">
      <x:c r="A157" s="825" t="str">
        <x:v>W3D19_07</x:v>
      </x:c>
      <x:c r="B157" s="827" t="n">
        <x:v>19</x:v>
      </x:c>
      <x:c r="C157" s="827" t="str">
        <x:v>W3</x:v>
      </x:c>
      <x:c r="D157" s="825" t="str">
        <x:v>Global Hull 0 최종 Emergency</x:v>
      </x:c>
      <x:c r="E157" s="825" t="str">
        <x:v>EMERGENCY</x:v>
      </x:c>
      <x:c r="F157" s="825" t="str">
        <x:v>제이·벤자민·페이</x:v>
      </x:c>
      <x:c r="G157" s="825" t="str">
        <x:v>전 수송선</x:v>
      </x:c>
      <x:c r="H157" s="830" t="n">
        <x:v>0</x:v>
      </x:c>
      <x:c r="I157" s="830" t="n">
        <x:v>0</x:v>
      </x:c>
      <x:c r="J157" s="827" t="str">
        <x:v>조건부</x:v>
      </x:c>
      <x:c r="K157" s="825" t="str">
        <x:v>발생 후 4h</x:v>
      </x:c>
      <x:c r="L157" s="825" t="str">
        <x:v>Global Hull=0</x:v>
      </x:c>
      <x:c r="M157" s="825" t="str">
        <x:v>Forced Phase 진입 / 기존 Root Tick PAUSE / 기술8 2h→Hull4 / 기술10 또는 Will보완 1h→Hull4 / Will2 4h→Hull1 / 전문가 2h(2인1h)</x:v>
      </x:c>
      <x:c r="N157" s="827" t="str">
        <x:v>공통</x:v>
      </x:c>
      <x:c r="O157" s="827" t="str">
        <x:v>Emergency</x:v>
      </x:c>
      <x:c r="P157" s="827" t="str">
        <x:v>TEMP</x:v>
      </x:c>
      <x:c r="Q157" s="825" t="str">
        <x:v>Global Hull0 Forced Phase 원고 작성 완료.</x:v>
      </x:c>
    </x:row>
    <x:row r="158" ht="15" hidden="0" customHeight="1">
      <x:c r="A158" s="825" t="str">
        <x:v>W3D20_01</x:v>
      </x:c>
      <x:c r="B158" s="827" t="n">
        <x:v>20</x:v>
      </x:c>
      <x:c r="C158" s="827" t="str">
        <x:v>W3</x:v>
      </x:c>
      <x:c r="D158" s="825" t="str">
        <x:v>모래폭풍이 약해지고 있음을 관측</x:v>
      </x:c>
      <x:c r="E158" s="825" t="str">
        <x:v>MAIN</x:v>
      </x:c>
      <x:c r="F158" s="825" t="str">
        <x:v>보리치·샘</x:v>
      </x:c>
      <x:c r="G158" s="825" t="str">
        <x:v>수송선</x:v>
      </x:c>
      <x:c r="H158" s="830" t="n">
        <x:v>1</x:v>
      </x:c>
      <x:c r="I158" s="830" t="n">
        <x:v>0</x:v>
      </x:c>
      <x:c r="J158" s="827" t="str">
        <x:v>필수</x:v>
      </x:c>
      <x:c r="K158" s="825" t="str">
        <x:v>Day20 시작</x:v>
      </x:c>
      <x:c r="L158" s="825" t="str">
        <x:v>폭풍 진행</x:v>
      </x:c>
      <x:c r="M158" s="825" t="str">
        <x:v>Day21에 실제 최종 선택이 온다는 확신</x:v>
      </x:c>
      <x:c r="N158" s="827" t="str">
        <x:v>공통</x:v>
      </x:c>
      <x:c r="O158" s="827" t="str">
        <x:v>Main</x:v>
      </x:c>
      <x:c r="P158" s="827" t="str">
        <x:v>확정</x:v>
      </x:c>
      <x:c r="Q158" s="825" t="str">
        <x:v>생존 중심 시선이 미래 결정으로 이동.</x:v>
      </x:c>
    </x:row>
    <x:row r="159" ht="24" hidden="0" customHeight="1">
      <x:c r="A159" s="825" t="str">
        <x:v>W3D20_02</x:v>
      </x:c>
      <x:c r="B159" s="827" t="n">
        <x:v>20</x:v>
      </x:c>
      <x:c r="C159" s="827" t="str">
        <x:v>W3</x:v>
      </x:c>
      <x:c r="D159" s="825" t="str">
        <x:v>마지막 거주 가능성 재점검 기회</x:v>
      </x:c>
      <x:c r="E159" s="825" t="str">
        <x:v>CHARACTER</x:v>
      </x:c>
      <x:c r="F159" s="825" t="str">
        <x:v>보리치·제이</x:v>
      </x:c>
      <x:c r="G159" s="825" t="str">
        <x:v>연구 구역</x:v>
      </x:c>
      <x:c r="H159" s="830" t="n">
        <x:v>3</x:v>
      </x:c>
      <x:c r="I159" s="830" t="n">
        <x:v>0</x:v>
      </x:c>
      <x:c r="J159" s="827" t="str">
        <x:v>조건부</x:v>
      </x:c>
      <x:c r="K159" s="825" t="str">
        <x:v>Day20 종료 전</x:v>
      </x:c>
      <x:c r="L159" s="825" t="str">
        <x:v>재점검 요청 + 연구실 사용 가능 + 아직 미완료</x:v>
      </x:c>
      <x:c r="M159" s="825" t="str">
        <x:v>Sustainability 재판정</x:v>
      </x:c>
      <x:c r="N159" s="827" t="str">
        <x:v>Hidden/Normal</x:v>
      </x:c>
      <x:c r="O159" s="827" t="str">
        <x:v>행성</x:v>
      </x:c>
      <x:c r="P159" s="827" t="str">
        <x:v>TEMP</x:v>
      </x:c>
      <x:c r="Q159" s="825" t="str">
        <x:v>D18을 놓친 플레이어의 마지막 창. 보리치/연구실이 살아 있어야 함.</x:v>
      </x:c>
    </x:row>
    <x:row r="160" ht="24" hidden="0" customHeight="1">
      <x:c r="A160" s="825" t="str">
        <x:v>W3D20_03</x:v>
      </x:c>
      <x:c r="B160" s="827" t="n">
        <x:v>20</x:v>
      </x:c>
      <x:c r="C160" s="827" t="str">
        <x:v>W3</x:v>
      </x:c>
      <x:c r="D160" s="825" t="str">
        <x:v>샘 Epilogue — 살아남은 뒤의 선장</x:v>
      </x:c>
      <x:c r="E160" s="825" t="str">
        <x:v>CHARACTER</x:v>
      </x:c>
      <x:c r="F160" s="825" t="str">
        <x:v>샘</x:v>
      </x:c>
      <x:c r="G160" s="825" t="str">
        <x:v>수송선</x:v>
      </x:c>
      <x:c r="H160" s="830" t="n">
        <x:v>1.5</x:v>
      </x:c>
      <x:c r="I160" s="830" t="n">
        <x:v>0</x:v>
      </x:c>
      <x:c r="J160" s="827" t="str">
        <x:v>조건부</x:v>
      </x:c>
      <x:c r="K160" s="825" t="str">
        <x:v>Day20</x:v>
      </x:c>
      <x:c r="L160" s="825" t="str">
        <x:v>샘 생존 + Character 진행</x:v>
      </x:c>
      <x:c r="M160" s="825" t="str">
        <x:v>Final 완료 여부와 D19 결과를 반영한 짧은 후일담 / Stance 추가 변화 없음</x:v>
      </x:c>
      <x:c r="N160" s="827" t="str">
        <x:v>Character</x:v>
      </x:c>
      <x:c r="O160" s="827" t="str">
        <x:v>사람</x:v>
      </x:c>
      <x:c r="P160" s="827" t="str">
        <x:v>확정</x:v>
      </x:c>
      <x:c r="Q160" s="825" t="str">
        <x:v>샘 Epilogue 실제 원고 작성 완료.</x:v>
      </x:c>
    </x:row>
    <x:row r="161" ht="30" hidden="0" customHeight="1">
      <x:c r="A161" s="839" t="str">
        <x:v>W3D20_04</x:v>
      </x:c>
      <x:c r="B161" s="839" t="n">
        <x:v>20</x:v>
      </x:c>
      <x:c r="C161" s="839" t="str">
        <x:v>W3</x:v>
      </x:c>
      <x:c r="D161" s="839" t="str">
        <x:v>남은 Character Epilogue / 최종 정서 확인</x:v>
      </x:c>
      <x:c r="E161" s="839" t="str">
        <x:v>CHARACTER</x:v>
      </x:c>
      <x:c r="F161" s="839" t="str">
        <x:v>선택 인물</x:v>
      </x:c>
      <x:c r="G161" s="839" t="str">
        <x:v>수송선</x:v>
      </x:c>
      <x:c r="H161" s="840" t="n">
        <x:v>2</x:v>
      </x:c>
      <x:c r="I161" s="840" t="n">
        <x:v>0</x:v>
      </x:c>
      <x:c r="J161" s="839" t="str">
        <x:v>선택</x:v>
      </x:c>
      <x:c r="K161" s="839" t="str">
        <x:v>Day20</x:v>
      </x:c>
      <x:c r="L161" s="839" t="str">
        <x:v>해당 인물 생존</x:v>
      </x:c>
      <x:c r="M161" s="839" t="str">
        <x:v>미완료 Final의 Ending용 감정 정리. 원칙적으로 D19 전 Route Mastery 보상은 소급 지급하지 않음.</x:v>
      </x:c>
      <x:c r="N161" s="839" t="str">
        <x:v>Character</x:v>
      </x:c>
      <x:c r="O161" s="839" t="str">
        <x:v>사람</x:v>
      </x:c>
      <x:c r="P161" s="839" t="str">
        <x:v>TEMP</x:v>
      </x:c>
      <x:c r="Q161" s="839" t="str">
        <x:v>보리치는 True에서는 강한 LEAVE 유지, Hidden에서는 재분석 결과 수용.</x:v>
      </x:c>
    </x:row>
    <x:row r="162" ht="15" hidden="0" customHeight="1">
      <x:c r="A162" s="825" t="str">
        <x:v>W3D20_05</x:v>
      </x:c>
      <x:c r="B162" s="827" t="n">
        <x:v>20</x:v>
      </x:c>
      <x:c r="C162" s="827" t="str">
        <x:v>W3</x:v>
      </x:c>
      <x:c r="D162" s="825" t="str">
        <x:v>마지막 시설 수리 1회</x:v>
      </x:c>
      <x:c r="E162" s="825" t="str">
        <x:v>REPAIR</x:v>
      </x:c>
      <x:c r="F162" s="825" t="str">
        <x:v>제이/벤자민/페이</x:v>
      </x:c>
      <x:c r="G162" s="825" t="str">
        <x:v>수송선</x:v>
      </x:c>
      <x:c r="H162" s="830" t="n">
        <x:v>2</x:v>
      </x:c>
      <x:c r="I162" s="830" t="n">
        <x:v>0</x:v>
      </x:c>
      <x:c r="J162" s="827" t="str">
        <x:v>선택</x:v>
      </x:c>
      <x:c r="K162" s="825" t="str">
        <x:v>Day20 종료 전</x:v>
      </x:c>
      <x:c r="L162" s="825" t="str">
        <x:v>시설 접근 가능</x:v>
      </x:c>
      <x:c r="M162" s="825" t="str">
        <x:v>최종 ShipCondition 개선</x:v>
      </x:c>
      <x:c r="N162" s="827" t="str">
        <x:v>공통</x:v>
      </x:c>
      <x:c r="O162" s="827" t="str">
        <x:v>수송선</x:v>
      </x:c>
      <x:c r="P162" s="827" t="str">
        <x:v>TEMP</x:v>
      </x:c>
      <x:c r="Q162" s="825" t="str">
        <x:v>폭풍이 약해져도 아직 완전히 끝난 것은 아님.</x:v>
      </x:c>
    </x:row>
    <x:row r="163" ht="24" hidden="0" customHeight="1">
      <x:c r="A163" s="825" t="str">
        <x:v>W3D20_06</x:v>
      </x:c>
      <x:c r="B163" s="827" t="n">
        <x:v>20</x:v>
      </x:c>
      <x:c r="C163" s="827" t="str">
        <x:v>W3</x:v>
      </x:c>
      <x:c r="D163" s="825" t="str">
        <x:v>누적 Emergency / Critical Recovery 정리 버퍼</x:v>
      </x:c>
      <x:c r="E163" s="825" t="str">
        <x:v>EMERGENCY</x:v>
      </x:c>
      <x:c r="F163" s="825" t="str">
        <x:v>수송선</x:v>
      </x:c>
      <x:c r="G163" s="825" t="str">
        <x:v>발생 구역</x:v>
      </x:c>
      <x:c r="H163" s="830" t="n">
        <x:v>3</x:v>
      </x:c>
      <x:c r="I163" s="830" t="n">
        <x:v>0</x:v>
      </x:c>
      <x:c r="J163" s="827" t="str">
        <x:v>조건부</x:v>
      </x:c>
      <x:c r="K163" s="825" t="str">
        <x:v>Day20</x:v>
      </x:c>
      <x:c r="L163" s="825" t="str">
        <x:v>D20 신규 Root 없음</x:v>
      </x:c>
      <x:c r="M163" s="825" t="str">
        <x:v>기존 Recovery·시설손상·마지막 보강 처리</x:v>
      </x:c>
      <x:c r="N163" s="827" t="str">
        <x:v>공통</x:v>
      </x:c>
      <x:c r="O163" s="827" t="str">
        <x:v>Emergency</x:v>
      </x:c>
      <x:c r="P163" s="827" t="str">
        <x:v>TEMP</x:v>
      </x:c>
      <x:c r="Q163" s="825" t="str">
        <x:v>폭풍 약화. 신규 Breach/Oxygen 생성 없음. Freezer/Greenhouse Recovery나 기존 Derived만 계속.</x:v>
      </x:c>
    </x:row>
    <x:row r="164" ht="15" hidden="0" customHeight="1">
      <x:c r="A164" s="825" t="str">
        <x:v>W3D21_01</x:v>
      </x:c>
      <x:c r="B164" s="827" t="n">
        <x:v>21</x:v>
      </x:c>
      <x:c r="C164" s="827" t="str">
        <x:v>W3</x:v>
      </x:c>
      <x:c r="D164" s="825" t="str">
        <x:v>폭풍 종료 확인 / 외부 문 개방</x:v>
      </x:c>
      <x:c r="E164" s="825" t="str">
        <x:v>MAIN</x:v>
      </x:c>
      <x:c r="F164" s="825" t="str">
        <x:v>샘·보리치·공동체</x:v>
      </x:c>
      <x:c r="G164" s="825" t="str">
        <x:v>수송선/외부</x:v>
      </x:c>
      <x:c r="H164" s="830" t="n">
        <x:v>1</x:v>
      </x:c>
      <x:c r="I164" s="830" t="n">
        <x:v>0</x:v>
      </x:c>
      <x:c r="J164" s="827" t="str">
        <x:v>필수</x:v>
      </x:c>
      <x:c r="K164" s="825" t="str">
        <x:v>Day21 시작</x:v>
      </x:c>
      <x:c r="L164" s="825" t="str">
        <x:v>폭풍 종료</x:v>
      </x:c>
      <x:c r="M164" s="825" t="str">
        <x:v>생존 단계 종료 / 최종 선택 단계 진입</x:v>
      </x:c>
      <x:c r="N164" s="827" t="str">
        <x:v>공통</x:v>
      </x:c>
      <x:c r="O164" s="827" t="str">
        <x:v>Main</x:v>
      </x:c>
      <x:c r="P164" s="827" t="str">
        <x:v>확정</x:v>
      </x:c>
      <x:c r="Q164" s="825" t="str">
        <x:v>외부 문 재개방 실제 원고 작성 완료.</x:v>
      </x:c>
    </x:row>
    <x:row r="165" ht="36" hidden="0" customHeight="1">
      <x:c r="A165" s="825" t="str">
        <x:v>W3D21_02</x:v>
      </x:c>
      <x:c r="B165" s="827" t="n">
        <x:v>21</x:v>
      </x:c>
      <x:c r="C165" s="827" t="str">
        <x:v>W3</x:v>
      </x:c>
      <x:c r="D165" s="825" t="str">
        <x:v>수송선과 행성 최종 상태 현장 확인</x:v>
      </x:c>
      <x:c r="E165" s="825" t="str">
        <x:v>MAIN</x:v>
      </x:c>
      <x:c r="F165" s="825" t="str">
        <x:v>제이</x:v>
      </x:c>
      <x:c r="G165" s="825" t="str">
        <x:v>수송선/정착지</x:v>
      </x:c>
      <x:c r="H165" s="830" t="n">
        <x:v>2</x:v>
      </x:c>
      <x:c r="I165" s="830" t="n">
        <x:v>0</x:v>
      </x:c>
      <x:c r="J165" s="827" t="str">
        <x:v>필수</x:v>
      </x:c>
      <x:c r="K165" s="825" t="str">
        <x:v>Day21</x:v>
      </x:c>
      <x:c r="L165" s="825" t="str">
        <x:v>폭풍 종료</x:v>
      </x:c>
      <x:c r="M165" s="825" t="str">
        <x:v>Survival / Shelter / Ship / Sustainability / 사람 실행가능성 / Stance를 순서대로 읽어 Ending 판정</x:v>
      </x:c>
      <x:c r="N165" s="827" t="str">
        <x:v>공통</x:v>
      </x:c>
      <x:c r="O165" s="827" t="str">
        <x:v>Main</x:v>
      </x:c>
      <x:c r="P165" s="827" t="str">
        <x:v>확정</x:v>
      </x:c>
      <x:c r="Q165" s="825" t="str">
        <x:v>D21 최종 상태 잠금 실제 원고 작성 완료.</x:v>
      </x:c>
    </x:row>
    <x:row r="166" ht="24" hidden="0" customHeight="1">
      <x:c r="A166" s="825" t="str">
        <x:v>W3D21_03</x:v>
      </x:c>
      <x:c r="B166" s="827" t="n">
        <x:v>21</x:v>
      </x:c>
      <x:c r="C166" s="827" t="str">
        <x:v>W3</x:v>
      </x:c>
      <x:c r="D166" s="825" t="str">
        <x:v>살아남은 인물과 마지막 자유 대화</x:v>
      </x:c>
      <x:c r="E166" s="825" t="str">
        <x:v>CHARACTER</x:v>
      </x:c>
      <x:c r="F166" s="825" t="str">
        <x:v>생존자</x:v>
      </x:c>
      <x:c r="G166" s="825" t="str">
        <x:v>정착지/수송선</x:v>
      </x:c>
      <x:c r="H166" s="830" t="n">
        <x:v>2</x:v>
      </x:c>
      <x:c r="I166" s="830" t="n">
        <x:v>0</x:v>
      </x:c>
      <x:c r="J166" s="827" t="str">
        <x:v>선택</x:v>
      </x:c>
      <x:c r="K166" s="825" t="str">
        <x:v>최종 결정 전</x:v>
      </x:c>
      <x:c r="L166" s="825" t="str">
        <x:v>폭풍 종료</x:v>
      </x:c>
      <x:c r="M166" s="825" t="str">
        <x:v>각자의 최종 Stance/감정 확인</x:v>
      </x:c>
      <x:c r="N166" s="827" t="str">
        <x:v>Character</x:v>
      </x:c>
      <x:c r="O166" s="827" t="str">
        <x:v>사람</x:v>
      </x:c>
      <x:c r="P166" s="827" t="str">
        <x:v>TEMP</x:v>
      </x:c>
      <x:c r="Q166" s="825" t="str">
        <x:v>한 명 이상을 선택해 확인. 모든 인물의 최종 상태는 Ending Sequence에서도 반영.</x:v>
      </x:c>
    </x:row>
    <x:row r="167" ht="30" hidden="0" customHeight="1">
      <x:c r="A167" s="839" t="str">
        <x:v>W3D21_04</x:v>
      </x:c>
      <x:c r="B167" s="839" t="n">
        <x:v>21</x:v>
      </x:c>
      <x:c r="C167" s="839" t="str">
        <x:v>W3</x:v>
      </x:c>
      <x:c r="D167" s="839" t="str">
        <x:v>최종 미래 결정 및 Ending Sequence</x:v>
      </x:c>
      <x:c r="E167" s="839" t="str">
        <x:v>EVENT</x:v>
      </x:c>
      <x:c r="F167" s="839" t="str">
        <x:v>공동체</x:v>
      </x:c>
      <x:c r="G167" s="839" t="str">
        <x:v>최종 집결지</x:v>
      </x:c>
      <x:c r="H167" s="840" t="n">
        <x:v>0</x:v>
      </x:c>
      <x:c r="I167" s="840" t="n">
        <x:v>0</x:v>
      </x:c>
      <x:c r="J167" s="839" t="str">
        <x:v>필수</x:v>
      </x:c>
      <x:c r="K167" s="839" t="str">
        <x:v>Day21</x:v>
      </x:c>
      <x:c r="L167" s="839" t="str">
        <x:v>최종 상태 확정</x:v>
      </x:c>
      <x:c r="M167" s="839" t="str">
        <x:v>Survival / ShipCondition / Sustainability / Stance를 읽어 Ending 판정</x:v>
      </x:c>
      <x:c r="N167" s="839" t="str">
        <x:v>공통</x:v>
      </x:c>
      <x:c r="O167" s="839" t="str">
        <x:v>Ending</x:v>
      </x:c>
      <x:c r="P167" s="839" t="str">
        <x:v>확정</x:v>
      </x:c>
      <x:c r="Q167" s="839" t="str">
        <x:v>Ending은 직접 선택 버튼이 아니라 Evaluator 자동 판정. 세부 결과는 30_EndingNarrative.</x:v>
      </x:c>
    </x:row>
    <x:row r="169">
      <x:c r="A169" t="str">
        <x:v>W1_RUNTIME_D3</x:v>
      </x:c>
      <x:c r="B169" t="n">
        <x:v>3</x:v>
      </x:c>
      <x:c r="C169" t="str">
        <x:v>W1</x:v>
      </x:c>
      <x:c r="D169" t="str">
        <x:v>오아시스 조사 의뢰→관찰</x:v>
      </x:c>
      <x:c r="E169" t="str">
        <x:v>MAIN</x:v>
      </x:c>
      <x:c r="F169" t="str">
        <x:v>필수</x:v>
      </x:c>
      <x:c r="G169" t="str">
        <x:v>Day3 중심</x:v>
      </x:c>
      <x:c r="H169" t="str">
        <x:v>4h</x:v>
      </x:c>
      <x:c r="I169"/>
      <x:c r="J169"/>
      <x:c r="K169"/>
      <x:c r="L169"/>
      <x:c r="M169" t="str">
        <x:v>1h 의뢰 + 3h 관찰</x:v>
      </x:c>
      <x:c r="N169" t="str">
        <x:v>Main</x:v>
      </x:c>
      <x:c r="O169" t="str">
        <x:v>조사</x:v>
      </x:c>
      <x:c r="P169" t="str">
        <x:v>완료</x:v>
      </x:c>
      <x:c r="Q169" t="str">
        <x:v>Master v3.2</x:v>
      </x:c>
    </x:row>
    <x:row r="170">
      <x:c r="A170" t="str">
        <x:v>W1_RUNTIME_D4</x:v>
      </x:c>
      <x:c r="B170" t="n">
        <x:v>4</x:v>
      </x:c>
      <x:c r="C170" t="str">
        <x:v>W1</x:v>
      </x:c>
      <x:c r="D170" t="str">
        <x:v>관찰 결과로 가설 세우기</x:v>
      </x:c>
      <x:c r="E170" t="str">
        <x:v>MAIN</x:v>
      </x:c>
      <x:c r="F170" t="str">
        <x:v>필수</x:v>
      </x:c>
      <x:c r="G170" t="str">
        <x:v>Day4 중심</x:v>
      </x:c>
      <x:c r="H170" t="str">
        <x:v>3h</x:v>
      </x:c>
      <x:c r="I170"/>
      <x:c r="J170"/>
      <x:c r="K170"/>
      <x:c r="L170"/>
      <x:c r="M170" t="str">
        <x:v>강인함/기술/교감 경로</x:v>
      </x:c>
      <x:c r="N170" t="str">
        <x:v>Main</x:v>
      </x:c>
      <x:c r="O170" t="str">
        <x:v>조사</x:v>
      </x:c>
      <x:c r="P170" t="str">
        <x:v>완료</x:v>
      </x:c>
      <x:c r="Q170" t="str">
        <x:v>Master v3.2</x:v>
      </x:c>
    </x:row>
    <x:row r="171">
      <x:c r="A171" t="str">
        <x:v>W1_RUNTIME_D5</x:v>
      </x:c>
      <x:c r="B171" t="n">
        <x:v>5</x:v>
      </x:c>
      <x:c r="C171" t="str">
        <x:v>W1</x:v>
      </x:c>
      <x:c r="D171" t="str">
        <x:v>가설 검증</x:v>
      </x:c>
      <x:c r="E171" t="str">
        <x:v>MAIN</x:v>
      </x:c>
      <x:c r="F171" t="str">
        <x:v>필수</x:v>
      </x:c>
      <x:c r="G171" t="str">
        <x:v>Day5 중심</x:v>
      </x:c>
      <x:c r="H171" t="str">
        <x:v>2~3h</x:v>
      </x:c>
      <x:c r="I171"/>
      <x:c r="J171"/>
      <x:c r="K171"/>
      <x:c r="L171"/>
      <x:c r="M171" t="str">
        <x:v>기술4 빠른/기본 경로</x:v>
      </x:c>
      <x:c r="N171" t="str">
        <x:v>Main</x:v>
      </x:c>
      <x:c r="O171" t="str">
        <x:v>조사</x:v>
      </x:c>
      <x:c r="P171" t="str">
        <x:v>완료</x:v>
      </x:c>
      <x:c r="Q171" t="str">
        <x:v>Master v3.2</x:v>
      </x:c>
    </x:row>
    <x:row r="172">
      <x:c r="A172" t="str">
        <x:v>W1_RUNTIME_D6</x:v>
      </x:c>
      <x:c r="B172" t="n">
        <x:v>6</x:v>
      </x:c>
      <x:c r="C172" t="str">
        <x:v>W1</x:v>
      </x:c>
      <x:c r="D172" t="str">
        <x:v>샘과 조사 결론 보고</x:v>
      </x:c>
      <x:c r="E172" t="str">
        <x:v>MAIN</x:v>
      </x:c>
      <x:c r="F172" t="str">
        <x:v>필수</x:v>
      </x:c>
      <x:c r="G172" t="str">
        <x:v>Day6 중심</x:v>
      </x:c>
      <x:c r="H172" t="str">
        <x:v>3h</x:v>
      </x:c>
      <x:c r="I172"/>
      <x:c r="J172"/>
      <x:c r="K172"/>
      <x:c r="L172"/>
      <x:c r="M172" t="str">
        <x:v>현재 조건/방식 한계</x:v>
      </x:c>
      <x:c r="N172" t="str">
        <x:v>Main</x:v>
      </x:c>
      <x:c r="O172" t="str">
        <x:v>공개 준비</x:v>
      </x:c>
      <x:c r="P172" t="str">
        <x:v>완료</x:v>
      </x:c>
      <x:c r="Q172" t="str">
        <x:v>Master v3.2</x:v>
      </x:c>
    </x:row>
    <x:row r="173">
      <x:c r="A173" t="str">
        <x:v>W1_RUNTIME_FOCUS_A</x:v>
      </x:c>
      <x:c r="B173" t="n">
        <x:v>6</x:v>
      </x:c>
      <x:c r="C173" t="str">
        <x:v>W1</x:v>
      </x:c>
      <x:c r="D173" t="str">
        <x:v>Focus A</x:v>
      </x:c>
      <x:c r="E173" t="str">
        <x:v>CHARACTER</x:v>
      </x:c>
      <x:c r="F173" t="str">
        <x:v>선택</x:v>
      </x:c>
      <x:c r="G173" t="str">
        <x:v>Day6</x:v>
      </x:c>
      <x:c r="H173" t="str">
        <x:v>2h</x:v>
      </x:c>
      <x:c r="I173"/>
      <x:c r="J173"/>
      <x:c r="K173"/>
      <x:c r="L173"/>
      <x:c r="M173" t="str">
        <x:v>Jina/Faye/Borichi 중1</x:v>
      </x:c>
      <x:c r="N173" t="str">
        <x:v>Route</x:v>
      </x:c>
      <x:c r="O173" t="str">
        <x:v>Mastery</x:v>
      </x:c>
      <x:c r="P173" t="str">
        <x:v>완료</x:v>
      </x:c>
      <x:c r="Q173" t="str">
        <x:v>Master v3.2</x:v>
      </x:c>
    </x:row>
    <x:row r="174">
      <x:c r="A174" t="str">
        <x:v>W1_RUNTIME_D7</x:v>
      </x:c>
      <x:c r="B174" t="n">
        <x:v>7</x:v>
      </x:c>
      <x:c r="C174" t="str">
        <x:v>W1</x:v>
      </x:c>
      <x:c r="D174" t="str">
        <x:v>공동체 공개</x:v>
      </x:c>
      <x:c r="E174" t="str">
        <x:v>MAIN</x:v>
      </x:c>
      <x:c r="F174" t="str">
        <x:v>필수</x:v>
      </x:c>
      <x:c r="G174" t="str">
        <x:v>Day7</x:v>
      </x:c>
      <x:c r="H174" t="str">
        <x:v>3h</x:v>
      </x:c>
      <x:c r="I174"/>
      <x:c r="J174"/>
      <x:c r="K174"/>
      <x:c r="L174"/>
      <x:c r="M174" t="str">
        <x:v>전면/단계 공개</x:v>
      </x:c>
      <x:c r="N174" t="str">
        <x:v>Main</x:v>
      </x:c>
      <x:c r="O174" t="str">
        <x:v>공개</x:v>
      </x:c>
      <x:c r="P174" t="str">
        <x:v>완료</x:v>
      </x:c>
      <x:c r="Q174" t="str">
        <x:v>Master v3.2</x:v>
      </x:c>
    </x:row>
    <x:row r="175">
      <x:c r="A175" t="str">
        <x:v>W1_RUNTIME_FOCUS_B</x:v>
      </x:c>
      <x:c r="B175" t="n">
        <x:v>7</x:v>
      </x:c>
      <x:c r="C175" t="str">
        <x:v>W1</x:v>
      </x:c>
      <x:c r="D175" t="str">
        <x:v>Focus B</x:v>
      </x:c>
      <x:c r="E175" t="str">
        <x:v>CHARACTER</x:v>
      </x:c>
      <x:c r="F175" t="str">
        <x:v>선택</x:v>
      </x:c>
      <x:c r="G175" t="str">
        <x:v>공개 후</x:v>
      </x:c>
      <x:c r="H175" t="str">
        <x:v>2h</x:v>
      </x:c>
      <x:c r="I175"/>
      <x:c r="J175"/>
      <x:c r="K175"/>
      <x:c r="L175"/>
      <x:c r="M175" t="str">
        <x:v>Benjamin/Diya 중1</x:v>
      </x:c>
      <x:c r="N175" t="str">
        <x:v>Route</x:v>
      </x:c>
      <x:c r="O175" t="str">
        <x:v>Mastery</x:v>
      </x:c>
      <x:c r="P175" t="str">
        <x:v>완료</x:v>
      </x:c>
      <x:c r="Q175" t="str">
        <x:v>Master v3.2</x:v>
      </x:c>
    </x:row>
    <x:row r="176">
      <x:c r="A176" t="str">
        <x:v>W1_RUNTIME_RESEARCH</x:v>
      </x:c>
      <x:c r="B176" t="n">
        <x:v>3</x:v>
      </x:c>
      <x:c r="C176" t="str">
        <x:v>W1</x:v>
      </x:c>
      <x:c r="D176" t="str">
        <x:v>Research Restoration 1→3</x:v>
      </x:c>
      <x:c r="E176" t="str">
        <x:v>SIDE</x:v>
      </x:c>
      <x:c r="F176" t="str">
        <x:v>선택</x:v>
      </x:c>
      <x:c r="G176" t="str">
        <x:v>D3~5</x:v>
      </x:c>
      <x:c r="H176" t="str">
        <x:v>각2h</x:v>
      </x:c>
      <x:c r="I176"/>
      <x:c r="J176"/>
      <x:c r="K176"/>
      <x:c r="L176"/>
      <x:c r="M176" t="str">
        <x:v>Facility Service 전 State proxy</x:v>
      </x:c>
      <x:c r="N176" t="str">
        <x:v>Hidden 준비</x:v>
      </x:c>
      <x:c r="O176" t="str">
        <x:v>Research</x:v>
      </x:c>
      <x:c r="P176" t="str">
        <x:v>TEMP</x:v>
      </x:c>
      <x:c r="Q176" t="str">
        <x:v>Master v3.2</x:v>
      </x:c>
    </x:row>
  </x:sheetData>
  <x:mergeCells>
    <x:mergeCell ref="A1:Q1"/>
    <x:mergeCell ref="A2:Q2"/>
    <x:mergeCell ref="A12:I12"/>
    <x:mergeCell ref="A61:Q61"/>
    <x:mergeCell ref="S3:AA3"/>
    <x:mergeCell ref="S12:AA13"/>
    <x:mergeCell ref="A124:Q124"/>
    <x:mergeCell ref="AC3:AM3"/>
    <x:mergeCell ref="AC12:AM14"/>
  </x:mergeCells>
  <x:conditionalFormatting sqref="H5:H11">
    <x:cfRule type="colorScale" priority="1">
      <x:colorScale>
        <x:cfvo type="min"/>
        <x:cfvo type="percentile" val="50"/>
        <x:cfvo type="max"/>
        <x:color rgb="FFE2F0D9"/>
        <x:color rgb="FFFFF2CC"/>
        <x:color rgb="FFF4CCCC"/>
      </x:colorScale>
    </x:cfRule>
  </x:conditionalFormatting>
  <x:conditionalFormatting sqref="J15:J58">
    <x:cfRule type="expression" dxfId="0" priority="2">
      <x:formula>J15="필수"</x:formula>
    </x:cfRule>
    <x:cfRule type="expression" dxfId="1" priority="3">
      <x:formula>J15="기한내필수"</x:formula>
    </x:cfRule>
    <x:cfRule type="expression" dxfId="2" priority="4">
      <x:formula>J15="조건부"</x:formula>
    </x:cfRule>
    <x:cfRule type="expression" dxfId="3" priority="5">
      <x:formula>J15="선택"</x:formula>
    </x:cfRule>
  </x:conditionalFormatting>
  <x:conditionalFormatting sqref="P15:P58">
    <x:cfRule type="expression" dxfId="4" priority="6">
      <x:formula>P15="확정"</x:formula>
    </x:cfRule>
    <x:cfRule type="expression" dxfId="5" priority="7">
      <x:formula>P15="TEMP"</x:formula>
    </x:cfRule>
    <x:cfRule type="expression" dxfId="6" priority="8">
      <x:formula>P15="TBD"</x:formula>
    </x:cfRule>
  </x:conditionalFormatting>
  <x:conditionalFormatting sqref="J63:J121">
    <x:cfRule type="expression" dxfId="7" priority="9">
      <x:formula>J63="필수"</x:formula>
    </x:cfRule>
    <x:cfRule type="expression" dxfId="8" priority="10">
      <x:formula>J63="기한내필수"</x:formula>
    </x:cfRule>
    <x:cfRule type="expression" dxfId="9" priority="11">
      <x:formula>J63="조건부"</x:formula>
    </x:cfRule>
    <x:cfRule type="expression" dxfId="10" priority="12">
      <x:formula>J63="선택"</x:formula>
    </x:cfRule>
  </x:conditionalFormatting>
  <x:conditionalFormatting sqref="P63:P121">
    <x:cfRule type="expression" dxfId="11" priority="13">
      <x:formula>P63="확정"</x:formula>
    </x:cfRule>
    <x:cfRule type="expression" dxfId="12" priority="14">
      <x:formula>P63="TEMP"</x:formula>
    </x:cfRule>
    <x:cfRule type="expression" dxfId="13" priority="15">
      <x:formula>P63="TBD"</x:formula>
    </x:cfRule>
  </x:conditionalFormatting>
  <x:conditionalFormatting sqref="Z5:Z11">
    <x:cfRule type="colorScale" priority="16">
      <x:colorScale>
        <x:cfvo type="min"/>
        <x:cfvo type="percentile" val="50"/>
        <x:cfvo type="max"/>
        <x:color rgb="FFE2F0D9"/>
        <x:color rgb="FFFFF2CC"/>
        <x:color rgb="FFF4CCCC"/>
      </x:colorScale>
    </x:cfRule>
  </x:conditionalFormatting>
  <x:conditionalFormatting sqref="J126:J167">
    <x:cfRule type="expression" dxfId="14" priority="17">
      <x:formula>J126="필수"</x:formula>
    </x:cfRule>
    <x:cfRule type="expression" dxfId="15" priority="18">
      <x:formula>J126="기한내필수"</x:formula>
    </x:cfRule>
    <x:cfRule type="expression" dxfId="16" priority="19">
      <x:formula>J126="조건부"</x:formula>
    </x:cfRule>
    <x:cfRule type="expression" dxfId="17" priority="20">
      <x:formula>J126="선택"</x:formula>
    </x:cfRule>
  </x:conditionalFormatting>
  <x:conditionalFormatting sqref="P126:P167">
    <x:cfRule type="expression" dxfId="18" priority="21">
      <x:formula>P126="확정"</x:formula>
    </x:cfRule>
    <x:cfRule type="expression" dxfId="19" priority="22">
      <x:formula>P126="TEMP"</x:formula>
    </x:cfRule>
    <x:cfRule type="expression" dxfId="20" priority="23">
      <x:formula>P126="TBD"</x:formula>
    </x:cfRule>
    <x:cfRule type="expression" dxfId="64" priority="25">
      <x:formula>OR(P126="완료",P126="확정",P126="확정방향",P126="방향 확정",LEFT(P126,2)="확정")</x:formula>
    </x:cfRule>
    <x:cfRule type="expression" dxfId="65" priority="26">
      <x:formula>OR(P126="TBD",P126="대기",ISNUMBER(SEARCH("TEMP",P126)))</x:formula>
    </x:cfRule>
    <x:cfRule type="expression" dxfId="66" priority="27">
      <x:formula>OR(P126="폐기",P126="HISTORICAL",ISNUMBER(SEARCH("폐기",P126)))</x:formula>
    </x:cfRule>
    <x:cfRule type="expression" dxfId="67" priority="28">
      <x:formula>OR(P126="NEXT",P126="진행")</x:formula>
    </x:cfRule>
  </x:conditionalFormatting>
  <x:conditionalFormatting sqref="AK5:AK11">
    <x:cfRule type="colorScale" priority="24">
      <x:colorScale>
        <x:cfvo type="min"/>
        <x:cfvo type="percentile" val="50"/>
        <x:cfvo type="max"/>
        <x:color rgb="FFF4CCCC"/>
        <x:color rgb="FFFFF2CC"/>
        <x:color rgb="FFD9EAD3"/>
      </x:colorScale>
    </x:cfRule>
  </x:conditionalFormatting>
  <x:conditionalFormatting sqref="P15:P167">
    <x:cfRule type="expression" dxfId="68" priority="29">
      <x:formula>OR(P15="완료",P15="확정",P15="확정방향",P15="방향 확정",LEFT(P15,2)="확정")</x:formula>
    </x:cfRule>
    <x:cfRule type="expression" dxfId="69" priority="30">
      <x:formula>OR(P15="TBD",P15="대기",ISNUMBER(SEARCH("TEMP",P15)))</x:formula>
    </x:cfRule>
    <x:cfRule type="expression" dxfId="70" priority="31">
      <x:formula>OR(P15="폐기",P15="HISTORICAL",ISNUMBER(SEARCH("폐기",P15)))</x:formula>
    </x:cfRule>
    <x:cfRule type="expression" dxfId="71" priority="32">
      <x:formula>OR(P15="NEXT",P15="진행")</x:formula>
    </x:cfRule>
  </x:conditionalFormatting>
  <x:conditionalFormatting sqref="P63:P167">
    <x:cfRule type="expression" dxfId="72" priority="33">
      <x:formula>OR(P63="완료",P63="확정",P63="확정방향",P63="방향 확정",LEFT(P63,2)="확정")</x:formula>
    </x:cfRule>
    <x:cfRule type="expression" dxfId="73" priority="34">
      <x:formula>OR(P63="TBD",P63="대기",ISNUMBER(SEARCH("TEMP",P63)))</x:formula>
    </x:cfRule>
    <x:cfRule type="expression" dxfId="74" priority="35">
      <x:formula>OR(P63="폐기",P63="HISTORICAL",ISNUMBER(SEARCH("폐기",P63)))</x:formula>
    </x:cfRule>
    <x:cfRule type="expression" dxfId="75" priority="36">
      <x:formula>OR(P63="NEXT",P63="진행")</x:formula>
    </x:cfRule>
  </x:conditionalFormatting>
  <x:dataValidations count="6">
    <x:dataValidation type="list" sqref="J15:J58">
      <x:formula1>"필수,기한내필수,조건부,선택"</x:formula1>
    </x:dataValidation>
    <x:dataValidation type="list" sqref="P15:P58">
      <x:formula1>"확정,TEMP,TBD"</x:formula1>
    </x:dataValidation>
    <x:dataValidation type="list" sqref="J63:J121">
      <x:formula1>"필수,기한내필수,조건부,선택"</x:formula1>
    </x:dataValidation>
    <x:dataValidation type="list" sqref="P63:P121">
      <x:formula1>"확정,TEMP,TBD"</x:formula1>
    </x:dataValidation>
    <x:dataValidation type="list" sqref="J126:J167">
      <x:formula1>"필수,기한내필수,조건부,선택"</x:formula1>
    </x:dataValidation>
    <x:dataValidation type="list" sqref="P126:P167">
      <x:formula1>"확정,TEMP,TBD"</x:formula1>
    </x:dataValidation>
  </x:dataValidations>
  <x:pageMargins left="0.7" right="0.7" top="0.75" bottom="0.75" header="0.3" footer="0.3"/>
  <x:drawing xmlns:r="http://schemas.openxmlformats.org/officeDocument/2006/relationships" r:id="Ra1be89ed1e2042aa"/>
  <x:tableParts count="1">
    <x:tablePart xmlns:r="http://schemas.openxmlformats.org/officeDocument/2006/relationships" r:id="R89665740881740b0"/>
  </x:tableParts>
</x:worksheet>
</file>

<file path=xl/worksheets/sheet7.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8" max="18" width="14" hidden="0" customWidth="1"/>
    <x:col min="19" max="19" width="14" hidden="0" customWidth="1"/>
    <x:col min="20" max="20" width="26" hidden="0" customWidth="1"/>
    <x:col min="21" max="21" width="26" hidden="0" customWidth="1"/>
    <x:col min="22" max="22" width="14" hidden="0" customWidth="1"/>
    <x:col min="23" max="23" width="14" hidden="0" customWidth="1"/>
    <x:col min="24" max="24" width="14" hidden="0" customWidth="1"/>
    <x:col min="25" max="25" width="14" hidden="0" customWidth="1"/>
    <x:col min="26" max="26" width="32" hidden="0" customWidth="1"/>
    <x:col min="17" max="17" width="14" hidden="0" customWidth="1"/>
  </x:cols>
  <x:sheetData>
    <x:row r="1" ht="30" hidden="0" customHeight="1">
      <x:c r="A1" s="843" t="str">
        <x:v>Route Simulation v0.2 — 과거 Proxy / 최신 W2는 19_W2ReverseDesign 우선</x:v>
      </x:c>
      <x:c r="B1" s="843"/>
      <x:c r="C1" s="843"/>
      <x:c r="D1" s="843"/>
      <x:c r="E1" s="843"/>
      <x:c r="F1" s="843"/>
      <x:c r="G1" s="843"/>
      <x:c r="H1" s="843"/>
      <x:c r="I1" s="843"/>
      <x:c r="J1" s="843"/>
      <x:c r="K1" s="843"/>
      <x:c r="L1" s="843"/>
      <x:c r="M1" s="843"/>
      <x:c r="N1" s="843"/>
      <x:c r="O1" s="843"/>
      <x:c r="P1" s="843"/>
      <x:c r="Q1" s="843"/>
      <x:c r="R1" s="843"/>
      <x:c r="S1" s="843"/>
      <x:c r="T1" s="843"/>
      <x:c r="U1" s="843"/>
      <x:c r="V1" s="843"/>
      <x:c r="W1" s="843"/>
      <x:c r="X1" s="843"/>
      <x:c r="Y1" s="843"/>
      <x:c r="Z1" s="843"/>
    </x:row>
    <x:row r="2" ht="42" hidden="0" customHeight="1">
      <x:c r="A2" s="846" t="str">
        <x:v>목적: 06_ActionBudget의 행동 후보를 실제 플레이처럼 골라서 21일 동안 시간·Will·수리·보존·캐릭터 선행조건이 물리적으로 성립하는지 검증한다. 확정되지 않은 XP/Affinity/ShipCondition/Sustainability 임계치는 'Simulation Proxy'로만 사용하며 최종 규칙으로 간주하지 않는다.</x:v>
      </x:c>
      <x:c r="B2" s="846"/>
      <x:c r="C2" s="846"/>
      <x:c r="D2" s="846"/>
      <x:c r="E2" s="846"/>
      <x:c r="F2" s="846"/>
      <x:c r="G2" s="846"/>
      <x:c r="H2" s="846"/>
      <x:c r="I2" s="846"/>
      <x:c r="J2" s="846"/>
      <x:c r="K2" s="846"/>
      <x:c r="L2" s="846"/>
      <x:c r="M2" s="846"/>
      <x:c r="N2" s="846"/>
      <x:c r="O2" s="846"/>
      <x:c r="P2" s="846"/>
      <x:c r="Q2" s="846"/>
      <x:c r="R2" s="846"/>
      <x:c r="S2" s="846"/>
      <x:c r="T2" s="846"/>
      <x:c r="U2" s="846"/>
      <x:c r="V2" s="846"/>
      <x:c r="W2" s="846"/>
      <x:c r="X2" s="846"/>
      <x:c r="Y2" s="846"/>
      <x:c r="Z2" s="846"/>
    </x:row>
    <x:row r="3" ht="15" hidden="0" customHeight="1">
      <x:c r="A3" s="825"/>
      <x:c r="B3" s="825"/>
      <x:c r="C3" s="825"/>
      <x:c r="D3" s="825"/>
      <x:c r="E3" s="825"/>
      <x:c r="F3" s="825"/>
      <x:c r="G3" s="825"/>
      <x:c r="H3" s="825"/>
      <x:c r="I3" s="825"/>
      <x:c r="J3" s="825"/>
      <x:c r="K3" s="825"/>
      <x:c r="L3" s="825"/>
      <x:c r="M3" s="825"/>
      <x:c r="N3" s="825"/>
      <x:c r="O3" s="825"/>
      <x:c r="P3" s="825"/>
      <x:c r="Q3" s="825"/>
      <x:c r="R3" s="825"/>
      <x:c r="S3" s="825"/>
      <x:c r="T3" s="825"/>
      <x:c r="U3" s="825"/>
      <x:c r="V3" s="825"/>
      <x:c r="W3" s="825"/>
      <x:c r="X3" s="825"/>
      <x:c r="Y3" s="825"/>
      <x:c r="Z3" s="825"/>
    </x:row>
    <x:row r="4" ht="15" hidden="0" customHeight="1">
      <x:c r="A4" s="837" t="str">
        <x:v>Simulation Proxy / 검증 기준 — TEMP</x:v>
      </x:c>
      <x:c r="B4" s="837"/>
      <x:c r="C4" s="837"/>
      <x:c r="D4" s="837"/>
      <x:c r="E4" s="837"/>
      <x:c r="F4" s="837"/>
      <x:c r="G4" s="837"/>
      <x:c r="H4" s="837"/>
      <x:c r="I4" s="837"/>
      <x:c r="J4" s="837"/>
      <x:c r="K4" s="837"/>
      <x:c r="L4" s="837"/>
      <x:c r="M4" s="837"/>
      <x:c r="N4" s="837"/>
      <x:c r="O4" s="837"/>
      <x:c r="P4" s="837"/>
      <x:c r="Q4" s="837"/>
      <x:c r="R4" s="837" t="str">
        <x:v>Route Simulation 결과 요약</x:v>
      </x:c>
      <x:c r="S4" s="837"/>
      <x:c r="T4" s="837"/>
      <x:c r="U4" s="837"/>
      <x:c r="V4" s="837"/>
      <x:c r="W4" s="837"/>
      <x:c r="X4" s="837"/>
      <x:c r="Y4" s="837"/>
      <x:c r="Z4" s="837"/>
    </x:row>
    <x:row r="5" ht="30" hidden="0" customHeight="1">
      <x:c r="A5" s="849" t="str">
        <x:v>항목</x:v>
      </x:c>
      <x:c r="B5" s="849" t="str">
        <x:v>시뮬레이션 기준</x:v>
      </x:c>
      <x:c r="C5" s="849" t="str">
        <x:v>상태</x:v>
      </x:c>
      <x:c r="D5" s="849" t="str">
        <x:v>왜 필요한가</x:v>
      </x:c>
      <x:c r="E5" s="849"/>
      <x:c r="F5" s="849"/>
      <x:c r="G5" s="849"/>
      <x:c r="H5" s="849"/>
      <x:c r="I5" s="849"/>
      <x:c r="J5" s="849"/>
      <x:c r="K5" s="849"/>
      <x:c r="L5" s="849"/>
      <x:c r="M5" s="849"/>
      <x:c r="N5" s="849"/>
      <x:c r="O5" s="849"/>
      <x:c r="P5" s="849"/>
      <x:c r="Q5" s="849"/>
      <x:c r="R5" s="849" t="str">
        <x:v>Route</x:v>
      </x:c>
      <x:c r="S5" s="849" t="str">
        <x:v>총 사용시간</x:v>
      </x:c>
      <x:c r="T5" s="849" t="str">
        <x:v>총 자유시간</x:v>
      </x:c>
      <x:c r="U5" s="849" t="str">
        <x:v>Will 사용</x:v>
      </x:c>
      <x:c r="V5" s="849" t="str">
        <x:v>성장 슬롯</x:v>
      </x:c>
      <x:c r="W5" s="849" t="str">
        <x:v>수리 횟수</x:v>
      </x:c>
      <x:c r="X5" s="849" t="str">
        <x:v>Oasis</x:v>
      </x:c>
      <x:c r="Y5" s="849" t="str">
        <x:v>Settlement</x:v>
      </x:c>
      <x:c r="Z5" s="849" t="str">
        <x:v>판정</x:v>
      </x:c>
    </x:row>
    <x:row r="6" ht="32.400001525878906" hidden="0" customHeight="1">
      <x:c r="A6" s="825" t="str">
        <x:v>직접 행동시간</x:v>
      </x:c>
      <x:c r="B6" s="825" t="str">
        <x:v>매일 08:00~22:00 = 14h</x:v>
      </x:c>
      <x:c r="C6" s="825" t="str">
        <x:v>확정</x:v>
      </x:c>
      <x:c r="D6" s="825" t="str">
        <x:v>하루 행동 가능성 검증</x:v>
      </x:c>
      <x:c r="E6" s="825"/>
      <x:c r="F6" s="825"/>
      <x:c r="G6" s="825"/>
      <x:c r="H6" s="825"/>
      <x:c r="I6" s="825"/>
      <x:c r="J6" s="825"/>
      <x:c r="K6" s="825"/>
      <x:c r="L6" s="825"/>
      <x:c r="M6" s="825"/>
      <x:c r="N6" s="825"/>
      <x:c r="O6" s="825"/>
      <x:c r="P6" s="825"/>
      <x:c r="Q6" s="825"/>
      <x:c r="R6" s="825" t="str">
        <x:v>Normal 1 후보</x:v>
      </x:c>
      <x:c r="S6" s="828" t="n">
        <x:f>E41</x:f>
        <x:v>178</x:v>
      </x:c>
      <x:c r="T6" s="828" t="n">
        <x:f>F41</x:f>
        <x:v>116</x:v>
      </x:c>
      <x:c r="U6" s="828" t="n">
        <x:f>H41</x:f>
        <x:v>3</x:v>
      </x:c>
      <x:c r="V6" s="828" t="n">
        <x:f>J41</x:f>
        <x:v>6</x:v>
      </x:c>
      <x:c r="W6" s="828" t="n">
        <x:f>K41</x:f>
        <x:v>18</x:v>
      </x:c>
      <x:c r="X6" s="828" t="n">
        <x:f>M41</x:f>
        <x:v>0</x:v>
      </x:c>
      <x:c r="Y6" s="828" t="n">
        <x:f>N41</x:f>
        <x:v>0</x:v>
      </x:c>
      <x:c r="Z6" s="825" t="str">
        <x:f>P41</x:f>
        <x:v>시간 PASS / Will PASS(+1 수면 기준 재검증) / Sustainability LOW 의도. ShipCondition 산식 미정이라 Normal1 최종 판정은 PENDING.</x:v>
      </x:c>
    </x:row>
    <x:row r="7" ht="30" hidden="0" customHeight="1">
      <x:c r="A7" s="849" t="str">
        <x:v>Will</x:v>
      </x:c>
      <x:c r="B7" s="849" t="str">
        <x:v>Day1 시작 5, Overnight마다 +1(최대5). 명시되지 않은 Event 회복은 계산에서 제외</x:v>
      </x:c>
      <x:c r="C7" s="849" t="str">
        <x:v>보수적 Proxy</x:v>
      </x:c>
      <x:c r="D7" s="849" t="str">
        <x:v>Will 과소평가 방식으로 소진 여부만 확인</x:v>
      </x:c>
      <x:c r="E7" s="849"/>
      <x:c r="F7" s="849"/>
      <x:c r="G7" s="849"/>
      <x:c r="H7" s="849"/>
      <x:c r="I7" s="849"/>
      <x:c r="J7" s="849"/>
      <x:c r="K7" s="849"/>
      <x:c r="L7" s="849"/>
      <x:c r="M7" s="849"/>
      <x:c r="N7" s="849"/>
      <x:c r="O7" s="849"/>
      <x:c r="P7" s="849"/>
      <x:c r="Q7" s="849"/>
      <x:c r="R7" s="849" t="str">
        <x:v>True 목표</x:v>
      </x:c>
      <x:c r="S7" s="865" t="n">
        <x:f>E67</x:f>
        <x:v>222</x:v>
      </x:c>
      <x:c r="T7" s="865" t="n">
        <x:f>F67</x:f>
        <x:v>72</x:v>
      </x:c>
      <x:c r="U7" s="865" t="n">
        <x:f>H67</x:f>
        <x:v>5</x:v>
      </x:c>
      <x:c r="V7" s="865" t="n">
        <x:f>J67</x:f>
        <x:v>5</x:v>
      </x:c>
      <x:c r="W7" s="865" t="n">
        <x:f>K67</x:f>
        <x:v>25</x:v>
      </x:c>
      <x:c r="X7" s="865" t="n">
        <x:f>M67</x:f>
        <x:v>0</x:v>
      </x:c>
      <x:c r="Y7" s="865" t="n">
        <x:f>N67</x:f>
        <x:v>2</x:v>
      </x:c>
      <x:c r="Z7" s="849" t="str">
        <x:f>P67</x:f>
        <x:v>시간 PASS / Will PASS(+1 수면 기준 재검증) / True 핵심 서사 Flag 확보. 전원 생존·ShipCondition·Affinity/Stat 수치식은 최종 PENDING.</x:v>
      </x:c>
    </x:row>
    <x:row r="8" ht="75.5999984741211" hidden="0" customHeight="1">
      <x:c r="A8" s="825" t="str">
        <x:v>일반 수리</x:v>
      </x:c>
      <x:c r="B8" s="825" t="str">
        <x:v>기존 2h=+1 단일 Proxy는 폐기 방향. 현재 기준: 5-Max +1 / Hull +4, 상세 분배는 13_FacilityTransition에서 계산.</x:v>
      </x:c>
      <x:c r="C8" s="825" t="str">
        <x:v>TEMP</x:v>
      </x:c>
      <x:c r="D8" s="825" t="str">
        <x:v>현재 ActionBudget의 대표 수리 효율</x:v>
      </x:c>
      <x:c r="E8" s="825"/>
      <x:c r="F8" s="825"/>
      <x:c r="G8" s="825"/>
      <x:c r="H8" s="825"/>
      <x:c r="I8" s="825"/>
      <x:c r="J8" s="825"/>
      <x:c r="K8" s="825"/>
      <x:c r="L8" s="825"/>
      <x:c r="M8" s="825"/>
      <x:c r="N8" s="825"/>
      <x:c r="O8" s="825"/>
      <x:c r="P8" s="825"/>
      <x:c r="Q8" s="825"/>
      <x:c r="R8" s="825" t="str">
        <x:v>Hidden 목표</x:v>
      </x:c>
      <x:c r="S8" s="828" t="n">
        <x:f>E93</x:f>
        <x:v>194.5</x:v>
      </x:c>
      <x:c r="T8" s="828" t="n">
        <x:f>F93</x:f>
        <x:v>99.5</x:v>
      </x:c>
      <x:c r="U8" s="828" t="n">
        <x:f>H93</x:f>
        <x:v>3</x:v>
      </x:c>
      <x:c r="V8" s="828" t="n">
        <x:f>J93</x:f>
        <x:v>4</x:v>
      </x:c>
      <x:c r="W8" s="828" t="n">
        <x:f>K93</x:f>
        <x:v>16</x:v>
      </x:c>
      <x:c r="X8" s="828" t="n">
        <x:f>M93</x:f>
        <x:v>3</x:v>
      </x:c>
      <x:c r="Y8" s="828" t="n">
        <x:f>N93</x:f>
        <x:v>3</x:v>
      </x:c>
      <x:c r="Z8" s="825" t="str">
        <x:f>P93</x:f>
        <x:v>시간 PASS / Will PASS(+1 수면 기준 재검증) / 오아시스3+거주지3+연구실5+재점검 Proxy 달성. Hidden 추가 조건·ShipCondition은 PENDING.</x:v>
      </x:c>
    </x:row>
    <x:row r="9" ht="64.80000305175781" hidden="0" customHeight="1">
      <x:c r="A9" s="825" t="str">
        <x:v>벤자민 W2 전환</x:v>
      </x:c>
      <x:c r="B9" s="825" t="str">
        <x:v>폐기: 총 Integrity 약40 Proxy. Benjamin 전환은 Hull&gt;=10 + 핵심5시설 중 3개&gt;=3 semantic milestone TEMP.</x:v>
      </x:c>
      <x:c r="C9" s="825" t="str">
        <x:v>폐기/대체</x:v>
      </x:c>
      <x:c r="D9" s="825" t="str">
        <x:v>수리 총량이 아니라 실제 기능 회복을 읽기 위함</x:v>
      </x:c>
      <x:c r="E9" s="825"/>
      <x:c r="F9" s="825"/>
      <x:c r="G9" s="825"/>
      <x:c r="H9" s="825"/>
      <x:c r="I9" s="825"/>
      <x:c r="J9" s="825"/>
      <x:c r="K9" s="825"/>
      <x:c r="L9" s="825"/>
      <x:c r="M9" s="825"/>
      <x:c r="N9" s="825"/>
      <x:c r="O9" s="825"/>
      <x:c r="P9" s="825"/>
      <x:c r="Q9" s="825"/>
      <x:c r="R9" s="825"/>
      <x:c r="S9" s="825"/>
      <x:c r="T9" s="825"/>
      <x:c r="U9" s="825"/>
      <x:c r="V9" s="825"/>
      <x:c r="W9" s="825"/>
      <x:c r="X9" s="825"/>
      <x:c r="Y9" s="825"/>
      <x:c r="Z9" s="825"/>
    </x:row>
    <x:row r="10" ht="86.4000015258789" hidden="0" customHeight="1">
      <x:c r="A10" s="825" t="str">
        <x:v>XP/Stat</x:v>
      </x:c>
      <x:c r="B10" s="825" t="str">
        <x:v>강인함/교감/기술 시작 총합 6, 각 최소 0, 시작 최대 4. 성장 후 개별 상한 없음. 6XP=Lv+1을 유지하는 TEMP 모델로 성장 구간을 검증.</x:v>
      </x:c>
      <x:c r="C10" s="825" t="str">
        <x:v>미정</x:v>
      </x:c>
      <x:c r="D10" s="825" t="str">
        <x:v>행동별 XP 지급량과 주요 체크 요구치가 아직 없음</x:v>
      </x:c>
      <x:c r="E10" s="825"/>
      <x:c r="F10" s="825"/>
      <x:c r="G10" s="825"/>
      <x:c r="H10" s="825"/>
      <x:c r="I10" s="825"/>
      <x:c r="J10" s="825"/>
      <x:c r="K10" s="825"/>
      <x:c r="L10" s="825"/>
      <x:c r="M10" s="825"/>
      <x:c r="N10" s="825"/>
      <x:c r="O10" s="825"/>
      <x:c r="P10" s="825"/>
      <x:c r="Q10" s="825"/>
      <x:c r="R10" s="837" t="str">
        <x:v>현재 시뮬레이션이 드러낸 설계 포인트</x:v>
      </x:c>
      <x:c r="S10" s="837"/>
      <x:c r="T10" s="837"/>
      <x:c r="U10" s="837"/>
      <x:c r="V10" s="837"/>
      <x:c r="W10" s="837"/>
      <x:c r="X10" s="837"/>
      <x:c r="Y10" s="837"/>
      <x:c r="Z10" s="837"/>
    </x:row>
    <x:row r="11" ht="43.20000076293945" hidden="0" customHeight="1">
      <x:c r="A11" s="825" t="str">
        <x:v>Hidden Sustainability HIGH</x:v>
      </x:c>
      <x:c r="B11" s="825" t="str">
        <x:v>오아시스 보존 3회 + 거주지 보존 3회 + 재점검 완료를 HIGH Proxy로 사용</x:v>
      </x:c>
      <x:c r="C11" s="825" t="str">
        <x:v>Simulation Proxy</x:v>
      </x:c>
      <x:c r="D11" s="825" t="str">
        <x:v>실제 점수/임계치 미정</x:v>
      </x:c>
      <x:c r="E11" s="825"/>
      <x:c r="F11" s="825"/>
      <x:c r="G11" s="825"/>
      <x:c r="H11" s="825"/>
      <x:c r="I11" s="825"/>
      <x:c r="J11" s="825"/>
      <x:c r="K11" s="825"/>
      <x:c r="L11" s="825"/>
      <x:c r="M11" s="825"/>
      <x:c r="N11" s="825"/>
      <x:c r="O11" s="825"/>
      <x:c r="P11" s="825"/>
      <x:c r="Q11" s="825"/>
      <x:c r="R11" s="827" t="str">
        <x:v>1</x:v>
      </x:c>
      <x:c r="S11" s="827" t="str">
        <x:v>True</x:v>
      </x:c>
      <x:c r="T11" s="825" t="str">
        <x:v>벤자민 약 40/55 전환까지 넣어도 시간상 가능하지만, 반복 수리를 매우 적극적으로 해야 함.</x:v>
      </x:c>
      <x:c r="U11" s="825" t="str">
        <x:v>True를 '잘 이해한 플레이'가 아니라 '수리 노가다'로 만들지 않도록 시설 5 unlock/벤자민 Beat와 수리 효율 재검토 필요.</x:v>
      </x:c>
      <x:c r="V11" s="825"/>
      <x:c r="W11" s="825"/>
      <x:c r="X11" s="825"/>
      <x:c r="Y11" s="825"/>
      <x:c r="Z11" s="825"/>
    </x:row>
    <x:row r="12" ht="30" hidden="0" customHeight="1">
      <x:c r="A12" s="839" t="str">
        <x:v>Hidden 연구 조건</x:v>
      </x:c>
      <x:c r="B12" s="839" t="str">
        <x:v>현재 W3 v0.3: D15 동시2 / D16 0 / D17 동시2 / D18 0 / D19 Freezer+남은2 동시3 Boss / D20 0. Target Pool 6개는 Integrity 높은 순으로 먼저 CrisisSeen 처리. 최신 밸런스는 15_W3BossRebalance 참조.</x:v>
      </x:c>
      <x:c r="C12" s="839" t="str">
        <x:v>v0.3 현재</x:v>
      </x:c>
      <x:c r="D12" s="839" t="str">
        <x:v>구 Pattern A/B/C Proxy 대체</x:v>
      </x:c>
      <x:c r="E12" s="839"/>
      <x:c r="F12" s="839"/>
      <x:c r="G12" s="839"/>
      <x:c r="H12" s="839"/>
      <x:c r="I12" s="839"/>
      <x:c r="J12" s="839"/>
      <x:c r="K12" s="839"/>
      <x:c r="L12" s="839"/>
      <x:c r="M12" s="839"/>
      <x:c r="N12" s="839"/>
      <x:c r="O12" s="839"/>
      <x:c r="P12" s="839"/>
      <x:c r="Q12" s="839"/>
      <x:c r="R12" s="839" t="str">
        <x:v>2</x:v>
      </x:c>
      <x:c r="S12" s="839" t="str">
        <x:v>True</x:v>
      </x:c>
      <x:c r="T12" s="839" t="str">
        <x:v>디야 True Route 때문에 W2 초반 거주지 보존도 어느 정도 필요함.</x:v>
      </x:c>
      <x:c r="U12" s="839" t="str">
        <x:v>True=배만 고치는 루트가 아니라 사람의 삶/거주지도 돌봐야 한다는 점은 서사적으로 긍정적.</x:v>
      </x:c>
      <x:c r="V12" s="839"/>
      <x:c r="W12" s="839"/>
      <x:c r="X12" s="839"/>
      <x:c r="Y12" s="839"/>
      <x:c r="Z12" s="839"/>
    </x:row>
    <x:row r="13" ht="75.5999984741211" hidden="0" customHeight="1">
      <x:c r="A13" s="825" t="str">
        <x:v>ShipCondition</x:v>
      </x:c>
      <x:c r="B13" s="825" t="str">
        <x:v>영구 기능정지/거주구역0/Global Hull 최종실패가 없고 수리를 지속하면 '항해 가능성 Proxy'만 통과</x:v>
      </x:c>
      <x:c r="C13" s="825" t="str">
        <x:v>미정</x:v>
      </x:c>
      <x:c r="D13" s="825" t="str">
        <x:v>정확 산식이 아직 TBD</x:v>
      </x:c>
      <x:c r="E13" s="825"/>
      <x:c r="F13" s="825"/>
      <x:c r="G13" s="825"/>
      <x:c r="H13" s="825"/>
      <x:c r="I13" s="825"/>
      <x:c r="J13" s="825"/>
      <x:c r="K13" s="825"/>
      <x:c r="L13" s="825"/>
      <x:c r="M13" s="825"/>
      <x:c r="N13" s="825"/>
      <x:c r="O13" s="825"/>
      <x:c r="P13" s="825"/>
      <x:c r="Q13" s="825"/>
      <x:c r="R13" s="827" t="str">
        <x:v>3</x:v>
      </x:c>
      <x:c r="S13" s="827" t="str">
        <x:v>Hidden</x:v>
      </x:c>
      <x:c r="T13" s="825" t="str">
        <x:v>오아시스3+거주지3+연구실5 Proxy는 현재 시간예산 안에서 충분히 달성 가능.</x:v>
      </x:c>
      <x:c r="U13" s="825" t="str">
        <x:v>Hidden이 지나치게 숨겨진 완벽플레이가 되지 않도록 실제 HIGH 임계치는 이후 조정 가능.</x:v>
      </x:c>
      <x:c r="V13" s="825"/>
      <x:c r="W13" s="825"/>
      <x:c r="X13" s="825"/>
      <x:c r="Y13" s="825"/>
      <x:c r="Z13" s="825"/>
    </x:row>
    <x:row r="14" ht="43.20000076293945" hidden="0" customHeight="1">
      <x:c r="A14" s="825" t="str">
        <x:v>XP/Stat</x:v>
      </x:c>
      <x:c r="B14" s="825" t="str">
        <x:v>선택한 성장 Activity 횟수만 기록. 정확 Lv 도달 여부는 판정하지 않음</x:v>
      </x:c>
      <x:c r="C14" s="825" t="str">
        <x:v>미정</x:v>
      </x:c>
      <x:c r="D14" s="825" t="str">
        <x:v>콘텐츠별 XP 지급량이 아직 없음</x:v>
      </x:c>
      <x:c r="E14" s="825"/>
      <x:c r="F14" s="825"/>
      <x:c r="G14" s="825"/>
      <x:c r="H14" s="825"/>
      <x:c r="I14" s="825"/>
      <x:c r="J14" s="825"/>
      <x:c r="K14" s="825"/>
      <x:c r="L14" s="825"/>
      <x:c r="M14" s="825"/>
      <x:c r="N14" s="825"/>
      <x:c r="O14" s="825"/>
      <x:c r="P14" s="825"/>
      <x:c r="Q14" s="825"/>
      <x:c r="R14" s="827" t="str">
        <x:v>4</x:v>
      </x:c>
      <x:c r="S14" s="827" t="str">
        <x:v>Normal</x:v>
      </x:c>
      <x:c r="T14" s="825" t="str">
        <x:v>재점검을 하지 않고 배를 꾸준히 고치면 Sustainability LOW 상태로 Normal1 후보가 자연스럽게 만들어짐.</x:v>
      </x:c>
      <x:c r="U14" s="825" t="str">
        <x:v>첫 플레이에서 가장 이해하기 쉬운 기본 결말 경로로 기능 가능.</x:v>
      </x:c>
      <x:c r="V14" s="825"/>
      <x:c r="W14" s="825"/>
      <x:c r="X14" s="825"/>
      <x:c r="Y14" s="825"/>
      <x:c r="Z14" s="825"/>
    </x:row>
    <x:row r="15" ht="43.20000076293945" hidden="0" customHeight="1">
      <x:c r="A15" s="825" t="str">
        <x:v>Affinity</x:v>
      </x:c>
      <x:c r="B15" s="825" t="str">
        <x:v>Character 상호작용 수는 기록하되 정확 0~5 도달 여부는 판정하지 않음</x:v>
      </x:c>
      <x:c r="C15" s="825" t="str">
        <x:v>미정</x:v>
      </x:c>
      <x:c r="D15" s="825" t="str">
        <x:v>호감도 증가량이 아직 없음</x:v>
      </x:c>
      <x:c r="E15" s="825"/>
      <x:c r="F15" s="825"/>
      <x:c r="G15" s="825"/>
      <x:c r="H15" s="825"/>
      <x:c r="I15" s="825"/>
      <x:c r="J15" s="825"/>
      <x:c r="K15" s="825"/>
      <x:c r="L15" s="825"/>
      <x:c r="M15" s="825"/>
      <x:c r="N15" s="825"/>
      <x:c r="O15" s="825"/>
      <x:c r="P15" s="825"/>
      <x:c r="Q15" s="825"/>
      <x:c r="R15" s="827" t="str">
        <x:v>5</x:v>
      </x:c>
      <x:c r="S15" s="827" t="str">
        <x:v>공통</x:v>
      </x:c>
      <x:c r="T15" s="825" t="str">
        <x:v>의지는 현재 명시 비용만 보면 여전히 압박이 약함.</x:v>
      </x:c>
      <x:c r="U15" s="825" t="str">
        <x:v>앞으로 순수 의지 선택과 '높은 스탯 요구치+부족분 의지 보완'을 중요 선택에 배치해 누적 압박을 만든다.</x:v>
      </x:c>
      <x:c r="V15" s="825"/>
      <x:c r="W15" s="825"/>
      <x:c r="X15" s="825"/>
      <x:c r="Y15" s="825"/>
      <x:c r="Z15" s="825"/>
    </x:row>
    <x:row r="16" ht="32.400001525878906" hidden="0" customHeight="1">
      <x:c r="A16" s="825"/>
      <x:c r="B16" s="825"/>
      <x:c r="C16" s="825"/>
      <x:c r="D16" s="825"/>
      <x:c r="E16" s="825"/>
      <x:c r="F16" s="825"/>
      <x:c r="G16" s="825"/>
      <x:c r="H16" s="825"/>
      <x:c r="I16" s="825"/>
      <x:c r="J16" s="825"/>
      <x:c r="K16" s="825"/>
      <x:c r="L16" s="825"/>
      <x:c r="M16" s="825"/>
      <x:c r="N16" s="825"/>
      <x:c r="O16" s="825"/>
      <x:c r="P16" s="825"/>
      <x:c r="Q16" s="825"/>
      <x:c r="R16" s="827" t="str">
        <x:v>6</x:v>
      </x:c>
      <x:c r="S16" s="827" t="str">
        <x:v>공통</x:v>
      </x:c>
      <x:c r="T16" s="825" t="str">
        <x:v>XP/Stat과 Affinity는 현재 정확한 수치 검증 불가.</x:v>
      </x:c>
      <x:c r="U16" s="825" t="str">
        <x:v>다음 수치 설계 단계에서 행동별 XP/Affinity 지급량과 주요 Check 레벨을 정해야 Route Simulation이 완성됨.</x:v>
      </x:c>
      <x:c r="V16" s="825"/>
      <x:c r="W16" s="825"/>
      <x:c r="X16" s="825"/>
      <x:c r="Y16" s="825"/>
      <x:c r="Z16" s="825"/>
    </x:row>
    <x:row r="17" ht="32.400001525878906" hidden="0" customHeight="1">
      <x:c r="A17" s="825"/>
      <x:c r="B17" s="825"/>
      <x:c r="C17" s="825"/>
      <x:c r="D17" s="825"/>
      <x:c r="E17" s="825"/>
      <x:c r="F17" s="825"/>
      <x:c r="G17" s="825"/>
      <x:c r="H17" s="825"/>
      <x:c r="I17" s="825"/>
      <x:c r="J17" s="825"/>
      <x:c r="K17" s="825"/>
      <x:c r="L17" s="825"/>
      <x:c r="M17" s="825"/>
      <x:c r="N17" s="825"/>
      <x:c r="O17" s="825"/>
      <x:c r="P17" s="825"/>
      <x:c r="Q17" s="825"/>
      <x:c r="R17" s="827" t="str">
        <x:v>7</x:v>
      </x:c>
      <x:c r="S17" s="827" t="str">
        <x:v>W3</x:v>
      </x:c>
      <x:c r="T17" s="825" t="str">
        <x:v>평균 3~4h Emergency를 실제 소비해도 세 루트 모두 하루 14h 안에 들어옴.</x:v>
      </x:c>
      <x:c r="U17" s="825" t="str">
        <x:v>W3 사건 빈도는 '하루 평균 1회 큰 대응' 부근을 기준점으로 삼을 수 있으나 실제 발생규칙은 별도 설계 필요.</x:v>
      </x:c>
      <x:c r="V17" s="825"/>
      <x:c r="W17" s="825"/>
      <x:c r="X17" s="825"/>
      <x:c r="Y17" s="825"/>
      <x:c r="Z17" s="825"/>
    </x:row>
    <x:row r="18" ht="26" hidden="0" customHeight="1">
      <x:c r="A18" s="852" t="str">
        <x:v>NORMAL — 첫 플레이형 / Normal 1 후보</x:v>
      </x:c>
      <x:c r="B18" s="852"/>
      <x:c r="C18" s="852"/>
      <x:c r="D18" s="852"/>
      <x:c r="E18" s="852"/>
      <x:c r="F18" s="852"/>
      <x:c r="G18" s="852"/>
      <x:c r="H18" s="852"/>
      <x:c r="I18" s="852"/>
      <x:c r="J18" s="852"/>
      <x:c r="K18" s="852"/>
      <x:c r="L18" s="852"/>
      <x:c r="M18" s="852"/>
      <x:c r="N18" s="852"/>
      <x:c r="O18" s="852"/>
      <x:c r="P18" s="852"/>
      <x:c r="Q18" s="852"/>
      <x:c r="R18" s="852"/>
      <x:c r="S18" s="852"/>
      <x:c r="T18" s="852"/>
      <x:c r="U18" s="852"/>
      <x:c r="V18" s="852"/>
      <x:c r="W18" s="852"/>
      <x:c r="X18" s="852"/>
      <x:c r="Y18" s="852"/>
      <x:c r="Z18" s="852"/>
    </x:row>
    <x:row r="19" ht="30" hidden="0" customHeight="1">
      <x:c r="A19" s="849" t="str">
        <x:v>Day</x:v>
      </x:c>
      <x:c r="B19" s="849" t="str">
        <x:v>선택한 주요 행동</x:v>
      </x:c>
      <x:c r="C19" s="849" t="str">
        <x:v>계획시간</x:v>
      </x:c>
      <x:c r="D19" s="849" t="str">
        <x:v>Emergency</x:v>
      </x:c>
      <x:c r="E19" s="849" t="str">
        <x:v>총시간</x:v>
      </x:c>
      <x:c r="F19" s="849" t="str">
        <x:v>자유시간</x:v>
      </x:c>
      <x:c r="G19" s="849" t="str">
        <x:v>Start Will</x:v>
      </x:c>
      <x:c r="H19" s="849" t="str">
        <x:v>Will 사용</x:v>
      </x:c>
      <x:c r="I19" s="849" t="str">
        <x:v>End Will</x:v>
      </x:c>
      <x:c r="J19" s="849" t="str">
        <x:v>성장 슬롯</x:v>
      </x:c>
      <x:c r="K19" s="849" t="str">
        <x:v>수리 +</x:v>
      </x:c>
      <x:c r="L19" s="849" t="str">
        <x:v>누적 수리</x:v>
      </x:c>
      <x:c r="M19" s="849" t="str">
        <x:v>오아시스 +</x:v>
      </x:c>
      <x:c r="N19" s="849" t="str">
        <x:v>거주지 +</x:v>
      </x:c>
      <x:c r="O19" s="849" t="str">
        <x:v>묘지 +</x:v>
      </x:c>
      <x:c r="P19" s="849" t="str">
        <x:v>핵심 Flag / 결과</x:v>
      </x:c>
      <x:c r="Q19" s="849"/>
      <x:c r="R19" s="849"/>
      <x:c r="S19" s="849"/>
      <x:c r="T19" s="849"/>
      <x:c r="U19" s="849"/>
      <x:c r="V19" s="849"/>
      <x:c r="W19" s="849"/>
      <x:c r="X19" s="849"/>
      <x:c r="Y19" s="849"/>
      <x:c r="Z19" s="849"/>
    </x:row>
    <x:row r="20" ht="32.400001525878906" hidden="0" customHeight="1">
      <x:c r="A20" s="827" t="n">
        <x:v>1</x:v>
      </x:c>
      <x:c r="B20" s="825" t="str">
        <x:v>W1D1_02+03 / 벤자민 묘지 / 수송선 상태 확인</x:v>
      </x:c>
      <x:c r="C20" s="830" t="n">
        <x:v>6</x:v>
      </x:c>
      <x:c r="D20" s="830" t="n">
        <x:v>0</x:v>
      </x:c>
      <x:c r="E20" s="830" t="n">
        <x:f>C20+D20</x:f>
        <x:v>6</x:v>
      </x:c>
      <x:c r="F20" s="830" t="n">
        <x:f>14-E20</x:f>
        <x:v>8</x:v>
      </x:c>
      <x:c r="G20" s="830" t="n">
        <x:v>5</x:v>
      </x:c>
      <x:c r="H20" s="830" t="n">
        <x:v>0</x:v>
      </x:c>
      <x:c r="I20" s="830" t="n">
        <x:f>MAX(0,G20-H20)</x:f>
        <x:v>5</x:v>
      </x:c>
      <x:c r="J20" s="830" t="n">
        <x:v>0</x:v>
      </x:c>
      <x:c r="K20" s="830" t="n">
        <x:v>0</x:v>
      </x:c>
      <x:c r="L20" s="830" t="n">
        <x:f>K20</x:f>
        <x:v>0</x:v>
      </x:c>
      <x:c r="M20" s="830" t="n">
        <x:v>0</x:v>
      </x:c>
      <x:c r="N20" s="830" t="n">
        <x:v>0</x:v>
      </x:c>
      <x:c r="O20" s="830" t="n">
        <x:v>0</x:v>
      </x:c>
      <x:c r="P20" s="861" t="str">
        <x:v>벤자민 Seed, 배 첫 확인</x:v>
      </x:c>
      <x:c r="Q20" s="825"/>
      <x:c r="R20" s="825"/>
      <x:c r="S20" s="825"/>
      <x:c r="T20" s="825"/>
      <x:c r="U20" s="825"/>
      <x:c r="V20" s="825"/>
      <x:c r="W20" s="825"/>
      <x:c r="X20" s="825"/>
      <x:c r="Y20" s="825"/>
      <x:c r="Z20" s="825"/>
    </x:row>
    <x:row r="21" ht="32.400001525878906" hidden="0" customHeight="1">
      <x:c r="A21" s="827" t="n">
        <x:v>2</x:v>
      </x:c>
      <x:c r="B21" s="825" t="str">
        <x:v>재회 완료 / 디야 생활공간 / 야간조 대표</x:v>
      </x:c>
      <x:c r="C21" s="830" t="n">
        <x:v>6.5</x:v>
      </x:c>
      <x:c r="D21" s="830" t="n">
        <x:v>0</x:v>
      </x:c>
      <x:c r="E21" s="830" t="n">
        <x:f>C21+D21</x:f>
        <x:v>6.5</x:v>
      </x:c>
      <x:c r="F21" s="830" t="n">
        <x:f>14-E21</x:f>
        <x:v>7.5</x:v>
      </x:c>
      <x:c r="G21" s="830" t="n">
        <x:f>MIN(5,I20+1)</x:f>
        <x:v>5</x:v>
      </x:c>
      <x:c r="H21" s="830" t="n">
        <x:v>0</x:v>
      </x:c>
      <x:c r="I21" s="830" t="n">
        <x:f>MAX(0,G21-H21)</x:f>
        <x:v>5</x:v>
      </x:c>
      <x:c r="J21" s="830" t="n">
        <x:v>0</x:v>
      </x:c>
      <x:c r="K21" s="830" t="n">
        <x:v>0</x:v>
      </x:c>
      <x:c r="L21" s="830" t="n">
        <x:f>L20+K21</x:f>
        <x:v>0</x:v>
      </x:c>
      <x:c r="M21" s="830" t="n">
        <x:v>0</x:v>
      </x:c>
      <x:c r="N21" s="830" t="n">
        <x:v>0</x:v>
      </x:c>
      <x:c r="O21" s="830" t="n">
        <x:v>0</x:v>
      </x:c>
      <x:c r="P21" s="861" t="str">
        <x:v>야간조 Seed, 디야 Seed</x:v>
      </x:c>
      <x:c r="Q21" s="825"/>
      <x:c r="R21" s="825"/>
      <x:c r="S21" s="825"/>
      <x:c r="T21" s="825"/>
      <x:c r="U21" s="825"/>
      <x:c r="V21" s="825"/>
      <x:c r="W21" s="825"/>
      <x:c r="X21" s="825"/>
      <x:c r="Y21" s="825"/>
      <x:c r="Z21" s="825"/>
    </x:row>
    <x:row r="22" ht="21.600000381469727" hidden="0" customHeight="1">
      <x:c r="A22" s="827" t="n">
        <x:v>3</x:v>
      </x:c>
      <x:c r="B22" s="825" t="str">
        <x:v>샘 조사 의뢰+관찰 / 샘 대화 / 수리 / 성장</x:v>
      </x:c>
      <x:c r="C22" s="830" t="n">
        <x:v>10</x:v>
      </x:c>
      <x:c r="D22" s="830" t="n">
        <x:v>0</x:v>
      </x:c>
      <x:c r="E22" s="830" t="n">
        <x:f>C22+D22</x:f>
        <x:v>10</x:v>
      </x:c>
      <x:c r="F22" s="830" t="n">
        <x:f>14-E22</x:f>
        <x:v>4</x:v>
      </x:c>
      <x:c r="G22" s="830" t="n">
        <x:f>MIN(5,I21+1)</x:f>
        <x:v>5</x:v>
      </x:c>
      <x:c r="H22" s="830" t="n">
        <x:v>1</x:v>
      </x:c>
      <x:c r="I22" s="830" t="n">
        <x:f>MAX(0,G22-H22)</x:f>
        <x:v>4</x:v>
      </x:c>
      <x:c r="J22" s="830" t="n">
        <x:v>1</x:v>
      </x:c>
      <x:c r="K22" s="830" t="n">
        <x:v>1</x:v>
      </x:c>
      <x:c r="L22" s="830" t="n">
        <x:f>L21+K22</x:f>
        <x:v>1</x:v>
      </x:c>
      <x:c r="M22" s="830" t="n">
        <x:v>0</x:v>
      </x:c>
      <x:c r="N22" s="830" t="n">
        <x:v>0</x:v>
      </x:c>
      <x:c r="O22" s="830" t="n">
        <x:v>0</x:v>
      </x:c>
      <x:c r="P22" s="861" t="str">
        <x:v>샘 부담 1회</x:v>
      </x:c>
      <x:c r="Q22" s="825"/>
      <x:c r="R22" s="825"/>
      <x:c r="S22" s="825"/>
      <x:c r="T22" s="825"/>
      <x:c r="U22" s="825"/>
      <x:c r="V22" s="825"/>
      <x:c r="W22" s="825"/>
      <x:c r="X22" s="825"/>
      <x:c r="Y22" s="825"/>
      <x:c r="Z22" s="825"/>
    </x:row>
    <x:row r="23" ht="21.600000381469727" hidden="0" customHeight="1">
      <x:c r="A23" s="827" t="n">
        <x:v>4</x:v>
      </x:c>
      <x:c r="B23" s="825" t="str">
        <x:v>가설 / 페이 음악꿈 / 수리 / 성장</x:v>
      </x:c>
      <x:c r="C23" s="830" t="n">
        <x:v>9</x:v>
      </x:c>
      <x:c r="D23" s="830" t="n">
        <x:v>0</x:v>
      </x:c>
      <x:c r="E23" s="830" t="n">
        <x:f>C23+D23</x:f>
        <x:v>9</x:v>
      </x:c>
      <x:c r="F23" s="830" t="n">
        <x:f>14-E23</x:f>
        <x:v>5</x:v>
      </x:c>
      <x:c r="G23" s="830" t="n">
        <x:f>MIN(5,I22+1)</x:f>
        <x:v>5</x:v>
      </x:c>
      <x:c r="H23" s="830" t="n">
        <x:v>0</x:v>
      </x:c>
      <x:c r="I23" s="830" t="n">
        <x:f>MAX(0,G23-H23)</x:f>
        <x:v>5</x:v>
      </x:c>
      <x:c r="J23" s="830" t="n">
        <x:v>1</x:v>
      </x:c>
      <x:c r="K23" s="830" t="n">
        <x:v>1</x:v>
      </x:c>
      <x:c r="L23" s="830" t="n">
        <x:f>L22+K23</x:f>
        <x:v>2</x:v>
      </x:c>
      <x:c r="M23" s="830" t="n">
        <x:v>0</x:v>
      </x:c>
      <x:c r="N23" s="830" t="n">
        <x:v>0</x:v>
      </x:c>
      <x:c r="O23" s="830" t="n">
        <x:v>0</x:v>
      </x:c>
      <x:c r="P23" s="861" t="str">
        <x:v>페이 꿈 공개</x:v>
      </x:c>
      <x:c r="Q23" s="825"/>
      <x:c r="R23" s="825"/>
      <x:c r="S23" s="825"/>
      <x:c r="T23" s="825"/>
      <x:c r="U23" s="825"/>
      <x:c r="V23" s="825"/>
      <x:c r="W23" s="825"/>
      <x:c r="X23" s="825"/>
      <x:c r="Y23" s="825"/>
      <x:c r="Z23" s="825"/>
    </x:row>
    <x:row r="24" ht="21.600000381469727" hidden="0" customHeight="1">
      <x:c r="A24" s="827" t="n">
        <x:v>5</x:v>
      </x:c>
      <x:c r="B24" s="825" t="str">
        <x:v>확인 / 디야 뜨개질 / 수리 / 성장</x:v>
      </x:c>
      <x:c r="C24" s="830" t="n">
        <x:v>9</x:v>
      </x:c>
      <x:c r="D24" s="830" t="n">
        <x:v>0</x:v>
      </x:c>
      <x:c r="E24" s="830" t="n">
        <x:f>C24+D24</x:f>
        <x:v>9</x:v>
      </x:c>
      <x:c r="F24" s="830" t="n">
        <x:f>14-E24</x:f>
        <x:v>5</x:v>
      </x:c>
      <x:c r="G24" s="830" t="n">
        <x:f>MIN(5,I23+1)</x:f>
        <x:v>5</x:v>
      </x:c>
      <x:c r="H24" s="830" t="n">
        <x:v>0</x:v>
      </x:c>
      <x:c r="I24" s="830" t="n">
        <x:f>MAX(0,G24-H24)</x:f>
        <x:v>5</x:v>
      </x:c>
      <x:c r="J24" s="830" t="n">
        <x:v>1</x:v>
      </x:c>
      <x:c r="K24" s="830" t="n">
        <x:v>1</x:v>
      </x:c>
      <x:c r="L24" s="830" t="n">
        <x:f>L23+K24</x:f>
        <x:v>3</x:v>
      </x:c>
      <x:c r="M24" s="830" t="n">
        <x:v>0</x:v>
      </x:c>
      <x:c r="N24" s="830" t="n">
        <x:v>0</x:v>
      </x:c>
      <x:c r="O24" s="830" t="n">
        <x:v>0</x:v>
      </x:c>
      <x:c r="P24" s="861" t="str">
        <x:v>디야 복선</x:v>
      </x:c>
      <x:c r="Q24" s="825"/>
      <x:c r="R24" s="825"/>
      <x:c r="S24" s="825"/>
      <x:c r="T24" s="825"/>
      <x:c r="U24" s="825"/>
      <x:c r="V24" s="825"/>
      <x:c r="W24" s="825"/>
      <x:c r="X24" s="825"/>
      <x:c r="Y24" s="825"/>
      <x:c r="Z24" s="825"/>
    </x:row>
    <x:row r="25" ht="21.600000381469727" hidden="0" customHeight="1">
      <x:c r="A25" s="827" t="n">
        <x:v>6</x:v>
      </x:c>
      <x:c r="B25" s="825" t="str">
        <x:v>조사 보고+공개 대비 / 샘 대화 / 수리</x:v>
      </x:c>
      <x:c r="C25" s="830" t="n">
        <x:v>7</x:v>
      </x:c>
      <x:c r="D25" s="830" t="n">
        <x:v>0</x:v>
      </x:c>
      <x:c r="E25" s="830" t="n">
        <x:f>C25+D25</x:f>
        <x:v>7</x:v>
      </x:c>
      <x:c r="F25" s="830" t="n">
        <x:f>14-E25</x:f>
        <x:v>7</x:v>
      </x:c>
      <x:c r="G25" s="830" t="n">
        <x:f>MIN(5,I24+1)</x:f>
        <x:v>5</x:v>
      </x:c>
      <x:c r="H25" s="830" t="n">
        <x:v>1</x:v>
      </x:c>
      <x:c r="I25" s="830" t="n">
        <x:f>MAX(0,G25-H25)</x:f>
        <x:v>4</x:v>
      </x:c>
      <x:c r="J25" s="830" t="n">
        <x:v>0</x:v>
      </x:c>
      <x:c r="K25" s="830" t="n">
        <x:v>1</x:v>
      </x:c>
      <x:c r="L25" s="830" t="n">
        <x:f>L24+K25</x:f>
        <x:v>4</x:v>
      </x:c>
      <x:c r="M25" s="830" t="n">
        <x:v>0</x:v>
      </x:c>
      <x:c r="N25" s="830" t="n">
        <x:v>0</x:v>
      </x:c>
      <x:c r="O25" s="830" t="n">
        <x:v>0</x:v>
      </x:c>
      <x:c r="P25" s="861" t="str">
        <x:v>샘 부담 2회</x:v>
      </x:c>
      <x:c r="Q25" s="825"/>
      <x:c r="R25" s="825"/>
      <x:c r="S25" s="825"/>
      <x:c r="T25" s="825"/>
      <x:c r="U25" s="825"/>
      <x:c r="V25" s="825"/>
      <x:c r="W25" s="825"/>
      <x:c r="X25" s="825"/>
      <x:c r="Y25" s="825"/>
      <x:c r="Z25" s="825"/>
    </x:row>
    <x:row r="26" ht="21.600000381469727" hidden="0" customHeight="1">
      <x:c r="A26" s="827" t="n">
        <x:v>7</x:v>
      </x:c>
      <x:c r="B26" s="825" t="str">
        <x:v>공개 Event+준비 / 인물 반응 / 수리</x:v>
      </x:c>
      <x:c r="C26" s="830" t="n">
        <x:v>9</x:v>
      </x:c>
      <x:c r="D26" s="830" t="n">
        <x:v>0</x:v>
      </x:c>
      <x:c r="E26" s="830" t="n">
        <x:f>C26+D26</x:f>
        <x:v>9</x:v>
      </x:c>
      <x:c r="F26" s="830" t="n">
        <x:f>14-E26</x:f>
        <x:v>5</x:v>
      </x:c>
      <x:c r="G26" s="830" t="n">
        <x:f>MIN(5,I25+1)</x:f>
        <x:v>5</x:v>
      </x:c>
      <x:c r="H26" s="830" t="n">
        <x:v>0</x:v>
      </x:c>
      <x:c r="I26" s="830" t="n">
        <x:f>MAX(0,G26-H26)</x:f>
        <x:v>5</x:v>
      </x:c>
      <x:c r="J26" s="830" t="n">
        <x:v>0</x:v>
      </x:c>
      <x:c r="K26" s="830" t="n">
        <x:v>1</x:v>
      </x:c>
      <x:c r="L26" s="830" t="n">
        <x:f>L25+K26</x:f>
        <x:v>5</x:v>
      </x:c>
      <x:c r="M26" s="830" t="n">
        <x:v>0</x:v>
      </x:c>
      <x:c r="N26" s="830" t="n">
        <x:v>0</x:v>
      </x:c>
      <x:c r="O26" s="830" t="n">
        <x:v>0</x:v>
      </x:c>
      <x:c r="P26" s="861" t="str">
        <x:v>W1 완료</x:v>
      </x:c>
      <x:c r="Q26" s="825"/>
      <x:c r="R26" s="825"/>
      <x:c r="S26" s="825"/>
      <x:c r="T26" s="825"/>
      <x:c r="U26" s="825"/>
      <x:c r="V26" s="825"/>
      <x:c r="W26" s="825"/>
      <x:c r="X26" s="825"/>
      <x:c r="Y26" s="825"/>
      <x:c r="Z26" s="825"/>
    </x:row>
    <x:row r="27" ht="32.400001525878906" hidden="0" customHeight="1">
      <x:c r="A27" s="827" t="n">
        <x:v>8</x:v>
      </x:c>
      <x:c r="B27" s="825" t="str">
        <x:v>샌드웜+폭풍 발견 / 보리치 과거 / 수리 / 성장</x:v>
      </x:c>
      <x:c r="C27" s="830" t="n">
        <x:v>10</x:v>
      </x:c>
      <x:c r="D27" s="830" t="n">
        <x:v>0</x:v>
      </x:c>
      <x:c r="E27" s="830" t="n">
        <x:f>C27+D27</x:f>
        <x:v>10</x:v>
      </x:c>
      <x:c r="F27" s="830" t="n">
        <x:f>14-E27</x:f>
        <x:v>4</x:v>
      </x:c>
      <x:c r="G27" s="830" t="n">
        <x:f>MIN(5,I26+1)</x:f>
        <x:v>5</x:v>
      </x:c>
      <x:c r="H27" s="830" t="n">
        <x:v>0</x:v>
      </x:c>
      <x:c r="I27" s="830" t="n">
        <x:f>MAX(0,G27-H27)</x:f>
        <x:v>5</x:v>
      </x:c>
      <x:c r="J27" s="830" t="n">
        <x:v>1</x:v>
      </x:c>
      <x:c r="K27" s="830" t="n">
        <x:v>1</x:v>
      </x:c>
      <x:c r="L27" s="830" t="n">
        <x:f>L26+K27</x:f>
        <x:v>6</x:v>
      </x:c>
      <x:c r="M27" s="830" t="n">
        <x:v>0</x:v>
      </x:c>
      <x:c r="N27" s="830" t="n">
        <x:v>0</x:v>
      </x:c>
      <x:c r="O27" s="830" t="n">
        <x:v>0</x:v>
      </x:c>
      <x:c r="P27" s="861" t="str">
        <x:v>보리치 아크 진행</x:v>
      </x:c>
      <x:c r="Q27" s="825"/>
      <x:c r="R27" s="825"/>
      <x:c r="S27" s="825"/>
      <x:c r="T27" s="825"/>
      <x:c r="U27" s="825"/>
      <x:c r="V27" s="825"/>
      <x:c r="W27" s="825"/>
      <x:c r="X27" s="825"/>
      <x:c r="Y27" s="825"/>
      <x:c r="Z27" s="825"/>
    </x:row>
    <x:row r="28" ht="21.600000381469727" hidden="0" customHeight="1">
      <x:c r="A28" s="827" t="n">
        <x:v>9</x:v>
      </x:c>
      <x:c r="B28" s="825" t="str">
        <x:v>피난 계획+시설 점검 / 샘 / 수리 / 야간조</x:v>
      </x:c>
      <x:c r="C28" s="830" t="n">
        <x:v>9</x:v>
      </x:c>
      <x:c r="D28" s="830" t="n">
        <x:v>0</x:v>
      </x:c>
      <x:c r="E28" s="830" t="n">
        <x:f>C28+D28</x:f>
        <x:v>9</x:v>
      </x:c>
      <x:c r="F28" s="830" t="n">
        <x:f>14-E28</x:f>
        <x:v>5</x:v>
      </x:c>
      <x:c r="G28" s="830" t="n">
        <x:f>MIN(5,I27+1)</x:f>
        <x:v>5</x:v>
      </x:c>
      <x:c r="H28" s="830" t="n">
        <x:v>0</x:v>
      </x:c>
      <x:c r="I28" s="830" t="n">
        <x:f>MAX(0,G28-H28)</x:f>
        <x:v>5</x:v>
      </x:c>
      <x:c r="J28" s="830" t="n">
        <x:v>0</x:v>
      </x:c>
      <x:c r="K28" s="830" t="n">
        <x:v>1</x:v>
      </x:c>
      <x:c r="L28" s="830" t="n">
        <x:f>L27+K28</x:f>
        <x:v>7</x:v>
      </x:c>
      <x:c r="M28" s="830" t="n">
        <x:v>0</x:v>
      </x:c>
      <x:c r="N28" s="830" t="n">
        <x:v>0</x:v>
      </x:c>
      <x:c r="O28" s="830" t="n">
        <x:v>0</x:v>
      </x:c>
      <x:c r="P28" s="861" t="str">
        <x:v>W3 시설 학습</x:v>
      </x:c>
      <x:c r="Q28" s="825"/>
      <x:c r="R28" s="825"/>
      <x:c r="S28" s="825"/>
      <x:c r="T28" s="825"/>
      <x:c r="U28" s="825"/>
      <x:c r="V28" s="825"/>
      <x:c r="W28" s="825"/>
      <x:c r="X28" s="825"/>
      <x:c r="Y28" s="825"/>
      <x:c r="Z28" s="825"/>
    </x:row>
    <x:row r="29" ht="32.400001525878906" hidden="0" customHeight="1">
      <x:c r="A29" s="827" t="n">
        <x:v>10</x:v>
      </x:c>
      <x:c r="B29" s="825" t="str">
        <x:v>대피 준비 / 미라 직접 수색·발견 / 지나 후속 / 수리 / 벤자민</x:v>
      </x:c>
      <x:c r="C29" s="830" t="n">
        <x:v>9.5</x:v>
      </x:c>
      <x:c r="D29" s="830" t="n">
        <x:v>0</x:v>
      </x:c>
      <x:c r="E29" s="830" t="n">
        <x:f>C29+D29</x:f>
        <x:v>9.5</x:v>
      </x:c>
      <x:c r="F29" s="830" t="n">
        <x:f>14-E29</x:f>
        <x:v>4.5</x:v>
      </x:c>
      <x:c r="G29" s="830" t="n">
        <x:f>MIN(5,I28+1)</x:f>
        <x:v>5</x:v>
      </x:c>
      <x:c r="H29" s="830" t="n">
        <x:v>1</x:v>
      </x:c>
      <x:c r="I29" s="830" t="n">
        <x:f>MAX(0,G29-H29)</x:f>
        <x:v>4</x:v>
      </x:c>
      <x:c r="J29" s="830" t="n">
        <x:v>0</x:v>
      </x:c>
      <x:c r="K29" s="830" t="n">
        <x:v>1</x:v>
      </x:c>
      <x:c r="L29" s="830" t="n">
        <x:f>L28+K29</x:f>
        <x:v>8</x:v>
      </x:c>
      <x:c r="M29" s="830" t="n">
        <x:v>0</x:v>
      </x:c>
      <x:c r="N29" s="830" t="n">
        <x:v>0</x:v>
      </x:c>
      <x:c r="O29" s="830" t="n">
        <x:v>0</x:v>
      </x:c>
      <x:c r="P29" s="861" t="str">
        <x:v>미라 발견, 지나 신뢰 Seed</x:v>
      </x:c>
      <x:c r="Q29" s="825"/>
      <x:c r="R29" s="825"/>
      <x:c r="S29" s="825"/>
      <x:c r="T29" s="825"/>
      <x:c r="U29" s="825"/>
      <x:c r="V29" s="825"/>
      <x:c r="W29" s="825"/>
      <x:c r="X29" s="825"/>
      <x:c r="Y29" s="825"/>
      <x:c r="Z29" s="825"/>
    </x:row>
    <x:row r="30" ht="21.600000381469727" hidden="0" customHeight="1">
      <x:c r="A30" s="827" t="n">
        <x:v>11</x:v>
      </x:c>
      <x:c r="B30" s="825" t="str">
        <x:v>대피 준비 / 수리 / 페이 또는 샘 / 성장</x:v>
      </x:c>
      <x:c r="C30" s="830" t="n">
        <x:v>8</x:v>
      </x:c>
      <x:c r="D30" s="830" t="n">
        <x:v>0</x:v>
      </x:c>
      <x:c r="E30" s="830" t="n">
        <x:f>C30+D30</x:f>
        <x:v>8</x:v>
      </x:c>
      <x:c r="F30" s="830" t="n">
        <x:f>14-E30</x:f>
        <x:v>6</x:v>
      </x:c>
      <x:c r="G30" s="830" t="n">
        <x:f>MIN(5,I29+1)</x:f>
        <x:v>5</x:v>
      </x:c>
      <x:c r="H30" s="830" t="n">
        <x:v>0</x:v>
      </x:c>
      <x:c r="I30" s="830" t="n">
        <x:f>MAX(0,G30-H30)</x:f>
        <x:v>5</x:v>
      </x:c>
      <x:c r="J30" s="830" t="n">
        <x:v>1</x:v>
      </x:c>
      <x:c r="K30" s="830" t="n">
        <x:v>1</x:v>
      </x:c>
      <x:c r="L30" s="830" t="n">
        <x:f>L29+K30</x:f>
        <x:v>9</x:v>
      </x:c>
      <x:c r="M30" s="830" t="n">
        <x:v>0</x:v>
      </x:c>
      <x:c r="N30" s="830" t="n">
        <x:v>0</x:v>
      </x:c>
      <x:c r="O30" s="830" t="n">
        <x:v>0</x:v>
      </x:c>
      <x:c r="P30" s="861" t="str">
        <x:v>축제 미오픈</x:v>
      </x:c>
      <x:c r="Q30" s="825"/>
      <x:c r="R30" s="825"/>
      <x:c r="S30" s="825"/>
      <x:c r="T30" s="825"/>
      <x:c r="U30" s="825"/>
      <x:c r="V30" s="825"/>
      <x:c r="W30" s="825"/>
      <x:c r="X30" s="825"/>
      <x:c r="Y30" s="825"/>
      <x:c r="Z30" s="825"/>
    </x:row>
    <x:row r="31" ht="32.400001525878906" hidden="0" customHeight="1">
      <x:c r="A31" s="827" t="n">
        <x:v>12</x:v>
      </x:c>
      <x:c r="B31" s="825" t="str">
        <x:v>생명유지 확인 / 지나 과거 / 수리 / 묘지 / 야간조</x:v>
      </x:c>
      <x:c r="C31" s="830" t="n">
        <x:v>10</x:v>
      </x:c>
      <x:c r="D31" s="830" t="n">
        <x:v>0</x:v>
      </x:c>
      <x:c r="E31" s="830" t="n">
        <x:f>C31+D31</x:f>
        <x:v>10</x:v>
      </x:c>
      <x:c r="F31" s="830" t="n">
        <x:f>14-E31</x:f>
        <x:v>4</x:v>
      </x:c>
      <x:c r="G31" s="830" t="n">
        <x:f>MIN(5,I30+1)</x:f>
        <x:v>5</x:v>
      </x:c>
      <x:c r="H31" s="830" t="n">
        <x:v>0</x:v>
      </x:c>
      <x:c r="I31" s="830" t="n">
        <x:f>MAX(0,G31-H31)</x:f>
        <x:v>5</x:v>
      </x:c>
      <x:c r="J31" s="830" t="n">
        <x:v>0</x:v>
      </x:c>
      <x:c r="K31" s="830" t="n">
        <x:v>1</x:v>
      </x:c>
      <x:c r="L31" s="830" t="n">
        <x:f>L30+K31</x:f>
        <x:v>10</x:v>
      </x:c>
      <x:c r="M31" s="830" t="n">
        <x:v>0</x:v>
      </x:c>
      <x:c r="N31" s="830" t="n">
        <x:v>0</x:v>
      </x:c>
      <x:c r="O31" s="830" t="n">
        <x:v>1</x:v>
      </x:c>
      <x:c r="P31" s="861" t="str">
        <x:v>지나 과거 일부</x:v>
      </x:c>
      <x:c r="Q31" s="825"/>
      <x:c r="R31" s="825"/>
      <x:c r="S31" s="825"/>
      <x:c r="T31" s="825"/>
      <x:c r="U31" s="825"/>
      <x:c r="V31" s="825"/>
      <x:c r="W31" s="825"/>
      <x:c r="X31" s="825"/>
      <x:c r="Y31" s="825"/>
      <x:c r="Z31" s="825"/>
    </x:row>
    <x:row r="32" ht="21.600000381469727" hidden="0" customHeight="1">
      <x:c r="A32" s="827" t="n">
        <x:v>13</x:v>
      </x:c>
      <x:c r="B32" s="825" t="str">
        <x:v>최종 준비 / 수리 / 벤자민 / 샘 / 성장</x:v>
      </x:c>
      <x:c r="C32" s="830" t="n">
        <x:v>9.5</x:v>
      </x:c>
      <x:c r="D32" s="830" t="n">
        <x:v>0</x:v>
      </x:c>
      <x:c r="E32" s="830" t="n">
        <x:f>C32+D32</x:f>
        <x:v>9.5</x:v>
      </x:c>
      <x:c r="F32" s="830" t="n">
        <x:f>14-E32</x:f>
        <x:v>4.5</x:v>
      </x:c>
      <x:c r="G32" s="830" t="n">
        <x:f>MIN(5,I31+1)</x:f>
        <x:v>5</x:v>
      </x:c>
      <x:c r="H32" s="830" t="n">
        <x:v>0</x:v>
      </x:c>
      <x:c r="I32" s="830" t="n">
        <x:f>MAX(0,G32-H32)</x:f>
        <x:v>5</x:v>
      </x:c>
      <x:c r="J32" s="830" t="n">
        <x:v>1</x:v>
      </x:c>
      <x:c r="K32" s="830" t="n">
        <x:v>1</x:v>
      </x:c>
      <x:c r="L32" s="830" t="n">
        <x:f>L31+K32</x:f>
        <x:v>11</x:v>
      </x:c>
      <x:c r="M32" s="830" t="n">
        <x:v>0</x:v>
      </x:c>
      <x:c r="N32" s="830" t="n">
        <x:v>0</x:v>
      </x:c>
      <x:c r="O32" s="830" t="n">
        <x:v>0</x:v>
      </x:c>
      <x:c r="P32" s="861" t="str">
        <x:v>야간사건 발생</x:v>
      </x:c>
      <x:c r="Q32" s="825"/>
      <x:c r="R32" s="825"/>
      <x:c r="S32" s="825"/>
      <x:c r="T32" s="825"/>
      <x:c r="U32" s="825"/>
      <x:c r="V32" s="825"/>
      <x:c r="W32" s="825"/>
      <x:c r="X32" s="825"/>
      <x:c r="Y32" s="825"/>
      <x:c r="Z32" s="825"/>
    </x:row>
    <x:row r="33" ht="32.400001525878906" hidden="0" customHeight="1">
      <x:c r="A33" s="827" t="n">
        <x:v>14</x:v>
      </x:c>
      <x:c r="B33" s="825" t="str">
        <x:v>샘 후속+최종 대피+봉쇄 / 수리 / 마지막 대화</x:v>
      </x:c>
      <x:c r="C33" s="830" t="n">
        <x:v>10</x:v>
      </x:c>
      <x:c r="D33" s="830" t="n">
        <x:v>0</x:v>
      </x:c>
      <x:c r="E33" s="830" t="n">
        <x:f>C33+D33</x:f>
        <x:v>10</x:v>
      </x:c>
      <x:c r="F33" s="830" t="n">
        <x:f>14-E33</x:f>
        <x:v>4</x:v>
      </x:c>
      <x:c r="G33" s="830" t="n">
        <x:f>MIN(5,I32+1)</x:f>
        <x:v>5</x:v>
      </x:c>
      <x:c r="H33" s="830" t="n">
        <x:v>0</x:v>
      </x:c>
      <x:c r="I33" s="830" t="n">
        <x:f>MAX(0,G33-H33)</x:f>
        <x:v>5</x:v>
      </x:c>
      <x:c r="J33" s="830" t="n">
        <x:v>0</x:v>
      </x:c>
      <x:c r="K33" s="830" t="n">
        <x:v>1</x:v>
      </x:c>
      <x:c r="L33" s="830" t="n">
        <x:f>L32+K33</x:f>
        <x:v>12</x:v>
      </x:c>
      <x:c r="M33" s="830" t="n">
        <x:v>0</x:v>
      </x:c>
      <x:c r="N33" s="830" t="n">
        <x:v>0</x:v>
      </x:c>
      <x:c r="O33" s="830" t="n">
        <x:v>0</x:v>
      </x:c>
      <x:c r="P33" s="861" t="str">
        <x:v>W2 완료</x:v>
      </x:c>
      <x:c r="Q33" s="825"/>
      <x:c r="R33" s="825"/>
      <x:c r="S33" s="825"/>
      <x:c r="T33" s="825"/>
      <x:c r="U33" s="825"/>
      <x:c r="V33" s="825"/>
      <x:c r="W33" s="825"/>
      <x:c r="X33" s="825"/>
      <x:c r="Y33" s="825"/>
      <x:c r="Z33" s="825"/>
    </x:row>
    <x:row r="34" ht="21.600000381469727" hidden="0" customHeight="1">
      <x:c r="A34" s="827" t="n">
        <x:v>15</x:v>
      </x:c>
      <x:c r="B34" s="825" t="str">
        <x:v>W3 브리핑 / 수리 / 캐릭터 1명</x:v>
      </x:c>
      <x:c r="C34" s="830" t="n">
        <x:v>5.5</x:v>
      </x:c>
      <x:c r="D34" s="830" t="n">
        <x:v>4</x:v>
      </x:c>
      <x:c r="E34" s="830" t="n">
        <x:f>C34+D34</x:f>
        <x:v>9.5</x:v>
      </x:c>
      <x:c r="F34" s="830" t="n">
        <x:f>14-E34</x:f>
        <x:v>4.5</x:v>
      </x:c>
      <x:c r="G34" s="830" t="n">
        <x:f>MIN(5,I33+1)</x:f>
        <x:v>5</x:v>
      </x:c>
      <x:c r="H34" s="830" t="n">
        <x:v>0</x:v>
      </x:c>
      <x:c r="I34" s="830" t="n">
        <x:f>MAX(0,G34-H34)</x:f>
        <x:v>5</x:v>
      </x:c>
      <x:c r="J34" s="830" t="n">
        <x:v>0</x:v>
      </x:c>
      <x:c r="K34" s="830" t="n">
        <x:v>1</x:v>
      </x:c>
      <x:c r="L34" s="830" t="n">
        <x:f>L33+K34</x:f>
        <x:v>13</x:v>
      </x:c>
      <x:c r="M34" s="830" t="n">
        <x:v>0</x:v>
      </x:c>
      <x:c r="N34" s="830" t="n">
        <x:v>0</x:v>
      </x:c>
      <x:c r="O34" s="830" t="n">
        <x:v>0</x:v>
      </x:c>
      <x:c r="P34" s="861" t="str">
        <x:v>첫 Breach 해결, 선언 완료</x:v>
      </x:c>
      <x:c r="Q34" s="825"/>
      <x:c r="R34" s="825"/>
      <x:c r="S34" s="825"/>
      <x:c r="T34" s="825"/>
      <x:c r="U34" s="825"/>
      <x:c r="V34" s="825"/>
      <x:c r="W34" s="825"/>
      <x:c r="X34" s="825"/>
      <x:c r="Y34" s="825"/>
      <x:c r="Z34" s="825"/>
    </x:row>
    <x:row r="35" ht="21.600000381469727" hidden="0" customHeight="1">
      <x:c r="A35" s="827" t="n">
        <x:v>16</x:v>
      </x:c>
      <x:c r="B35" s="825" t="str">
        <x:v>상태보고 / 미래반응 / 수리</x:v>
      </x:c>
      <x:c r="C35" s="830" t="n">
        <x:v>5</x:v>
      </x:c>
      <x:c r="D35" s="830" t="n">
        <x:v>4</x:v>
      </x:c>
      <x:c r="E35" s="830" t="n">
        <x:f>C35+D35</x:f>
        <x:v>9</x:v>
      </x:c>
      <x:c r="F35" s="830" t="n">
        <x:f>14-E35</x:f>
        <x:v>5</x:v>
      </x:c>
      <x:c r="G35" s="830" t="n">
        <x:f>MIN(5,I34+1)</x:f>
        <x:v>5</x:v>
      </x:c>
      <x:c r="H35" s="830" t="n">
        <x:v>0</x:v>
      </x:c>
      <x:c r="I35" s="830" t="n">
        <x:f>MAX(0,G35-H35)</x:f>
        <x:v>5</x:v>
      </x:c>
      <x:c r="J35" s="830" t="n">
        <x:v>0</x:v>
      </x:c>
      <x:c r="K35" s="830" t="n">
        <x:v>1</x:v>
      </x:c>
      <x:c r="L35" s="830" t="n">
        <x:f>L34+K35</x:f>
        <x:v>14</x:v>
      </x:c>
      <x:c r="M35" s="830" t="n">
        <x:v>0</x:v>
      </x:c>
      <x:c r="N35" s="830" t="n">
        <x:v>0</x:v>
      </x:c>
      <x:c r="O35" s="830" t="n">
        <x:v>0</x:v>
      </x:c>
      <x:c r="P35" s="861" t="str">
        <x:v>생존 루프</x:v>
      </x:c>
      <x:c r="Q35" s="825"/>
      <x:c r="R35" s="825"/>
      <x:c r="S35" s="825"/>
      <x:c r="T35" s="825"/>
      <x:c r="U35" s="825"/>
      <x:c r="V35" s="825"/>
      <x:c r="W35" s="825"/>
      <x:c r="X35" s="825"/>
      <x:c r="Y35" s="825"/>
      <x:c r="Z35" s="825"/>
    </x:row>
    <x:row r="36" ht="21.600000381469727" hidden="0" customHeight="1">
      <x:c r="A36" s="827" t="n">
        <x:v>17</x:v>
      </x:c>
      <x:c r="B36" s="825" t="str">
        <x:v>상황보고 / Character Final 1 / 수리</x:v>
      </x:c>
      <x:c r="C36" s="830" t="n">
        <x:v>4.5</x:v>
      </x:c>
      <x:c r="D36" s="830" t="n">
        <x:v>4</x:v>
      </x:c>
      <x:c r="E36" s="830" t="n">
        <x:f>C36+D36</x:f>
        <x:v>8.5</x:v>
      </x:c>
      <x:c r="F36" s="830" t="n">
        <x:f>14-E36</x:f>
        <x:v>5.5</x:v>
      </x:c>
      <x:c r="G36" s="830" t="n">
        <x:f>MIN(5,I35+1)</x:f>
        <x:v>5</x:v>
      </x:c>
      <x:c r="H36" s="830" t="n">
        <x:v>0</x:v>
      </x:c>
      <x:c r="I36" s="830" t="n">
        <x:f>MAX(0,G36-H36)</x:f>
        <x:v>5</x:v>
      </x:c>
      <x:c r="J36" s="830" t="n">
        <x:v>0</x:v>
      </x:c>
      <x:c r="K36" s="830" t="n">
        <x:v>1</x:v>
      </x:c>
      <x:c r="L36" s="830" t="n">
        <x:f>L35+K36</x:f>
        <x:v>15</x:v>
      </x:c>
      <x:c r="M36" s="830" t="n">
        <x:v>0</x:v>
      </x:c>
      <x:c r="N36" s="830" t="n">
        <x:v>0</x:v>
      </x:c>
      <x:c r="O36" s="830" t="n">
        <x:v>0</x:v>
      </x:c>
      <x:c r="P36" s="861" t="str">
        <x:v>지나 최종은 놓침 가능</x:v>
      </x:c>
      <x:c r="Q36" s="825"/>
      <x:c r="R36" s="825"/>
      <x:c r="S36" s="825"/>
      <x:c r="T36" s="825"/>
      <x:c r="U36" s="825"/>
      <x:c r="V36" s="825"/>
      <x:c r="W36" s="825"/>
      <x:c r="X36" s="825"/>
      <x:c r="Y36" s="825"/>
      <x:c r="Z36" s="825"/>
    </x:row>
    <x:row r="37" ht="21.600000381469727" hidden="0" customHeight="1">
      <x:c r="A37" s="827" t="n">
        <x:v>18</x:v>
      </x:c>
      <x:c r="B37" s="825" t="str">
        <x:v>상황보고 / Character 1 / 수리</x:v>
      </x:c>
      <x:c r="C37" s="830" t="n">
        <x:v>4.5</x:v>
      </x:c>
      <x:c r="D37" s="830" t="n">
        <x:v>4</x:v>
      </x:c>
      <x:c r="E37" s="830" t="n">
        <x:f>C37+D37</x:f>
        <x:v>8.5</x:v>
      </x:c>
      <x:c r="F37" s="830" t="n">
        <x:f>14-E37</x:f>
        <x:v>5.5</x:v>
      </x:c>
      <x:c r="G37" s="830" t="n">
        <x:f>MIN(5,I36+1)</x:f>
        <x:v>5</x:v>
      </x:c>
      <x:c r="H37" s="830" t="n">
        <x:v>0</x:v>
      </x:c>
      <x:c r="I37" s="830" t="n">
        <x:f>MAX(0,G37-H37)</x:f>
        <x:v>5</x:v>
      </x:c>
      <x:c r="J37" s="830" t="n">
        <x:v>0</x:v>
      </x:c>
      <x:c r="K37" s="830" t="n">
        <x:v>1</x:v>
      </x:c>
      <x:c r="L37" s="830" t="n">
        <x:f>L36+K37</x:f>
        <x:v>16</x:v>
      </x:c>
      <x:c r="M37" s="830" t="n">
        <x:v>0</x:v>
      </x:c>
      <x:c r="N37" s="830" t="n">
        <x:v>0</x:v>
      </x:c>
      <x:c r="O37" s="830" t="n">
        <x:v>0</x:v>
      </x:c>
      <x:c r="P37" s="861" t="str">
        <x:v>재점검 안 함 → Sustainability LOW</x:v>
      </x:c>
      <x:c r="Q37" s="825"/>
      <x:c r="R37" s="825"/>
      <x:c r="S37" s="825"/>
      <x:c r="T37" s="825"/>
      <x:c r="U37" s="825"/>
      <x:c r="V37" s="825"/>
      <x:c r="W37" s="825"/>
      <x:c r="X37" s="825"/>
      <x:c r="Y37" s="825"/>
      <x:c r="Z37" s="825"/>
    </x:row>
    <x:row r="38" ht="21.600000381469727" hidden="0" customHeight="1">
      <x:c r="A38" s="827" t="n">
        <x:v>19</x:v>
      </x:c>
      <x:c r="B38" s="825" t="str">
        <x:v>상황보고 / 페이 공연 / 수리</x:v>
      </x:c>
      <x:c r="C38" s="830" t="n">
        <x:v>3.5</x:v>
      </x:c>
      <x:c r="D38" s="830" t="n">
        <x:v>4</x:v>
      </x:c>
      <x:c r="E38" s="830" t="n">
        <x:f>C38+D38</x:f>
        <x:v>7.5</x:v>
      </x:c>
      <x:c r="F38" s="830" t="n">
        <x:f>14-E38</x:f>
        <x:v>6.5</x:v>
      </x:c>
      <x:c r="G38" s="830" t="n">
        <x:f>MIN(5,I37+1)</x:f>
        <x:v>5</x:v>
      </x:c>
      <x:c r="H38" s="830" t="n">
        <x:v>0</x:v>
      </x:c>
      <x:c r="I38" s="830" t="n">
        <x:f>MAX(0,G38-H38)</x:f>
        <x:v>5</x:v>
      </x:c>
      <x:c r="J38" s="830" t="n">
        <x:v>0</x:v>
      </x:c>
      <x:c r="K38" s="830" t="n">
        <x:v>1</x:v>
      </x:c>
      <x:c r="L38" s="830" t="n">
        <x:f>L37+K38</x:f>
        <x:v>17</x:v>
      </x:c>
      <x:c r="M38" s="830" t="n">
        <x:v>0</x:v>
      </x:c>
      <x:c r="N38" s="830" t="n">
        <x:v>0</x:v>
      </x:c>
      <x:c r="O38" s="830" t="n">
        <x:v>0</x:v>
      </x:c>
      <x:c r="P38" s="861" t="str">
        <x:v>페이 변화 가능</x:v>
      </x:c>
      <x:c r="Q38" s="825"/>
      <x:c r="R38" s="825"/>
      <x:c r="S38" s="825"/>
      <x:c r="T38" s="825"/>
      <x:c r="U38" s="825"/>
      <x:c r="V38" s="825"/>
      <x:c r="W38" s="825"/>
      <x:c r="X38" s="825"/>
      <x:c r="Y38" s="825"/>
      <x:c r="Z38" s="825"/>
    </x:row>
    <x:row r="39" ht="21.600000381469727" hidden="0" customHeight="1">
      <x:c r="A39" s="827" t="n">
        <x:v>20</x:v>
      </x:c>
      <x:c r="B39" s="825" t="str">
        <x:v>폭풍 약화 / 샘 최종 / 수리</x:v>
      </x:c>
      <x:c r="C39" s="830" t="n">
        <x:v>4.5</x:v>
      </x:c>
      <x:c r="D39" s="830" t="n">
        <x:v>3</x:v>
      </x:c>
      <x:c r="E39" s="830" t="n">
        <x:f>C39+D39</x:f>
        <x:v>7.5</x:v>
      </x:c>
      <x:c r="F39" s="830" t="n">
        <x:f>14-E39</x:f>
        <x:v>6.5</x:v>
      </x:c>
      <x:c r="G39" s="830" t="n">
        <x:f>MIN(5,I38+1)</x:f>
        <x:v>5</x:v>
      </x:c>
      <x:c r="H39" s="830" t="n">
        <x:v>0</x:v>
      </x:c>
      <x:c r="I39" s="830" t="n">
        <x:f>MAX(0,G39-H39)</x:f>
        <x:v>5</x:v>
      </x:c>
      <x:c r="J39" s="830" t="n">
        <x:v>0</x:v>
      </x:c>
      <x:c r="K39" s="830" t="n">
        <x:v>1</x:v>
      </x:c>
      <x:c r="L39" s="830" t="n">
        <x:f>L38+K39</x:f>
        <x:v>18</x:v>
      </x:c>
      <x:c r="M39" s="830" t="n">
        <x:v>0</x:v>
      </x:c>
      <x:c r="N39" s="830" t="n">
        <x:v>0</x:v>
      </x:c>
      <x:c r="O39" s="830" t="n">
        <x:v>0</x:v>
      </x:c>
      <x:c r="P39" s="861" t="str">
        <x:v>마지막 수리</x:v>
      </x:c>
      <x:c r="Q39" s="825"/>
      <x:c r="R39" s="825"/>
      <x:c r="S39" s="825"/>
      <x:c r="T39" s="825"/>
      <x:c r="U39" s="825"/>
      <x:c r="V39" s="825"/>
      <x:c r="W39" s="825"/>
      <x:c r="X39" s="825"/>
      <x:c r="Y39" s="825"/>
      <x:c r="Z39" s="825"/>
    </x:row>
    <x:row r="40" ht="32.400001525878906" hidden="0" customHeight="1">
      <x:c r="A40" s="827" t="n">
        <x:v>21</x:v>
      </x:c>
      <x:c r="B40" s="825" t="str">
        <x:v>폭풍 종료 / 상태 확인 / 마지막 대화</x:v>
      </x:c>
      <x:c r="C40" s="830" t="n">
        <x:v>5</x:v>
      </x:c>
      <x:c r="D40" s="830" t="n">
        <x:v>0</x:v>
      </x:c>
      <x:c r="E40" s="830" t="n">
        <x:f>C40+D40</x:f>
        <x:v>5</x:v>
      </x:c>
      <x:c r="F40" s="830" t="n">
        <x:f>14-E40</x:f>
        <x:v>9</x:v>
      </x:c>
      <x:c r="G40" s="830" t="n">
        <x:f>MIN(5,I39+1)</x:f>
        <x:v>5</x:v>
      </x:c>
      <x:c r="H40" s="830" t="n">
        <x:v>0</x:v>
      </x:c>
      <x:c r="I40" s="830" t="n">
        <x:f>MAX(0,G40-H40)</x:f>
        <x:v>5</x:v>
      </x:c>
      <x:c r="J40" s="830" t="n">
        <x:v>0</x:v>
      </x:c>
      <x:c r="K40" s="830" t="n">
        <x:v>0</x:v>
      </x:c>
      <x:c r="L40" s="830" t="n">
        <x:f>L39+K40</x:f>
        <x:v>18</x:v>
      </x:c>
      <x:c r="M40" s="830" t="n">
        <x:v>0</x:v>
      </x:c>
      <x:c r="N40" s="830" t="n">
        <x:v>0</x:v>
      </x:c>
      <x:c r="O40" s="830" t="n">
        <x:v>0</x:v>
      </x:c>
      <x:c r="P40" s="861" t="str">
        <x:v>Normal1 후보(ShipCondition 산식 대기)</x:v>
      </x:c>
      <x:c r="Q40" s="825"/>
      <x:c r="R40" s="825"/>
      <x:c r="S40" s="825"/>
      <x:c r="T40" s="825"/>
      <x:c r="U40" s="825"/>
      <x:c r="V40" s="825"/>
      <x:c r="W40" s="825"/>
      <x:c r="X40" s="825"/>
      <x:c r="Y40" s="825"/>
      <x:c r="Z40" s="825"/>
    </x:row>
    <x:row r="41" ht="86.4000015258789" hidden="0" customHeight="1">
      <x:c r="A41" s="837" t="str">
        <x:v>합계/검증</x:v>
      </x:c>
      <x:c r="B41" s="837"/>
      <x:c r="C41" s="840" t="n">
        <x:f>SUM(C20:C40)</x:f>
        <x:v>155</x:v>
      </x:c>
      <x:c r="D41" s="840" t="n">
        <x:f>SUM(D20:D40)</x:f>
        <x:v>23</x:v>
      </x:c>
      <x:c r="E41" s="840" t="n">
        <x:f>SUM(E20:E40)</x:f>
        <x:v>178</x:v>
      </x:c>
      <x:c r="F41" s="840" t="n">
        <x:f>SUM(F20:F40)</x:f>
        <x:v>116</x:v>
      </x:c>
      <x:c r="G41" s="840"/>
      <x:c r="H41" s="840" t="n">
        <x:f>SUM(H20:H40)</x:f>
        <x:v>3</x:v>
      </x:c>
      <x:c r="I41" s="840"/>
      <x:c r="J41" s="840" t="n">
        <x:f>SUM(J20:J40)</x:f>
        <x:v>6</x:v>
      </x:c>
      <x:c r="K41" s="840" t="n">
        <x:f>SUM(K20:K40)</x:f>
        <x:v>18</x:v>
      </x:c>
      <x:c r="L41" s="840" t="n">
        <x:f>MAX(L20:L40)</x:f>
        <x:v>18</x:v>
      </x:c>
      <x:c r="M41" s="840" t="n">
        <x:f>SUM(M20:M40)</x:f>
        <x:v>0</x:v>
      </x:c>
      <x:c r="N41" s="840" t="n">
        <x:f>SUM(N20:N40)</x:f>
        <x:v>0</x:v>
      </x:c>
      <x:c r="O41" s="840" t="n">
        <x:f>SUM(O20:O40)</x:f>
        <x:v>1</x:v>
      </x:c>
      <x:c r="P41" s="862" t="str">
        <x:v>시간 PASS / Will PASS(+1 수면 기준 재검증) / Sustainability LOW 의도. ShipCondition 산식 미정이라 Normal1 최종 판정은 PENDING.</x:v>
      </x:c>
      <x:c r="Q41" s="825"/>
      <x:c r="R41" s="825"/>
      <x:c r="S41" s="825"/>
      <x:c r="T41" s="825"/>
      <x:c r="U41" s="825"/>
      <x:c r="V41" s="825"/>
      <x:c r="W41" s="825"/>
      <x:c r="X41" s="825"/>
      <x:c r="Y41" s="825"/>
      <x:c r="Z41" s="825"/>
    </x:row>
    <x:row r="42" ht="15" hidden="0" customHeight="1">
      <x:c r="A42" s="825"/>
      <x:c r="B42" s="825"/>
      <x:c r="C42" s="825"/>
      <x:c r="D42" s="825"/>
      <x:c r="E42" s="825"/>
      <x:c r="F42" s="825"/>
      <x:c r="G42" s="825"/>
      <x:c r="H42" s="825"/>
      <x:c r="I42" s="825"/>
      <x:c r="J42" s="825"/>
      <x:c r="K42" s="825"/>
      <x:c r="L42" s="825"/>
      <x:c r="M42" s="825"/>
      <x:c r="N42" s="825"/>
      <x:c r="O42" s="825"/>
      <x:c r="P42" s="825"/>
      <x:c r="Q42" s="825"/>
      <x:c r="R42" s="825"/>
      <x:c r="S42" s="825"/>
      <x:c r="T42" s="825"/>
      <x:c r="U42" s="825"/>
      <x:c r="V42" s="825"/>
      <x:c r="W42" s="825"/>
      <x:c r="X42" s="825"/>
      <x:c r="Y42" s="825"/>
      <x:c r="Z42" s="825"/>
    </x:row>
    <x:row r="43" ht="15" hidden="0" customHeight="1">
      <x:c r="A43" s="825"/>
      <x:c r="B43" s="825"/>
      <x:c r="C43" s="825"/>
      <x:c r="D43" s="825"/>
      <x:c r="E43" s="825"/>
      <x:c r="F43" s="825"/>
      <x:c r="G43" s="825"/>
      <x:c r="H43" s="825"/>
      <x:c r="I43" s="825"/>
      <x:c r="J43" s="825"/>
      <x:c r="K43" s="825"/>
      <x:c r="L43" s="825"/>
      <x:c r="M43" s="825"/>
      <x:c r="N43" s="825"/>
      <x:c r="O43" s="825"/>
      <x:c r="P43" s="825"/>
      <x:c r="Q43" s="825"/>
      <x:c r="R43" s="825"/>
      <x:c r="S43" s="825"/>
      <x:c r="T43" s="825"/>
      <x:c r="U43" s="825"/>
      <x:c r="V43" s="825"/>
      <x:c r="W43" s="825"/>
      <x:c r="X43" s="825"/>
      <x:c r="Y43" s="825"/>
      <x:c r="Z43" s="825"/>
    </x:row>
    <x:row r="44" ht="26" hidden="0" customHeight="1">
      <x:c r="A44" s="852" t="str">
        <x:v>TRUE — 전원 출항 목표</x:v>
      </x:c>
      <x:c r="B44" s="852"/>
      <x:c r="C44" s="852"/>
      <x:c r="D44" s="852"/>
      <x:c r="E44" s="852"/>
      <x:c r="F44" s="852"/>
      <x:c r="G44" s="852"/>
      <x:c r="H44" s="852"/>
      <x:c r="I44" s="852"/>
      <x:c r="J44" s="852"/>
      <x:c r="K44" s="852"/>
      <x:c r="L44" s="852"/>
      <x:c r="M44" s="852"/>
      <x:c r="N44" s="852"/>
      <x:c r="O44" s="852"/>
      <x:c r="P44" s="852"/>
      <x:c r="Q44" s="852"/>
      <x:c r="R44" s="852"/>
      <x:c r="S44" s="852"/>
      <x:c r="T44" s="852"/>
      <x:c r="U44" s="852"/>
      <x:c r="V44" s="852"/>
      <x:c r="W44" s="852"/>
      <x:c r="X44" s="852"/>
      <x:c r="Y44" s="852"/>
      <x:c r="Z44" s="852"/>
    </x:row>
    <x:row r="45" ht="30" hidden="0" customHeight="1">
      <x:c r="A45" s="849" t="str">
        <x:v>Day</x:v>
      </x:c>
      <x:c r="B45" s="849" t="str">
        <x:v>선택한 주요 행동</x:v>
      </x:c>
      <x:c r="C45" s="849" t="str">
        <x:v>계획시간</x:v>
      </x:c>
      <x:c r="D45" s="849" t="str">
        <x:v>Emergency</x:v>
      </x:c>
      <x:c r="E45" s="849" t="str">
        <x:v>총시간</x:v>
      </x:c>
      <x:c r="F45" s="849" t="str">
        <x:v>자유시간</x:v>
      </x:c>
      <x:c r="G45" s="849" t="str">
        <x:v>Start Will</x:v>
      </x:c>
      <x:c r="H45" s="849" t="str">
        <x:v>Will 사용</x:v>
      </x:c>
      <x:c r="I45" s="849" t="str">
        <x:v>End Will</x:v>
      </x:c>
      <x:c r="J45" s="849" t="str">
        <x:v>성장 슬롯</x:v>
      </x:c>
      <x:c r="K45" s="849" t="str">
        <x:v>수리 +</x:v>
      </x:c>
      <x:c r="L45" s="849" t="str">
        <x:v>누적 수리</x:v>
      </x:c>
      <x:c r="M45" s="849" t="str">
        <x:v>오아시스 +</x:v>
      </x:c>
      <x:c r="N45" s="849" t="str">
        <x:v>거주지 +</x:v>
      </x:c>
      <x:c r="O45" s="849" t="str">
        <x:v>묘지 +</x:v>
      </x:c>
      <x:c r="P45" s="849" t="str">
        <x:v>핵심 Flag / 결과</x:v>
      </x:c>
      <x:c r="Q45" s="849"/>
      <x:c r="R45" s="849"/>
      <x:c r="S45" s="849"/>
      <x:c r="T45" s="849"/>
      <x:c r="U45" s="849"/>
      <x:c r="V45" s="849"/>
      <x:c r="W45" s="849"/>
      <x:c r="X45" s="849"/>
      <x:c r="Y45" s="849"/>
      <x:c r="Z45" s="849"/>
    </x:row>
    <x:row r="46" ht="21.600000381469727" hidden="0" customHeight="1">
      <x:c r="A46" s="827" t="n">
        <x:v>1</x:v>
      </x:c>
      <x:c r="B46" s="825" t="str">
        <x:v>Main / 벤자민 묘지 / 수송선 상태</x:v>
      </x:c>
      <x:c r="C46" s="830" t="n">
        <x:v>6</x:v>
      </x:c>
      <x:c r="D46" s="830" t="n">
        <x:v>0</x:v>
      </x:c>
      <x:c r="E46" s="830" t="n">
        <x:f>C46+D46</x:f>
        <x:v>6</x:v>
      </x:c>
      <x:c r="F46" s="830" t="n">
        <x:f>14-E46</x:f>
        <x:v>8</x:v>
      </x:c>
      <x:c r="G46" s="830" t="n">
        <x:v>5</x:v>
      </x:c>
      <x:c r="H46" s="830" t="n">
        <x:v>0</x:v>
      </x:c>
      <x:c r="I46" s="830" t="n">
        <x:f>MAX(0,G46-H46)</x:f>
        <x:v>5</x:v>
      </x:c>
      <x:c r="J46" s="830" t="n">
        <x:v>0</x:v>
      </x:c>
      <x:c r="K46" s="830" t="n">
        <x:v>0</x:v>
      </x:c>
      <x:c r="L46" s="830" t="n">
        <x:f>K46</x:f>
        <x:v>0</x:v>
      </x:c>
      <x:c r="M46" s="830" t="n">
        <x:v>0</x:v>
      </x:c>
      <x:c r="N46" s="830" t="n">
        <x:v>0</x:v>
      </x:c>
      <x:c r="O46" s="830" t="n">
        <x:v>0</x:v>
      </x:c>
      <x:c r="P46" s="861" t="str">
        <x:v>벤자민 Seed</x:v>
      </x:c>
      <x:c r="Q46" s="825"/>
      <x:c r="R46" s="825"/>
      <x:c r="S46" s="825"/>
      <x:c r="T46" s="825"/>
      <x:c r="U46" s="825"/>
      <x:c r="V46" s="825"/>
      <x:c r="W46" s="825"/>
      <x:c r="X46" s="825"/>
      <x:c r="Y46" s="825"/>
      <x:c r="Z46" s="825"/>
    </x:row>
    <x:row r="47" ht="32.400001525878906" hidden="0" customHeight="1">
      <x:c r="A47" s="827" t="n">
        <x:v>2</x:v>
      </x:c>
      <x:c r="B47" s="825" t="str">
        <x:v>재회 / 지나 / 디야 / 페이 일상 / 보리치 / 야간조</x:v>
      </x:c>
      <x:c r="C47" s="830" t="n">
        <x:v>11.5</x:v>
      </x:c>
      <x:c r="D47" s="830" t="n">
        <x:v>0</x:v>
      </x:c>
      <x:c r="E47" s="830" t="n">
        <x:f>C47+D47</x:f>
        <x:v>11.5</x:v>
      </x:c>
      <x:c r="F47" s="830" t="n">
        <x:f>14-E47</x:f>
        <x:v>2.5</x:v>
      </x:c>
      <x:c r="G47" s="830" t="n">
        <x:f>MIN(5,I46+1)</x:f>
        <x:v>5</x:v>
      </x:c>
      <x:c r="H47" s="830" t="n">
        <x:v>0</x:v>
      </x:c>
      <x:c r="I47" s="830" t="n">
        <x:f>MAX(0,G47-H47)</x:f>
        <x:v>5</x:v>
      </x:c>
      <x:c r="J47" s="830" t="n">
        <x:v>0</x:v>
      </x:c>
      <x:c r="K47" s="830" t="n">
        <x:v>0</x:v>
      </x:c>
      <x:c r="L47" s="830" t="n">
        <x:f>L46+K47</x:f>
        <x:v>0</x:v>
      </x:c>
      <x:c r="M47" s="830" t="n">
        <x:v>0</x:v>
      </x:c>
      <x:c r="N47" s="830" t="n">
        <x:v>0</x:v>
      </x:c>
      <x:c r="O47" s="830" t="n">
        <x:v>0</x:v>
      </x:c>
      <x:c r="P47" s="861" t="str">
        <x:v>6명 Seed 최대 확보</x:v>
      </x:c>
      <x:c r="Q47" s="825"/>
      <x:c r="R47" s="825"/>
      <x:c r="S47" s="825"/>
      <x:c r="T47" s="825"/>
      <x:c r="U47" s="825"/>
      <x:c r="V47" s="825"/>
      <x:c r="W47" s="825"/>
      <x:c r="X47" s="825"/>
      <x:c r="Y47" s="825"/>
      <x:c r="Z47" s="825"/>
    </x:row>
    <x:row r="48" ht="21.600000381469727" hidden="0" customHeight="1">
      <x:c r="A48" s="827" t="n">
        <x:v>3</x:v>
      </x:c>
      <x:c r="B48" s="825" t="str">
        <x:v>Main / 샘 / 보리치 / 수리×2</x:v>
      </x:c>
      <x:c r="C48" s="830" t="n">
        <x:v>12</x:v>
      </x:c>
      <x:c r="D48" s="830" t="n">
        <x:v>0</x:v>
      </x:c>
      <x:c r="E48" s="830" t="n">
        <x:f>C48+D48</x:f>
        <x:v>12</x:v>
      </x:c>
      <x:c r="F48" s="830" t="n">
        <x:f>14-E48</x:f>
        <x:v>2</x:v>
      </x:c>
      <x:c r="G48" s="830" t="n">
        <x:f>MIN(5,I47+1)</x:f>
        <x:v>5</x:v>
      </x:c>
      <x:c r="H48" s="830" t="n">
        <x:v>1</x:v>
      </x:c>
      <x:c r="I48" s="830" t="n">
        <x:f>MAX(0,G48-H48)</x:f>
        <x:v>4</x:v>
      </x:c>
      <x:c r="J48" s="830" t="n">
        <x:v>0</x:v>
      </x:c>
      <x:c r="K48" s="830" t="n">
        <x:v>2</x:v>
      </x:c>
      <x:c r="L48" s="830" t="n">
        <x:f>L47+K48</x:f>
        <x:v>2</x:v>
      </x:c>
      <x:c r="M48" s="830" t="n">
        <x:v>0</x:v>
      </x:c>
      <x:c r="N48" s="830" t="n">
        <x:v>0</x:v>
      </x:c>
      <x:c r="O48" s="830" t="n">
        <x:v>0</x:v>
      </x:c>
      <x:c r="P48" s="861" t="str">
        <x:v>샘·보리치 진행</x:v>
      </x:c>
      <x:c r="Q48" s="825"/>
      <x:c r="R48" s="825"/>
      <x:c r="S48" s="825"/>
      <x:c r="T48" s="825"/>
      <x:c r="U48" s="825"/>
      <x:c r="V48" s="825"/>
      <x:c r="W48" s="825"/>
      <x:c r="X48" s="825"/>
      <x:c r="Y48" s="825"/>
      <x:c r="Z48" s="825"/>
    </x:row>
    <x:row r="49" ht="32.400001525878906" hidden="0" customHeight="1">
      <x:c r="A49" s="827" t="n">
        <x:v>4</x:v>
      </x:c>
      <x:c r="B49" s="825" t="str">
        <x:v>Main / 지나 / 페이 음악꿈 / 수리×2 / 성장</x:v>
      </x:c>
      <x:c r="C49" s="830" t="n">
        <x:v>13</x:v>
      </x:c>
      <x:c r="D49" s="830" t="n">
        <x:v>0</x:v>
      </x:c>
      <x:c r="E49" s="830" t="n">
        <x:f>C49+D49</x:f>
        <x:v>13</x:v>
      </x:c>
      <x:c r="F49" s="830" t="n">
        <x:f>14-E49</x:f>
        <x:v>1</x:v>
      </x:c>
      <x:c r="G49" s="830" t="n">
        <x:f>MIN(5,I48+1)</x:f>
        <x:v>5</x:v>
      </x:c>
      <x:c r="H49" s="830" t="n">
        <x:v>0</x:v>
      </x:c>
      <x:c r="I49" s="830" t="n">
        <x:f>MAX(0,G49-H49)</x:f>
        <x:v>5</x:v>
      </x:c>
      <x:c r="J49" s="830" t="n">
        <x:v>1</x:v>
      </x:c>
      <x:c r="K49" s="830" t="n">
        <x:v>2</x:v>
      </x:c>
      <x:c r="L49" s="830" t="n">
        <x:f>L48+K49</x:f>
        <x:v>4</x:v>
      </x:c>
      <x:c r="M49" s="830" t="n">
        <x:v>0</x:v>
      </x:c>
      <x:c r="N49" s="830" t="n">
        <x:v>0</x:v>
      </x:c>
      <x:c r="O49" s="830" t="n">
        <x:v>0</x:v>
      </x:c>
      <x:c r="P49" s="861" t="str">
        <x:v>지나·페이 진행</x:v>
      </x:c>
      <x:c r="Q49" s="825"/>
      <x:c r="R49" s="825"/>
      <x:c r="S49" s="825"/>
      <x:c r="T49" s="825"/>
      <x:c r="U49" s="825"/>
      <x:c r="V49" s="825"/>
      <x:c r="W49" s="825"/>
      <x:c r="X49" s="825"/>
      <x:c r="Y49" s="825"/>
      <x:c r="Z49" s="825"/>
    </x:row>
    <x:row r="50" ht="32.400001525878906" hidden="0" customHeight="1">
      <x:c r="A50" s="827" t="n">
        <x:v>5</x:v>
      </x:c>
      <x:c r="B50" s="825" t="str">
        <x:v>Main / 디야 / 보리치 암시 / 벤자민 / 수리×2</x:v>
      </x:c>
      <x:c r="C50" s="830" t="n">
        <x:v>12</x:v>
      </x:c>
      <x:c r="D50" s="830" t="n">
        <x:v>0</x:v>
      </x:c>
      <x:c r="E50" s="830" t="n">
        <x:f>C50+D50</x:f>
        <x:v>12</x:v>
      </x:c>
      <x:c r="F50" s="830" t="n">
        <x:f>14-E50</x:f>
        <x:v>2</x:v>
      </x:c>
      <x:c r="G50" s="830" t="n">
        <x:f>MIN(5,I49+1)</x:f>
        <x:v>5</x:v>
      </x:c>
      <x:c r="H50" s="830" t="n">
        <x:v>0</x:v>
      </x:c>
      <x:c r="I50" s="830" t="n">
        <x:f>MAX(0,G50-H50)</x:f>
        <x:v>5</x:v>
      </x:c>
      <x:c r="J50" s="830" t="n">
        <x:v>0</x:v>
      </x:c>
      <x:c r="K50" s="830" t="n">
        <x:v>2</x:v>
      </x:c>
      <x:c r="L50" s="830" t="n">
        <x:f>L49+K50</x:f>
        <x:v>6</x:v>
      </x:c>
      <x:c r="M50" s="830" t="n">
        <x:v>0</x:v>
      </x:c>
      <x:c r="N50" s="830" t="n">
        <x:v>0</x:v>
      </x:c>
      <x:c r="O50" s="830" t="n">
        <x:v>0</x:v>
      </x:c>
      <x:c r="P50" s="861" t="str">
        <x:v>4인 아크 강화</x:v>
      </x:c>
      <x:c r="Q50" s="825"/>
      <x:c r="R50" s="825"/>
      <x:c r="S50" s="825"/>
      <x:c r="T50" s="825"/>
      <x:c r="U50" s="825"/>
      <x:c r="V50" s="825"/>
      <x:c r="W50" s="825"/>
      <x:c r="X50" s="825"/>
      <x:c r="Y50" s="825"/>
      <x:c r="Z50" s="825"/>
    </x:row>
    <x:row r="51" ht="21.600000381469727" hidden="0" customHeight="1">
      <x:c r="A51" s="827" t="n">
        <x:v>6</x:v>
      </x:c>
      <x:c r="B51" s="825" t="str">
        <x:v>Main / 샘 / Character 1 / 수리×2 / 성장</x:v>
      </x:c>
      <x:c r="C51" s="830" t="n">
        <x:v>13</x:v>
      </x:c>
      <x:c r="D51" s="830" t="n">
        <x:v>0</x:v>
      </x:c>
      <x:c r="E51" s="830" t="n">
        <x:f>C51+D51</x:f>
        <x:v>13</x:v>
      </x:c>
      <x:c r="F51" s="830" t="n">
        <x:f>14-E51</x:f>
        <x:v>1</x:v>
      </x:c>
      <x:c r="G51" s="830" t="n">
        <x:f>MIN(5,I50+1)</x:f>
        <x:v>5</x:v>
      </x:c>
      <x:c r="H51" s="830" t="n">
        <x:v>1</x:v>
      </x:c>
      <x:c r="I51" s="830" t="n">
        <x:f>MAX(0,G51-H51)</x:f>
        <x:v>4</x:v>
      </x:c>
      <x:c r="J51" s="830" t="n">
        <x:v>1</x:v>
      </x:c>
      <x:c r="K51" s="830" t="n">
        <x:v>2</x:v>
      </x:c>
      <x:c r="L51" s="830" t="n">
        <x:f>L50+K51</x:f>
        <x:v>8</x:v>
      </x:c>
      <x:c r="M51" s="830" t="n">
        <x:v>0</x:v>
      </x:c>
      <x:c r="N51" s="830" t="n">
        <x:v>0</x:v>
      </x:c>
      <x:c r="O51" s="830" t="n">
        <x:v>0</x:v>
      </x:c>
      <x:c r="P51" s="861" t="str">
        <x:v>샘 안정</x:v>
      </x:c>
      <x:c r="Q51" s="825"/>
      <x:c r="R51" s="825"/>
      <x:c r="S51" s="825"/>
      <x:c r="T51" s="825"/>
      <x:c r="U51" s="825"/>
      <x:c r="V51" s="825"/>
      <x:c r="W51" s="825"/>
      <x:c r="X51" s="825"/>
      <x:c r="Y51" s="825"/>
      <x:c r="Z51" s="825"/>
    </x:row>
    <x:row r="52" ht="21.600000381469727" hidden="0" customHeight="1">
      <x:c r="A52" s="827" t="n">
        <x:v>7</x:v>
      </x:c>
      <x:c r="B52" s="825" t="str">
        <x:v>공개 Event+준비 / 반응 / 샘 / 수리</x:v>
      </x:c>
      <x:c r="C52" s="830" t="n">
        <x:v>11</x:v>
      </x:c>
      <x:c r="D52" s="830" t="n">
        <x:v>0</x:v>
      </x:c>
      <x:c r="E52" s="830" t="n">
        <x:f>C52+D52</x:f>
        <x:v>11</x:v>
      </x:c>
      <x:c r="F52" s="830" t="n">
        <x:f>14-E52</x:f>
        <x:v>3</x:v>
      </x:c>
      <x:c r="G52" s="830" t="n">
        <x:f>MIN(5,I51+1)</x:f>
        <x:v>5</x:v>
      </x:c>
      <x:c r="H52" s="830" t="n">
        <x:v>1</x:v>
      </x:c>
      <x:c r="I52" s="830" t="n">
        <x:f>MAX(0,G52-H52)</x:f>
        <x:v>4</x:v>
      </x:c>
      <x:c r="J52" s="830" t="n">
        <x:v>0</x:v>
      </x:c>
      <x:c r="K52" s="830" t="n">
        <x:v>1</x:v>
      </x:c>
      <x:c r="L52" s="830" t="n">
        <x:f>L51+K52</x:f>
        <x:v>9</x:v>
      </x:c>
      <x:c r="M52" s="830" t="n">
        <x:v>0</x:v>
      </x:c>
      <x:c r="N52" s="830" t="n">
        <x:v>0</x:v>
      </x:c>
      <x:c r="O52" s="830" t="n">
        <x:v>0</x:v>
      </x:c>
      <x:c r="P52" s="861" t="str">
        <x:v>W1 Character 연결</x:v>
      </x:c>
      <x:c r="Q52" s="825"/>
      <x:c r="R52" s="825"/>
      <x:c r="S52" s="825"/>
      <x:c r="T52" s="825"/>
      <x:c r="U52" s="825"/>
      <x:c r="V52" s="825"/>
      <x:c r="W52" s="825"/>
      <x:c r="X52" s="825"/>
      <x:c r="Y52" s="825"/>
      <x:c r="Z52" s="825"/>
    </x:row>
    <x:row r="53" ht="43.20000076293945" hidden="0" customHeight="1">
      <x:c r="A53" s="827" t="n">
        <x:v>8</x:v>
      </x:c>
      <x:c r="B53" s="825" t="str">
        <x:v>샌드웜 / 보리치 과거 / 수리×2 / 거주지 보존 / 야간조</x:v>
      </x:c>
      <x:c r="C53" s="830" t="n">
        <x:v>14</x:v>
      </x:c>
      <x:c r="D53" s="830" t="n">
        <x:v>0</x:v>
      </x:c>
      <x:c r="E53" s="830" t="n">
        <x:f>C53+D53</x:f>
        <x:v>14</x:v>
      </x:c>
      <x:c r="F53" s="830" t="n">
        <x:f>14-E53</x:f>
        <x:v>0</x:v>
      </x:c>
      <x:c r="G53" s="830" t="n">
        <x:f>MIN(5,I52+1)</x:f>
        <x:v>5</x:v>
      </x:c>
      <x:c r="H53" s="830" t="n">
        <x:v>0</x:v>
      </x:c>
      <x:c r="I53" s="830" t="n">
        <x:f>MAX(0,G53-H53)</x:f>
        <x:v>5</x:v>
      </x:c>
      <x:c r="J53" s="830" t="n">
        <x:v>0</x:v>
      </x:c>
      <x:c r="K53" s="830" t="n">
        <x:v>2</x:v>
      </x:c>
      <x:c r="L53" s="830" t="n">
        <x:f>L52+K53</x:f>
        <x:v>11</x:v>
      </x:c>
      <x:c r="M53" s="830" t="n">
        <x:v>0</x:v>
      </x:c>
      <x:c r="N53" s="830" t="n">
        <x:v>1</x:v>
      </x:c>
      <x:c r="O53" s="830" t="n">
        <x:v>0</x:v>
      </x:c>
      <x:c r="P53" s="861" t="str">
        <x:v>거주지 보존 1</x:v>
      </x:c>
      <x:c r="Q53" s="825"/>
      <x:c r="R53" s="825"/>
      <x:c r="S53" s="825"/>
      <x:c r="T53" s="825"/>
      <x:c r="U53" s="825"/>
      <x:c r="V53" s="825"/>
      <x:c r="W53" s="825"/>
      <x:c r="X53" s="825"/>
      <x:c r="Y53" s="825"/>
      <x:c r="Z53" s="825"/>
    </x:row>
    <x:row r="54" ht="32.400001525878906" hidden="0" customHeight="1">
      <x:c r="A54" s="827" t="n">
        <x:v>9</x:v>
      </x:c>
      <x:c r="B54" s="825" t="str">
        <x:v>피난계획+시설점검 / 페이 W2 / 수리×2 / 거주지 보존</x:v>
      </x:c>
      <x:c r="C54" s="830" t="n">
        <x:v>13</x:v>
      </x:c>
      <x:c r="D54" s="830" t="n">
        <x:v>0</x:v>
      </x:c>
      <x:c r="E54" s="830" t="n">
        <x:f>C54+D54</x:f>
        <x:v>13</x:v>
      </x:c>
      <x:c r="F54" s="830" t="n">
        <x:f>14-E54</x:f>
        <x:v>1</x:v>
      </x:c>
      <x:c r="G54" s="830" t="n">
        <x:f>MIN(5,I53+1)</x:f>
        <x:v>5</x:v>
      </x:c>
      <x:c r="H54" s="830" t="n">
        <x:v>0</x:v>
      </x:c>
      <x:c r="I54" s="830" t="n">
        <x:f>MAX(0,G54-H54)</x:f>
        <x:v>5</x:v>
      </x:c>
      <x:c r="J54" s="830" t="n">
        <x:v>0</x:v>
      </x:c>
      <x:c r="K54" s="830" t="n">
        <x:v>2</x:v>
      </x:c>
      <x:c r="L54" s="830" t="n">
        <x:f>L53+K54</x:f>
        <x:v>13</x:v>
      </x:c>
      <x:c r="M54" s="830" t="n">
        <x:v>0</x:v>
      </x:c>
      <x:c r="N54" s="830" t="n">
        <x:v>1</x:v>
      </x:c>
      <x:c r="O54" s="830" t="n">
        <x:v>0</x:v>
      </x:c>
      <x:c r="P54" s="861" t="str">
        <x:v>거주지 보존 2 → 축제 Proxy</x:v>
      </x:c>
      <x:c r="Q54" s="825"/>
      <x:c r="R54" s="825"/>
      <x:c r="S54" s="825"/>
      <x:c r="T54" s="825"/>
      <x:c r="U54" s="825"/>
      <x:c r="V54" s="825"/>
      <x:c r="W54" s="825"/>
      <x:c r="X54" s="825"/>
      <x:c r="Y54" s="825"/>
      <x:c r="Z54" s="825"/>
    </x:row>
    <x:row r="55" ht="32.400001525878906" hidden="0" customHeight="1">
      <x:c r="A55" s="827" t="n">
        <x:v>10</x:v>
      </x:c>
      <x:c r="B55" s="825" t="str">
        <x:v>대피 / 미라 직접 수색·발견 / 지나 / 수리×2 / 벤자민</x:v>
      </x:c>
      <x:c r="C55" s="830" t="n">
        <x:v>11.5</x:v>
      </x:c>
      <x:c r="D55" s="830" t="n">
        <x:v>0</x:v>
      </x:c>
      <x:c r="E55" s="830" t="n">
        <x:f>C55+D55</x:f>
        <x:v>11.5</x:v>
      </x:c>
      <x:c r="F55" s="830" t="n">
        <x:f>14-E55</x:f>
        <x:v>2.5</x:v>
      </x:c>
      <x:c r="G55" s="830" t="n">
        <x:f>MIN(5,I54+1)</x:f>
        <x:v>5</x:v>
      </x:c>
      <x:c r="H55" s="830" t="n">
        <x:v>1</x:v>
      </x:c>
      <x:c r="I55" s="830" t="n">
        <x:f>MAX(0,G55-H55)</x:f>
        <x:v>4</x:v>
      </x:c>
      <x:c r="J55" s="830" t="n">
        <x:v>0</x:v>
      </x:c>
      <x:c r="K55" s="830" t="n">
        <x:v>2</x:v>
      </x:c>
      <x:c r="L55" s="830" t="n">
        <x:f>L54+K55</x:f>
        <x:v>15</x:v>
      </x:c>
      <x:c r="M55" s="830" t="n">
        <x:v>0</x:v>
      </x:c>
      <x:c r="N55" s="830" t="n">
        <x:v>0</x:v>
      </x:c>
      <x:c r="O55" s="830" t="n">
        <x:v>0</x:v>
      </x:c>
      <x:c r="P55" s="861" t="str">
        <x:v>미라 발견, 누적수리 15 도달</x:v>
      </x:c>
      <x:c r="Q55" s="825"/>
      <x:c r="R55" s="825"/>
      <x:c r="S55" s="825"/>
      <x:c r="T55" s="825"/>
      <x:c r="U55" s="825"/>
      <x:c r="V55" s="825"/>
      <x:c r="W55" s="825"/>
      <x:c r="X55" s="825"/>
      <x:c r="Y55" s="825"/>
      <x:c r="Z55" s="825"/>
    </x:row>
    <x:row r="56" ht="32.400001525878906" hidden="0" customHeight="1">
      <x:c r="A56" s="827" t="n">
        <x:v>11</x:v>
      </x:c>
      <x:c r="B56" s="825" t="str">
        <x:v>대피 / 어린이축제 / 디야 대면 A / 수리 / 성장</x:v>
      </x:c>
      <x:c r="C56" s="830" t="n">
        <x:v>10</x:v>
      </x:c>
      <x:c r="D56" s="830" t="n">
        <x:v>0</x:v>
      </x:c>
      <x:c r="E56" s="830" t="n">
        <x:f>C56+D56</x:f>
        <x:v>10</x:v>
      </x:c>
      <x:c r="F56" s="830" t="n">
        <x:f>14-E56</x:f>
        <x:v>4</x:v>
      </x:c>
      <x:c r="G56" s="830" t="n">
        <x:f>MIN(5,I55+1)</x:f>
        <x:v>5</x:v>
      </x:c>
      <x:c r="H56" s="830" t="n">
        <x:v>0</x:v>
      </x:c>
      <x:c r="I56" s="830" t="n">
        <x:f>MAX(0,G56-H56)</x:f>
        <x:v>5</x:v>
      </x:c>
      <x:c r="J56" s="830" t="n">
        <x:v>1</x:v>
      </x:c>
      <x:c r="K56" s="830" t="n">
        <x:v>1</x:v>
      </x:c>
      <x:c r="L56" s="830" t="n">
        <x:f>L55+K56</x:f>
        <x:v>16</x:v>
      </x:c>
      <x:c r="M56" s="830" t="n">
        <x:v>0</x:v>
      </x:c>
      <x:c r="N56" s="830" t="n">
        <x:v>0</x:v>
      </x:c>
      <x:c r="O56" s="830" t="n">
        <x:v>0</x:v>
      </x:c>
      <x:c r="P56" s="861" t="str">
        <x:v>디야 True 분기</x:v>
      </x:c>
      <x:c r="Q56" s="825"/>
      <x:c r="R56" s="825"/>
      <x:c r="S56" s="825"/>
      <x:c r="T56" s="825"/>
      <x:c r="U56" s="825"/>
      <x:c r="V56" s="825"/>
      <x:c r="W56" s="825"/>
      <x:c r="X56" s="825"/>
      <x:c r="Y56" s="825"/>
      <x:c r="Z56" s="825"/>
    </x:row>
    <x:row r="57" ht="32.400001525878906" hidden="0" customHeight="1">
      <x:c r="A57" s="827" t="n">
        <x:v>12</x:v>
      </x:c>
      <x:c r="B57" s="825" t="str">
        <x:v>생명유지 / 지나 과거 / 벤자민 전환 / 수리 / 야간조 / 성장</x:v>
      </x:c>
      <x:c r="C57" s="830" t="n">
        <x:v>10.5</x:v>
      </x:c>
      <x:c r="D57" s="830" t="n">
        <x:v>0</x:v>
      </x:c>
      <x:c r="E57" s="830" t="n">
        <x:f>C57+D57</x:f>
        <x:v>10.5</x:v>
      </x:c>
      <x:c r="F57" s="830" t="n">
        <x:f>14-E57</x:f>
        <x:v>3.5</x:v>
      </x:c>
      <x:c r="G57" s="830" t="n">
        <x:f>MIN(5,I56+1)</x:f>
        <x:v>5</x:v>
      </x:c>
      <x:c r="H57" s="830" t="n">
        <x:v>0</x:v>
      </x:c>
      <x:c r="I57" s="830" t="n">
        <x:f>MAX(0,G57-H57)</x:f>
        <x:v>5</x:v>
      </x:c>
      <x:c r="J57" s="830" t="n">
        <x:v>1</x:v>
      </x:c>
      <x:c r="K57" s="830" t="n">
        <x:v>1</x:v>
      </x:c>
      <x:c r="L57" s="830" t="n">
        <x:f>L56+K57</x:f>
        <x:v>17</x:v>
      </x:c>
      <x:c r="M57" s="830" t="n">
        <x:v>0</x:v>
      </x:c>
      <x:c r="N57" s="830" t="n">
        <x:v>0</x:v>
      </x:c>
      <x:c r="O57" s="830" t="n">
        <x:v>0</x:v>
      </x:c>
      <x:c r="P57" s="861" t="str">
        <x:v>벤자민 전환 Beat</x:v>
      </x:c>
      <x:c r="Q57" s="825"/>
      <x:c r="R57" s="825"/>
      <x:c r="S57" s="825"/>
      <x:c r="T57" s="825"/>
      <x:c r="U57" s="825"/>
      <x:c r="V57" s="825"/>
      <x:c r="W57" s="825"/>
      <x:c r="X57" s="825"/>
      <x:c r="Y57" s="825"/>
      <x:c r="Z57" s="825"/>
    </x:row>
    <x:row r="58" ht="21.600000381469727" hidden="0" customHeight="1">
      <x:c r="A58" s="827" t="n">
        <x:v>13</x:v>
      </x:c>
      <x:c r="B58" s="825" t="str">
        <x:v>최종준비 / 수리 / 벤자민 / 샘 / 성장</x:v>
      </x:c>
      <x:c r="C58" s="830" t="n">
        <x:v>9.5</x:v>
      </x:c>
      <x:c r="D58" s="830" t="n">
        <x:v>0</x:v>
      </x:c>
      <x:c r="E58" s="830" t="n">
        <x:f>C58+D58</x:f>
        <x:v>9.5</x:v>
      </x:c>
      <x:c r="F58" s="830" t="n">
        <x:f>14-E58</x:f>
        <x:v>4.5</x:v>
      </x:c>
      <x:c r="G58" s="830" t="n">
        <x:f>MIN(5,I57+1)</x:f>
        <x:v>5</x:v>
      </x:c>
      <x:c r="H58" s="830" t="n">
        <x:v>0</x:v>
      </x:c>
      <x:c r="I58" s="830" t="n">
        <x:f>MAX(0,G58-H58)</x:f>
        <x:v>5</x:v>
      </x:c>
      <x:c r="J58" s="830" t="n">
        <x:v>1</x:v>
      </x:c>
      <x:c r="K58" s="830" t="n">
        <x:v>1</x:v>
      </x:c>
      <x:c r="L58" s="830" t="n">
        <x:f>L57+K58</x:f>
        <x:v>18</x:v>
      </x:c>
      <x:c r="M58" s="830" t="n">
        <x:v>0</x:v>
      </x:c>
      <x:c r="N58" s="830" t="n">
        <x:v>0</x:v>
      </x:c>
      <x:c r="O58" s="830" t="n">
        <x:v>0</x:v>
      </x:c>
      <x:c r="P58" s="861" t="str">
        <x:v>샘 야간 비극</x:v>
      </x:c>
      <x:c r="Q58" s="825"/>
      <x:c r="R58" s="825"/>
      <x:c r="S58" s="825"/>
      <x:c r="T58" s="825"/>
      <x:c r="U58" s="825"/>
      <x:c r="V58" s="825"/>
      <x:c r="W58" s="825"/>
      <x:c r="X58" s="825"/>
      <x:c r="Y58" s="825"/>
      <x:c r="Z58" s="825"/>
    </x:row>
    <x:row r="59" ht="32.400001525878906" hidden="0" customHeight="1">
      <x:c r="A59" s="827" t="n">
        <x:v>14</x:v>
      </x:c>
      <x:c r="B59" s="825" t="str">
        <x:v>샘 후속+대피+봉쇄 / 수리 / 마지막 Character</x:v>
      </x:c>
      <x:c r="C59" s="830" t="n">
        <x:v>10</x:v>
      </x:c>
      <x:c r="D59" s="830" t="n">
        <x:v>0</x:v>
      </x:c>
      <x:c r="E59" s="830" t="n">
        <x:f>C59+D59</x:f>
        <x:v>10</x:v>
      </x:c>
      <x:c r="F59" s="830" t="n">
        <x:f>14-E59</x:f>
        <x:v>4</x:v>
      </x:c>
      <x:c r="G59" s="830" t="n">
        <x:f>MIN(5,I58+1)</x:f>
        <x:v>5</x:v>
      </x:c>
      <x:c r="H59" s="830" t="n">
        <x:v>0</x:v>
      </x:c>
      <x:c r="I59" s="830" t="n">
        <x:f>MAX(0,G59-H59)</x:f>
        <x:v>5</x:v>
      </x:c>
      <x:c r="J59" s="830" t="n">
        <x:v>0</x:v>
      </x:c>
      <x:c r="K59" s="830" t="n">
        <x:v>1</x:v>
      </x:c>
      <x:c r="L59" s="830" t="n">
        <x:f>L58+K59</x:f>
        <x:v>19</x:v>
      </x:c>
      <x:c r="M59" s="830" t="n">
        <x:v>0</x:v>
      </x:c>
      <x:c r="N59" s="830" t="n">
        <x:v>0</x:v>
      </x:c>
      <x:c r="O59" s="830" t="n">
        <x:v>0</x:v>
      </x:c>
      <x:c r="P59" s="861" t="str">
        <x:v>W2 완료</x:v>
      </x:c>
      <x:c r="Q59" s="825"/>
      <x:c r="R59" s="825"/>
      <x:c r="S59" s="825"/>
      <x:c r="T59" s="825"/>
      <x:c r="U59" s="825"/>
      <x:c r="V59" s="825"/>
      <x:c r="W59" s="825"/>
      <x:c r="X59" s="825"/>
      <x:c r="Y59" s="825"/>
      <x:c r="Z59" s="825"/>
    </x:row>
    <x:row r="60" ht="21.600000381469727" hidden="0" customHeight="1">
      <x:c r="A60" s="827" t="n">
        <x:v>15</x:v>
      </x:c>
      <x:c r="B60" s="825" t="str">
        <x:v>브리핑 / 수리 / Character</x:v>
      </x:c>
      <x:c r="C60" s="830" t="n">
        <x:v>5.5</x:v>
      </x:c>
      <x:c r="D60" s="830" t="n">
        <x:v>4</x:v>
      </x:c>
      <x:c r="E60" s="830" t="n">
        <x:f>C60+D60</x:f>
        <x:v>9.5</x:v>
      </x:c>
      <x:c r="F60" s="830" t="n">
        <x:f>14-E60</x:f>
        <x:v>4.5</x:v>
      </x:c>
      <x:c r="G60" s="830" t="n">
        <x:f>MIN(5,I59+1)</x:f>
        <x:v>5</x:v>
      </x:c>
      <x:c r="H60" s="830" t="n">
        <x:v>0</x:v>
      </x:c>
      <x:c r="I60" s="830" t="n">
        <x:f>MAX(0,G60-H60)</x:f>
        <x:v>5</x:v>
      </x:c>
      <x:c r="J60" s="830" t="n">
        <x:v>0</x:v>
      </x:c>
      <x:c r="K60" s="830" t="n">
        <x:v>1</x:v>
      </x:c>
      <x:c r="L60" s="830" t="n">
        <x:f>L59+K60</x:f>
        <x:v>20</x:v>
      </x:c>
      <x:c r="M60" s="830" t="n">
        <x:v>0</x:v>
      </x:c>
      <x:c r="N60" s="830" t="n">
        <x:v>0</x:v>
      </x:c>
      <x:c r="O60" s="830" t="n">
        <x:v>0</x:v>
      </x:c>
      <x:c r="P60" s="861" t="str">
        <x:v>전원 생존 유지</x:v>
      </x:c>
      <x:c r="Q60" s="825"/>
      <x:c r="R60" s="825"/>
      <x:c r="S60" s="825"/>
      <x:c r="T60" s="825"/>
      <x:c r="U60" s="825"/>
      <x:c r="V60" s="825"/>
      <x:c r="W60" s="825"/>
      <x:c r="X60" s="825"/>
      <x:c r="Y60" s="825"/>
      <x:c r="Z60" s="825"/>
    </x:row>
    <x:row r="61" ht="21.600000381469727" hidden="0" customHeight="1">
      <x:c r="A61" s="827" t="n">
        <x:v>16</x:v>
      </x:c>
      <x:c r="B61" s="825" t="str">
        <x:v>상태보고 / 샘 부담 / Character / 수리</x:v>
      </x:c>
      <x:c r="C61" s="830" t="n">
        <x:v>7</x:v>
      </x:c>
      <x:c r="D61" s="830" t="n">
        <x:v>4</x:v>
      </x:c>
      <x:c r="E61" s="830" t="n">
        <x:f>C61+D61</x:f>
        <x:v>11</x:v>
      </x:c>
      <x:c r="F61" s="830" t="n">
        <x:f>14-E61</x:f>
        <x:v>3</x:v>
      </x:c>
      <x:c r="G61" s="830" t="n">
        <x:f>MIN(5,I60+1)</x:f>
        <x:v>5</x:v>
      </x:c>
      <x:c r="H61" s="830" t="n">
        <x:v>1</x:v>
      </x:c>
      <x:c r="I61" s="830" t="n">
        <x:f>MAX(0,G61-H61)</x:f>
        <x:v>4</x:v>
      </x:c>
      <x:c r="J61" s="830" t="n">
        <x:v>0</x:v>
      </x:c>
      <x:c r="K61" s="830" t="n">
        <x:v>1</x:v>
      </x:c>
      <x:c r="L61" s="830" t="n">
        <x:f>L60+K61</x:f>
        <x:v>21</x:v>
      </x:c>
      <x:c r="M61" s="830" t="n">
        <x:v>0</x:v>
      </x:c>
      <x:c r="N61" s="830" t="n">
        <x:v>0</x:v>
      </x:c>
      <x:c r="O61" s="830" t="n">
        <x:v>0</x:v>
      </x:c>
      <x:c r="P61" s="861" t="str">
        <x:v>샘 붕괴 예방</x:v>
      </x:c>
      <x:c r="Q61" s="825"/>
      <x:c r="R61" s="825"/>
      <x:c r="S61" s="825"/>
      <x:c r="T61" s="825"/>
      <x:c r="U61" s="825"/>
      <x:c r="V61" s="825"/>
      <x:c r="W61" s="825"/>
      <x:c r="X61" s="825"/>
      <x:c r="Y61" s="825"/>
      <x:c r="Z61" s="825"/>
    </x:row>
    <x:row r="62" ht="32.400001525878906" hidden="0" customHeight="1">
      <x:c r="A62" s="827" t="n">
        <x:v>17</x:v>
      </x:c>
      <x:c r="B62" s="825" t="str">
        <x:v>상황보고 / 지나 최종 / 다른 Final / 수리</x:v>
      </x:c>
      <x:c r="C62" s="830" t="n">
        <x:v>6.5</x:v>
      </x:c>
      <x:c r="D62" s="830" t="n">
        <x:v>4</x:v>
      </x:c>
      <x:c r="E62" s="830" t="n">
        <x:f>C62+D62</x:f>
        <x:v>10.5</x:v>
      </x:c>
      <x:c r="F62" s="830" t="n">
        <x:f>14-E62</x:f>
        <x:v>3.5</x:v>
      </x:c>
      <x:c r="G62" s="830" t="n">
        <x:f>MIN(5,I61+1)</x:f>
        <x:v>5</x:v>
      </x:c>
      <x:c r="H62" s="830" t="n">
        <x:v>0</x:v>
      </x:c>
      <x:c r="I62" s="830" t="n">
        <x:f>MAX(0,G62-H62)</x:f>
        <x:v>5</x:v>
      </x:c>
      <x:c r="J62" s="830" t="n">
        <x:v>0</x:v>
      </x:c>
      <x:c r="K62" s="830" t="n">
        <x:v>1</x:v>
      </x:c>
      <x:c r="L62" s="830" t="n">
        <x:f>L61+K62</x:f>
        <x:v>22</x:v>
      </x:c>
      <x:c r="M62" s="830" t="n">
        <x:v>0</x:v>
      </x:c>
      <x:c r="N62" s="830" t="n">
        <x:v>0</x:v>
      </x:c>
      <x:c r="O62" s="830" t="n">
        <x:v>0</x:v>
      </x:c>
      <x:c r="P62" s="861" t="str">
        <x:v>지나→LEAVE/UNDECIDED 가능</x:v>
      </x:c>
      <x:c r="Q62" s="825"/>
      <x:c r="R62" s="825"/>
      <x:c r="S62" s="825"/>
      <x:c r="T62" s="825"/>
      <x:c r="U62" s="825"/>
      <x:c r="V62" s="825"/>
      <x:c r="W62" s="825"/>
      <x:c r="X62" s="825"/>
      <x:c r="Y62" s="825"/>
      <x:c r="Z62" s="825"/>
    </x:row>
    <x:row r="63" ht="32.400001525878906" hidden="0" customHeight="1">
      <x:c r="A63" s="827" t="n">
        <x:v>18</x:v>
      </x:c>
      <x:c r="B63" s="825" t="str">
        <x:v>상황보고 / 디야 지구뜨개질 / Final 1 / 수리</x:v>
      </x:c>
      <x:c r="C63" s="830" t="n">
        <x:v>6</x:v>
      </x:c>
      <x:c r="D63" s="830" t="n">
        <x:v>4</x:v>
      </x:c>
      <x:c r="E63" s="830" t="n">
        <x:f>C63+D63</x:f>
        <x:v>10</x:v>
      </x:c>
      <x:c r="F63" s="830" t="n">
        <x:f>14-E63</x:f>
        <x:v>4</x:v>
      </x:c>
      <x:c r="G63" s="830" t="n">
        <x:f>MIN(5,I62+1)</x:f>
        <x:v>5</x:v>
      </x:c>
      <x:c r="H63" s="830" t="n">
        <x:v>0</x:v>
      </x:c>
      <x:c r="I63" s="830" t="n">
        <x:f>MAX(0,G63-H63)</x:f>
        <x:v>5</x:v>
      </x:c>
      <x:c r="J63" s="830" t="n">
        <x:v>0</x:v>
      </x:c>
      <x:c r="K63" s="830" t="n">
        <x:v>1</x:v>
      </x:c>
      <x:c r="L63" s="830" t="n">
        <x:f>L62+K63</x:f>
        <x:v>23</x:v>
      </x:c>
      <x:c r="M63" s="830" t="n">
        <x:v>0</x:v>
      </x:c>
      <x:c r="N63" s="830" t="n">
        <x:v>0</x:v>
      </x:c>
      <x:c r="O63" s="830" t="n">
        <x:v>0</x:v>
      </x:c>
      <x:c r="P63" s="861" t="str">
        <x:v>디야→LEAVE/UNDECIDED 가능</x:v>
      </x:c>
      <x:c r="Q63" s="825"/>
      <x:c r="R63" s="825"/>
      <x:c r="S63" s="825"/>
      <x:c r="T63" s="825"/>
      <x:c r="U63" s="825"/>
      <x:c r="V63" s="825"/>
      <x:c r="W63" s="825"/>
      <x:c r="X63" s="825"/>
      <x:c r="Y63" s="825"/>
      <x:c r="Z63" s="825"/>
    </x:row>
    <x:row r="64" ht="32.400001525878906" hidden="0" customHeight="1">
      <x:c r="A64" s="827" t="n">
        <x:v>19</x:v>
      </x:c>
      <x:c r="B64" s="825" t="str">
        <x:v>상황보고 / 페이 공연 / 벤자민 Final / 수리</x:v>
      </x:c>
      <x:c r="C64" s="830" t="n">
        <x:v>5.5</x:v>
      </x:c>
      <x:c r="D64" s="830" t="n">
        <x:v>4</x:v>
      </x:c>
      <x:c r="E64" s="830" t="n">
        <x:f>C64+D64</x:f>
        <x:v>9.5</x:v>
      </x:c>
      <x:c r="F64" s="830" t="n">
        <x:f>14-E64</x:f>
        <x:v>4.5</x:v>
      </x:c>
      <x:c r="G64" s="830" t="n">
        <x:f>MIN(5,I63+1)</x:f>
        <x:v>5</x:v>
      </x:c>
      <x:c r="H64" s="830" t="n">
        <x:v>0</x:v>
      </x:c>
      <x:c r="I64" s="830" t="n">
        <x:f>MAX(0,G64-H64)</x:f>
        <x:v>5</x:v>
      </x:c>
      <x:c r="J64" s="830" t="n">
        <x:v>0</x:v>
      </x:c>
      <x:c r="K64" s="830" t="n">
        <x:v>1</x:v>
      </x:c>
      <x:c r="L64" s="830" t="n">
        <x:f>L63+K64</x:f>
        <x:v>24</x:v>
      </x:c>
      <x:c r="M64" s="830" t="n">
        <x:v>0</x:v>
      </x:c>
      <x:c r="N64" s="830" t="n">
        <x:v>0</x:v>
      </x:c>
      <x:c r="O64" s="830" t="n">
        <x:v>0</x:v>
      </x:c>
      <x:c r="P64" s="861" t="str">
        <x:v>페이·벤자민 LEAVE 목표</x:v>
      </x:c>
      <x:c r="Q64" s="825"/>
      <x:c r="R64" s="825"/>
      <x:c r="S64" s="825"/>
      <x:c r="T64" s="825"/>
      <x:c r="U64" s="825"/>
      <x:c r="V64" s="825"/>
      <x:c r="W64" s="825"/>
      <x:c r="X64" s="825"/>
      <x:c r="Y64" s="825"/>
      <x:c r="Z64" s="825"/>
    </x:row>
    <x:row r="65" ht="21.600000381469727" hidden="0" customHeight="1">
      <x:c r="A65" s="827" t="n">
        <x:v>20</x:v>
      </x:c>
      <x:c r="B65" s="825" t="str">
        <x:v>폭풍약화 / 샘 Final / 보리치 Final / 수리</x:v>
      </x:c>
      <x:c r="C65" s="830" t="n">
        <x:v>6.5</x:v>
      </x:c>
      <x:c r="D65" s="830" t="n">
        <x:v>3</x:v>
      </x:c>
      <x:c r="E65" s="830" t="n">
        <x:f>C65+D65</x:f>
        <x:v>9.5</x:v>
      </x:c>
      <x:c r="F65" s="830" t="n">
        <x:f>14-E65</x:f>
        <x:v>4.5</x:v>
      </x:c>
      <x:c r="G65" s="830" t="n">
        <x:f>MIN(5,I64+1)</x:f>
        <x:v>5</x:v>
      </x:c>
      <x:c r="H65" s="830" t="n">
        <x:v>0</x:v>
      </x:c>
      <x:c r="I65" s="830" t="n">
        <x:f>MAX(0,G65-H65)</x:f>
        <x:v>5</x:v>
      </x:c>
      <x:c r="J65" s="830" t="n">
        <x:v>0</x:v>
      </x:c>
      <x:c r="K65" s="830" t="n">
        <x:v>1</x:v>
      </x:c>
      <x:c r="L65" s="830" t="n">
        <x:f>L64+K65</x:f>
        <x:v>25</x:v>
      </x:c>
      <x:c r="M65" s="830" t="n">
        <x:v>0</x:v>
      </x:c>
      <x:c r="N65" s="830" t="n">
        <x:v>0</x:v>
      </x:c>
      <x:c r="O65" s="830" t="n">
        <x:v>0</x:v>
      </x:c>
      <x:c r="P65" s="861" t="str">
        <x:v>샘·보리치 LEAVE 유지</x:v>
      </x:c>
      <x:c r="Q65" s="825"/>
      <x:c r="R65" s="825"/>
      <x:c r="S65" s="825"/>
      <x:c r="T65" s="825"/>
      <x:c r="U65" s="825"/>
      <x:c r="V65" s="825"/>
      <x:c r="W65" s="825"/>
      <x:c r="X65" s="825"/>
      <x:c r="Y65" s="825"/>
      <x:c r="Z65" s="825"/>
    </x:row>
    <x:row r="66" ht="21.600000381469727" hidden="0" customHeight="1">
      <x:c r="A66" s="827" t="n">
        <x:v>21</x:v>
      </x:c>
      <x:c r="B66" s="825" t="str">
        <x:v>상태확인 / 생존자 마지막 대화 / Ending</x:v>
      </x:c>
      <x:c r="C66" s="830" t="n">
        <x:v>5</x:v>
      </x:c>
      <x:c r="D66" s="830" t="n">
        <x:v>0</x:v>
      </x:c>
      <x:c r="E66" s="830" t="n">
        <x:f>C66+D66</x:f>
        <x:v>5</x:v>
      </x:c>
      <x:c r="F66" s="830" t="n">
        <x:f>14-E66</x:f>
        <x:v>9</x:v>
      </x:c>
      <x:c r="G66" s="830" t="n">
        <x:f>MIN(5,I65+1)</x:f>
        <x:v>5</x:v>
      </x:c>
      <x:c r="H66" s="830" t="n">
        <x:v>0</x:v>
      </x:c>
      <x:c r="I66" s="830" t="n">
        <x:f>MAX(0,G66-H66)</x:f>
        <x:v>5</x:v>
      </x:c>
      <x:c r="J66" s="830" t="n">
        <x:v>0</x:v>
      </x:c>
      <x:c r="K66" s="830" t="n">
        <x:v>0</x:v>
      </x:c>
      <x:c r="L66" s="830" t="n">
        <x:f>L65+K66</x:f>
        <x:v>25</x:v>
      </x:c>
      <x:c r="M66" s="830" t="n">
        <x:v>0</x:v>
      </x:c>
      <x:c r="N66" s="830" t="n">
        <x:v>0</x:v>
      </x:c>
      <x:c r="O66" s="830" t="n">
        <x:v>0</x:v>
      </x:c>
      <x:c r="P66" s="861" t="str">
        <x:v>True 조건 서사축 완료</x:v>
      </x:c>
      <x:c r="Q66" s="825"/>
      <x:c r="R66" s="825"/>
      <x:c r="S66" s="825"/>
      <x:c r="T66" s="825"/>
      <x:c r="U66" s="825"/>
      <x:c r="V66" s="825"/>
      <x:c r="W66" s="825"/>
      <x:c r="X66" s="825"/>
      <x:c r="Y66" s="825"/>
      <x:c r="Z66" s="825"/>
    </x:row>
    <x:row r="67" ht="75.5999984741211" hidden="0" customHeight="1">
      <x:c r="A67" s="837" t="str">
        <x:v>합계/검증</x:v>
      </x:c>
      <x:c r="B67" s="837"/>
      <x:c r="C67" s="840" t="n">
        <x:f>SUM(C46:C66)</x:f>
        <x:v>199</x:v>
      </x:c>
      <x:c r="D67" s="840" t="n">
        <x:f>SUM(D46:D66)</x:f>
        <x:v>23</x:v>
      </x:c>
      <x:c r="E67" s="840" t="n">
        <x:f>SUM(E46:E66)</x:f>
        <x:v>222</x:v>
      </x:c>
      <x:c r="F67" s="840" t="n">
        <x:f>SUM(F46:F66)</x:f>
        <x:v>72</x:v>
      </x:c>
      <x:c r="G67" s="840"/>
      <x:c r="H67" s="840" t="n">
        <x:f>SUM(H46:H66)</x:f>
        <x:v>5</x:v>
      </x:c>
      <x:c r="I67" s="840"/>
      <x:c r="J67" s="840" t="n">
        <x:f>SUM(J46:J66)</x:f>
        <x:v>5</x:v>
      </x:c>
      <x:c r="K67" s="840" t="n">
        <x:f>SUM(K46:K66)</x:f>
        <x:v>25</x:v>
      </x:c>
      <x:c r="L67" s="840" t="n">
        <x:f>MAX(L46:L66)</x:f>
        <x:v>25</x:v>
      </x:c>
      <x:c r="M67" s="840" t="n">
        <x:f>SUM(M46:M66)</x:f>
        <x:v>0</x:v>
      </x:c>
      <x:c r="N67" s="840" t="n">
        <x:f>SUM(N46:N66)</x:f>
        <x:v>2</x:v>
      </x:c>
      <x:c r="O67" s="840" t="n">
        <x:f>SUM(O46:O66)</x:f>
        <x:v>0</x:v>
      </x:c>
      <x:c r="P67" s="862" t="str">
        <x:v>시간 PASS / Will PASS(+1 수면 기준 재검증) / True 핵심 서사 Flag 확보. 전원 생존·ShipCondition·Affinity/Stat 수치식은 최종 PENDING.</x:v>
      </x:c>
      <x:c r="Q67" s="825"/>
      <x:c r="R67" s="825"/>
      <x:c r="S67" s="825"/>
      <x:c r="T67" s="825"/>
      <x:c r="U67" s="825"/>
      <x:c r="V67" s="825"/>
      <x:c r="W67" s="825"/>
      <x:c r="X67" s="825"/>
      <x:c r="Y67" s="825"/>
      <x:c r="Z67" s="825"/>
    </x:row>
    <x:row r="68" ht="15" hidden="0" customHeight="1">
      <x:c r="A68" s="825"/>
      <x:c r="B68" s="825"/>
      <x:c r="C68" s="825"/>
      <x:c r="D68" s="825"/>
      <x:c r="E68" s="825"/>
      <x:c r="F68" s="825"/>
      <x:c r="G68" s="825"/>
      <x:c r="H68" s="825"/>
      <x:c r="I68" s="825"/>
      <x:c r="J68" s="825"/>
      <x:c r="K68" s="825"/>
      <x:c r="L68" s="825"/>
      <x:c r="M68" s="825"/>
      <x:c r="N68" s="825"/>
      <x:c r="O68" s="825"/>
      <x:c r="P68" s="825"/>
      <x:c r="Q68" s="825"/>
      <x:c r="R68" s="825"/>
      <x:c r="S68" s="825"/>
      <x:c r="T68" s="825"/>
      <x:c r="U68" s="825"/>
      <x:c r="V68" s="825"/>
      <x:c r="W68" s="825"/>
      <x:c r="X68" s="825"/>
      <x:c r="Y68" s="825"/>
      <x:c r="Z68" s="825"/>
    </x:row>
    <x:row r="69" ht="15" hidden="0" customHeight="1">
      <x:c r="A69" s="825"/>
      <x:c r="B69" s="825"/>
      <x:c r="C69" s="825"/>
      <x:c r="D69" s="825"/>
      <x:c r="E69" s="825"/>
      <x:c r="F69" s="825"/>
      <x:c r="G69" s="825"/>
      <x:c r="H69" s="825"/>
      <x:c r="I69" s="825"/>
      <x:c r="J69" s="825"/>
      <x:c r="K69" s="825"/>
      <x:c r="L69" s="825"/>
      <x:c r="M69" s="825"/>
      <x:c r="N69" s="825"/>
      <x:c r="O69" s="825"/>
      <x:c r="P69" s="825"/>
      <x:c r="Q69" s="825"/>
      <x:c r="R69" s="825"/>
      <x:c r="S69" s="825"/>
      <x:c r="T69" s="825"/>
      <x:c r="U69" s="825"/>
      <x:c r="V69" s="825"/>
      <x:c r="W69" s="825"/>
      <x:c r="X69" s="825"/>
      <x:c r="Y69" s="825"/>
      <x:c r="Z69" s="825"/>
    </x:row>
    <x:row r="70" ht="26" hidden="0" customHeight="1">
      <x:c r="A70" s="852" t="str">
        <x:v>HIDDEN — 능동적 거주 목표</x:v>
      </x:c>
      <x:c r="B70" s="852"/>
      <x:c r="C70" s="852"/>
      <x:c r="D70" s="852"/>
      <x:c r="E70" s="852"/>
      <x:c r="F70" s="852"/>
      <x:c r="G70" s="852"/>
      <x:c r="H70" s="852"/>
      <x:c r="I70" s="852"/>
      <x:c r="J70" s="852"/>
      <x:c r="K70" s="852"/>
      <x:c r="L70" s="852"/>
      <x:c r="M70" s="852"/>
      <x:c r="N70" s="852"/>
      <x:c r="O70" s="852"/>
      <x:c r="P70" s="852"/>
      <x:c r="Q70" s="852"/>
      <x:c r="R70" s="852"/>
      <x:c r="S70" s="852"/>
      <x:c r="T70" s="852"/>
      <x:c r="U70" s="852"/>
      <x:c r="V70" s="852"/>
      <x:c r="W70" s="852"/>
      <x:c r="X70" s="852"/>
      <x:c r="Y70" s="852"/>
      <x:c r="Z70" s="852"/>
    </x:row>
    <x:row r="71" ht="30" hidden="0" customHeight="1">
      <x:c r="A71" s="849" t="str">
        <x:v>Day</x:v>
      </x:c>
      <x:c r="B71" s="849" t="str">
        <x:v>선택한 주요 행동</x:v>
      </x:c>
      <x:c r="C71" s="849" t="str">
        <x:v>계획시간</x:v>
      </x:c>
      <x:c r="D71" s="849" t="str">
        <x:v>Emergency</x:v>
      </x:c>
      <x:c r="E71" s="849" t="str">
        <x:v>총시간</x:v>
      </x:c>
      <x:c r="F71" s="849" t="str">
        <x:v>자유시간</x:v>
      </x:c>
      <x:c r="G71" s="849" t="str">
        <x:v>Start Will</x:v>
      </x:c>
      <x:c r="H71" s="849" t="str">
        <x:v>Will 사용</x:v>
      </x:c>
      <x:c r="I71" s="849" t="str">
        <x:v>End Will</x:v>
      </x:c>
      <x:c r="J71" s="849" t="str">
        <x:v>성장 슬롯</x:v>
      </x:c>
      <x:c r="K71" s="849" t="str">
        <x:v>수리 +</x:v>
      </x:c>
      <x:c r="L71" s="849" t="str">
        <x:v>누적 수리</x:v>
      </x:c>
      <x:c r="M71" s="849" t="str">
        <x:v>오아시스 +</x:v>
      </x:c>
      <x:c r="N71" s="849" t="str">
        <x:v>거주지 +</x:v>
      </x:c>
      <x:c r="O71" s="849" t="str">
        <x:v>묘지 +</x:v>
      </x:c>
      <x:c r="P71" s="849" t="str">
        <x:v>핵심 Flag / 결과</x:v>
      </x:c>
      <x:c r="Q71" s="849"/>
      <x:c r="R71" s="849"/>
      <x:c r="S71" s="849"/>
      <x:c r="T71" s="849"/>
      <x:c r="U71" s="849"/>
      <x:c r="V71" s="849"/>
      <x:c r="W71" s="849"/>
      <x:c r="X71" s="849"/>
      <x:c r="Y71" s="849"/>
      <x:c r="Z71" s="849"/>
    </x:row>
    <x:row r="72" ht="21.600000381469727" hidden="0" customHeight="1">
      <x:c r="A72" s="827" t="n">
        <x:v>1</x:v>
      </x:c>
      <x:c r="B72" s="825" t="str">
        <x:v>Main / 벤자민 묘지 / 수송선 상태</x:v>
      </x:c>
      <x:c r="C72" s="830" t="n">
        <x:v>6</x:v>
      </x:c>
      <x:c r="D72" s="830" t="n">
        <x:v>0</x:v>
      </x:c>
      <x:c r="E72" s="830" t="n">
        <x:f>C72+D72</x:f>
        <x:v>6</x:v>
      </x:c>
      <x:c r="F72" s="830" t="n">
        <x:f>14-E72</x:f>
        <x:v>8</x:v>
      </x:c>
      <x:c r="G72" s="830" t="n">
        <x:v>5</x:v>
      </x:c>
      <x:c r="H72" s="830" t="n">
        <x:v>0</x:v>
      </x:c>
      <x:c r="I72" s="830" t="n">
        <x:f>MAX(0,G72-H72)</x:f>
        <x:v>5</x:v>
      </x:c>
      <x:c r="J72" s="830" t="n">
        <x:v>0</x:v>
      </x:c>
      <x:c r="K72" s="830" t="n">
        <x:v>0</x:v>
      </x:c>
      <x:c r="L72" s="830" t="n">
        <x:f>K72</x:f>
        <x:v>0</x:v>
      </x:c>
      <x:c r="M72" s="830" t="n">
        <x:v>0</x:v>
      </x:c>
      <x:c r="N72" s="830" t="n">
        <x:v>0</x:v>
      </x:c>
      <x:c r="O72" s="830" t="n">
        <x:v>0</x:v>
      </x:c>
      <x:c r="P72" s="861" t="str">
        <x:v>벤자민 Seed</x:v>
      </x:c>
      <x:c r="Q72" s="825"/>
      <x:c r="R72" s="825"/>
      <x:c r="S72" s="825"/>
      <x:c r="T72" s="825"/>
      <x:c r="U72" s="825"/>
      <x:c r="V72" s="825"/>
      <x:c r="W72" s="825"/>
      <x:c r="X72" s="825"/>
      <x:c r="Y72" s="825"/>
      <x:c r="Z72" s="825"/>
    </x:row>
    <x:row r="73" ht="21.600000381469727" hidden="0" customHeight="1">
      <x:c r="A73" s="827" t="n">
        <x:v>2</x:v>
      </x:c>
      <x:c r="B73" s="825" t="str">
        <x:v>재회 / 지나 / 디야 / 야간조</x:v>
      </x:c>
      <x:c r="C73" s="830" t="n">
        <x:v>8</x:v>
      </x:c>
      <x:c r="D73" s="830" t="n">
        <x:v>0</x:v>
      </x:c>
      <x:c r="E73" s="830" t="n">
        <x:f>C73+D73</x:f>
        <x:v>8</x:v>
      </x:c>
      <x:c r="F73" s="830" t="n">
        <x:f>14-E73</x:f>
        <x:v>6</x:v>
      </x:c>
      <x:c r="G73" s="830" t="n">
        <x:f>MIN(5,I72+1)</x:f>
        <x:v>5</x:v>
      </x:c>
      <x:c r="H73" s="830" t="n">
        <x:v>0</x:v>
      </x:c>
      <x:c r="I73" s="830" t="n">
        <x:f>MAX(0,G73-H73)</x:f>
        <x:v>5</x:v>
      </x:c>
      <x:c r="J73" s="830" t="n">
        <x:v>0</x:v>
      </x:c>
      <x:c r="K73" s="830" t="n">
        <x:v>0</x:v>
      </x:c>
      <x:c r="L73" s="830" t="n">
        <x:f>L72+K73</x:f>
        <x:v>0</x:v>
      </x:c>
      <x:c r="M73" s="830" t="n">
        <x:v>0</x:v>
      </x:c>
      <x:c r="N73" s="830" t="n">
        <x:v>0</x:v>
      </x:c>
      <x:c r="O73" s="830" t="n">
        <x:v>0</x:v>
      </x:c>
      <x:c r="P73" s="861" t="str">
        <x:v>디야·지나 Seed</x:v>
      </x:c>
      <x:c r="Q73" s="825"/>
      <x:c r="R73" s="825"/>
      <x:c r="S73" s="825"/>
      <x:c r="T73" s="825"/>
      <x:c r="U73" s="825"/>
      <x:c r="V73" s="825"/>
      <x:c r="W73" s="825"/>
      <x:c r="X73" s="825"/>
      <x:c r="Y73" s="825"/>
      <x:c r="Z73" s="825"/>
    </x:row>
    <x:row r="74" ht="21.600000381469727" hidden="0" customHeight="1">
      <x:c r="A74" s="827" t="n">
        <x:v>3</x:v>
      </x:c>
      <x:c r="B74" s="825" t="str">
        <x:v>Main / 보리치 / 연구실 수리 / 성장</x:v>
      </x:c>
      <x:c r="C74" s="830" t="n">
        <x:v>10</x:v>
      </x:c>
      <x:c r="D74" s="830" t="n">
        <x:v>0</x:v>
      </x:c>
      <x:c r="E74" s="830" t="n">
        <x:f>C74+D74</x:f>
        <x:v>10</x:v>
      </x:c>
      <x:c r="F74" s="830" t="n">
        <x:f>14-E74</x:f>
        <x:v>4</x:v>
      </x:c>
      <x:c r="G74" s="830" t="n">
        <x:f>MIN(5,I73+1)</x:f>
        <x:v>5</x:v>
      </x:c>
      <x:c r="H74" s="830" t="n">
        <x:v>0</x:v>
      </x:c>
      <x:c r="I74" s="830" t="n">
        <x:f>MAX(0,G74-H74)</x:f>
        <x:v>5</x:v>
      </x:c>
      <x:c r="J74" s="830" t="n">
        <x:v>1</x:v>
      </x:c>
      <x:c r="K74" s="830" t="n">
        <x:v>1</x:v>
      </x:c>
      <x:c r="L74" s="830" t="n">
        <x:f>L73+K74</x:f>
        <x:v>1</x:v>
      </x:c>
      <x:c r="M74" s="830" t="n">
        <x:v>0</x:v>
      </x:c>
      <x:c r="N74" s="830" t="n">
        <x:v>0</x:v>
      </x:c>
      <x:c r="O74" s="830" t="n">
        <x:v>0</x:v>
      </x:c>
      <x:c r="P74" s="861" t="str">
        <x:v>연구실 3/5</x:v>
      </x:c>
      <x:c r="Q74" s="825"/>
      <x:c r="R74" s="825"/>
      <x:c r="S74" s="825"/>
      <x:c r="T74" s="825"/>
      <x:c r="U74" s="825"/>
      <x:c r="V74" s="825"/>
      <x:c r="W74" s="825"/>
      <x:c r="X74" s="825"/>
      <x:c r="Y74" s="825"/>
      <x:c r="Z74" s="825"/>
    </x:row>
    <x:row r="75" ht="21.600000381469727" hidden="0" customHeight="1">
      <x:c r="A75" s="827" t="n">
        <x:v>4</x:v>
      </x:c>
      <x:c r="B75" s="825" t="str">
        <x:v>Main / 지나 / 페이 꿈 / 연구실 수리 / 성장</x:v>
      </x:c>
      <x:c r="C75" s="830" t="n">
        <x:v>11</x:v>
      </x:c>
      <x:c r="D75" s="830" t="n">
        <x:v>0</x:v>
      </x:c>
      <x:c r="E75" s="830" t="n">
        <x:f>C75+D75</x:f>
        <x:v>11</x:v>
      </x:c>
      <x:c r="F75" s="830" t="n">
        <x:f>14-E75</x:f>
        <x:v>3</x:v>
      </x:c>
      <x:c r="G75" s="830" t="n">
        <x:f>MIN(5,I74+1)</x:f>
        <x:v>5</x:v>
      </x:c>
      <x:c r="H75" s="830" t="n">
        <x:v>0</x:v>
      </x:c>
      <x:c r="I75" s="830" t="n">
        <x:f>MAX(0,G75-H75)</x:f>
        <x:v>5</x:v>
      </x:c>
      <x:c r="J75" s="830" t="n">
        <x:v>1</x:v>
      </x:c>
      <x:c r="K75" s="830" t="n">
        <x:v>1</x:v>
      </x:c>
      <x:c r="L75" s="830" t="n">
        <x:f>L74+K75</x:f>
        <x:v>2</x:v>
      </x:c>
      <x:c r="M75" s="830" t="n">
        <x:v>0</x:v>
      </x:c>
      <x:c r="N75" s="830" t="n">
        <x:v>0</x:v>
      </x:c>
      <x:c r="O75" s="830" t="n">
        <x:v>0</x:v>
      </x:c>
      <x:c r="P75" s="861" t="str">
        <x:v>연구실 4/5</x:v>
      </x:c>
      <x:c r="Q75" s="825"/>
      <x:c r="R75" s="825"/>
      <x:c r="S75" s="825"/>
      <x:c r="T75" s="825"/>
      <x:c r="U75" s="825"/>
      <x:c r="V75" s="825"/>
      <x:c r="W75" s="825"/>
      <x:c r="X75" s="825"/>
      <x:c r="Y75" s="825"/>
      <x:c r="Z75" s="825"/>
    </x:row>
    <x:row r="76" ht="21.600000381469727" hidden="0" customHeight="1">
      <x:c r="A76" s="827" t="n">
        <x:v>5</x:v>
      </x:c>
      <x:c r="B76" s="825" t="str">
        <x:v>Main / 디야 / 연구실 수리 / 성장</x:v>
      </x:c>
      <x:c r="C76" s="830" t="n">
        <x:v>9</x:v>
      </x:c>
      <x:c r="D76" s="830" t="n">
        <x:v>0</x:v>
      </x:c>
      <x:c r="E76" s="830" t="n">
        <x:f>C76+D76</x:f>
        <x:v>9</x:v>
      </x:c>
      <x:c r="F76" s="830" t="n">
        <x:f>14-E76</x:f>
        <x:v>5</x:v>
      </x:c>
      <x:c r="G76" s="830" t="n">
        <x:f>MIN(5,I75+1)</x:f>
        <x:v>5</x:v>
      </x:c>
      <x:c r="H76" s="830" t="n">
        <x:v>0</x:v>
      </x:c>
      <x:c r="I76" s="830" t="n">
        <x:f>MAX(0,G76-H76)</x:f>
        <x:v>5</x:v>
      </x:c>
      <x:c r="J76" s="830" t="n">
        <x:v>1</x:v>
      </x:c>
      <x:c r="K76" s="830" t="n">
        <x:v>1</x:v>
      </x:c>
      <x:c r="L76" s="830" t="n">
        <x:f>L75+K76</x:f>
        <x:v>3</x:v>
      </x:c>
      <x:c r="M76" s="830" t="n">
        <x:v>0</x:v>
      </x:c>
      <x:c r="N76" s="830" t="n">
        <x:v>0</x:v>
      </x:c>
      <x:c r="O76" s="830" t="n">
        <x:v>0</x:v>
      </x:c>
      <x:c r="P76" s="861" t="str">
        <x:v>연구실 5/5 확보</x:v>
      </x:c>
      <x:c r="Q76" s="825"/>
      <x:c r="R76" s="825"/>
      <x:c r="S76" s="825"/>
      <x:c r="T76" s="825"/>
      <x:c r="U76" s="825"/>
      <x:c r="V76" s="825"/>
      <x:c r="W76" s="825"/>
      <x:c r="X76" s="825"/>
      <x:c r="Y76" s="825"/>
      <x:c r="Z76" s="825"/>
    </x:row>
    <x:row r="77" ht="15" hidden="0" customHeight="1">
      <x:c r="A77" s="827" t="n">
        <x:v>6</x:v>
      </x:c>
      <x:c r="B77" s="825" t="str">
        <x:v>Main / 샘 / 수리</x:v>
      </x:c>
      <x:c r="C77" s="830" t="n">
        <x:v>7</x:v>
      </x:c>
      <x:c r="D77" s="830" t="n">
        <x:v>0</x:v>
      </x:c>
      <x:c r="E77" s="830" t="n">
        <x:f>C77+D77</x:f>
        <x:v>7</x:v>
      </x:c>
      <x:c r="F77" s="830" t="n">
        <x:f>14-E77</x:f>
        <x:v>7</x:v>
      </x:c>
      <x:c r="G77" s="830" t="n">
        <x:f>MIN(5,I76+1)</x:f>
        <x:v>5</x:v>
      </x:c>
      <x:c r="H77" s="830" t="n">
        <x:v>1</x:v>
      </x:c>
      <x:c r="I77" s="830" t="n">
        <x:f>MAX(0,G77-H77)</x:f>
        <x:v>4</x:v>
      </x:c>
      <x:c r="J77" s="830" t="n">
        <x:v>0</x:v>
      </x:c>
      <x:c r="K77" s="830" t="n">
        <x:v>1</x:v>
      </x:c>
      <x:c r="L77" s="830" t="n">
        <x:f>L76+K77</x:f>
        <x:v>4</x:v>
      </x:c>
      <x:c r="M77" s="830" t="n">
        <x:v>0</x:v>
      </x:c>
      <x:c r="N77" s="830" t="n">
        <x:v>0</x:v>
      </x:c>
      <x:c r="O77" s="830" t="n">
        <x:v>0</x:v>
      </x:c>
      <x:c r="P77" s="861" t="str">
        <x:v>생존 수리 시작</x:v>
      </x:c>
      <x:c r="Q77" s="825"/>
      <x:c r="R77" s="825"/>
      <x:c r="S77" s="825"/>
      <x:c r="T77" s="825"/>
      <x:c r="U77" s="825"/>
      <x:c r="V77" s="825"/>
      <x:c r="W77" s="825"/>
      <x:c r="X77" s="825"/>
      <x:c r="Y77" s="825"/>
      <x:c r="Z77" s="825"/>
    </x:row>
    <x:row r="78" ht="21.600000381469727" hidden="0" customHeight="1">
      <x:c r="A78" s="827" t="n">
        <x:v>7</x:v>
      </x:c>
      <x:c r="B78" s="825" t="str">
        <x:v>공개 Event+준비 / 반응 / 수리</x:v>
      </x:c>
      <x:c r="C78" s="830" t="n">
        <x:v>9</x:v>
      </x:c>
      <x:c r="D78" s="830" t="n">
        <x:v>0</x:v>
      </x:c>
      <x:c r="E78" s="830" t="n">
        <x:f>C78+D78</x:f>
        <x:v>9</x:v>
      </x:c>
      <x:c r="F78" s="830" t="n">
        <x:f>14-E78</x:f>
        <x:v>5</x:v>
      </x:c>
      <x:c r="G78" s="830" t="n">
        <x:f>MIN(5,I77+1)</x:f>
        <x:v>5</x:v>
      </x:c>
      <x:c r="H78" s="830" t="n">
        <x:v>0</x:v>
      </x:c>
      <x:c r="I78" s="830" t="n">
        <x:f>MAX(0,G78-H78)</x:f>
        <x:v>5</x:v>
      </x:c>
      <x:c r="J78" s="830" t="n">
        <x:v>0</x:v>
      </x:c>
      <x:c r="K78" s="830" t="n">
        <x:v>1</x:v>
      </x:c>
      <x:c r="L78" s="830" t="n">
        <x:f>L77+K78</x:f>
        <x:v>5</x:v>
      </x:c>
      <x:c r="M78" s="830" t="n">
        <x:v>0</x:v>
      </x:c>
      <x:c r="N78" s="830" t="n">
        <x:v>0</x:v>
      </x:c>
      <x:c r="O78" s="830" t="n">
        <x:v>0</x:v>
      </x:c>
      <x:c r="P78" s="861" t="str">
        <x:v>W1 완료</x:v>
      </x:c>
      <x:c r="Q78" s="825"/>
      <x:c r="R78" s="825"/>
      <x:c r="S78" s="825"/>
      <x:c r="T78" s="825"/>
      <x:c r="U78" s="825"/>
      <x:c r="V78" s="825"/>
      <x:c r="W78" s="825"/>
      <x:c r="X78" s="825"/>
      <x:c r="Y78" s="825"/>
      <x:c r="Z78" s="825"/>
    </x:row>
    <x:row r="79" ht="32.400001525878906" hidden="0" customHeight="1">
      <x:c r="A79" s="827" t="n">
        <x:v>8</x:v>
      </x:c>
      <x:c r="B79" s="825" t="str">
        <x:v>샌드웜 / 보리치 과거 / 거주지 보존 / 야간조</x:v>
      </x:c>
      <x:c r="C79" s="830" t="n">
        <x:v>10</x:v>
      </x:c>
      <x:c r="D79" s="830" t="n">
        <x:v>0</x:v>
      </x:c>
      <x:c r="E79" s="830" t="n">
        <x:f>C79+D79</x:f>
        <x:v>10</x:v>
      </x:c>
      <x:c r="F79" s="830" t="n">
        <x:f>14-E79</x:f>
        <x:v>4</x:v>
      </x:c>
      <x:c r="G79" s="830" t="n">
        <x:f>MIN(5,I78+1)</x:f>
        <x:v>5</x:v>
      </x:c>
      <x:c r="H79" s="830" t="n">
        <x:v>0</x:v>
      </x:c>
      <x:c r="I79" s="830" t="n">
        <x:f>MAX(0,G79-H79)</x:f>
        <x:v>5</x:v>
      </x:c>
      <x:c r="J79" s="830" t="n">
        <x:v>0</x:v>
      </x:c>
      <x:c r="K79" s="830" t="n">
        <x:v>0</x:v>
      </x:c>
      <x:c r="L79" s="830" t="n">
        <x:f>L78+K79</x:f>
        <x:v>5</x:v>
      </x:c>
      <x:c r="M79" s="830" t="n">
        <x:v>0</x:v>
      </x:c>
      <x:c r="N79" s="830" t="n">
        <x:v>1</x:v>
      </x:c>
      <x:c r="O79" s="830" t="n">
        <x:v>0</x:v>
      </x:c>
      <x:c r="P79" s="861" t="str">
        <x:v>거주지 1</x:v>
      </x:c>
      <x:c r="Q79" s="825"/>
      <x:c r="R79" s="825"/>
      <x:c r="S79" s="825"/>
      <x:c r="T79" s="825"/>
      <x:c r="U79" s="825"/>
      <x:c r="V79" s="825"/>
      <x:c r="W79" s="825"/>
      <x:c r="X79" s="825"/>
      <x:c r="Y79" s="825"/>
      <x:c r="Z79" s="825"/>
    </x:row>
    <x:row r="80" ht="32.400001525878906" hidden="0" customHeight="1">
      <x:c r="A80" s="827" t="n">
        <x:v>9</x:v>
      </x:c>
      <x:c r="B80" s="825" t="str">
        <x:v>피난계획+시설점검 / 오아시스 보존 / 거주지 보존 / 수리</x:v>
      </x:c>
      <x:c r="C80" s="830" t="n">
        <x:v>12</x:v>
      </x:c>
      <x:c r="D80" s="830" t="n">
        <x:v>0</x:v>
      </x:c>
      <x:c r="E80" s="830" t="n">
        <x:f>C80+D80</x:f>
        <x:v>12</x:v>
      </x:c>
      <x:c r="F80" s="830" t="n">
        <x:f>14-E80</x:f>
        <x:v>2</x:v>
      </x:c>
      <x:c r="G80" s="830" t="n">
        <x:f>MIN(5,I79+1)</x:f>
        <x:v>5</x:v>
      </x:c>
      <x:c r="H80" s="830" t="n">
        <x:v>0</x:v>
      </x:c>
      <x:c r="I80" s="830" t="n">
        <x:f>MAX(0,G80-H80)</x:f>
        <x:v>5</x:v>
      </x:c>
      <x:c r="J80" s="830" t="n">
        <x:v>0</x:v>
      </x:c>
      <x:c r="K80" s="830" t="n">
        <x:v>1</x:v>
      </x:c>
      <x:c r="L80" s="830" t="n">
        <x:f>L79+K80</x:f>
        <x:v>6</x:v>
      </x:c>
      <x:c r="M80" s="830" t="n">
        <x:v>1</x:v>
      </x:c>
      <x:c r="N80" s="830" t="n">
        <x:v>1</x:v>
      </x:c>
      <x:c r="O80" s="830" t="n">
        <x:v>0</x:v>
      </x:c>
      <x:c r="P80" s="861" t="str">
        <x:v>오아시스1/거주2</x:v>
      </x:c>
      <x:c r="Q80" s="825"/>
      <x:c r="R80" s="825"/>
      <x:c r="S80" s="825"/>
      <x:c r="T80" s="825"/>
      <x:c r="U80" s="825"/>
      <x:c r="V80" s="825"/>
      <x:c r="W80" s="825"/>
      <x:c r="X80" s="825"/>
      <x:c r="Y80" s="825"/>
      <x:c r="Z80" s="825"/>
    </x:row>
    <x:row r="81" ht="43.20000076293945" hidden="0" customHeight="1">
      <x:c r="A81" s="827" t="n">
        <x:v>10</x:v>
      </x:c>
      <x:c r="B81" s="825" t="str">
        <x:v>대피 / 미라 직접 수색·발견 / 지나 / 오아시스 펌프 보존 / 수리</x:v>
      </x:c>
      <x:c r="C81" s="830" t="n">
        <x:v>10.5</x:v>
      </x:c>
      <x:c r="D81" s="830" t="n">
        <x:v>0</x:v>
      </x:c>
      <x:c r="E81" s="830" t="n">
        <x:f>C81+D81</x:f>
        <x:v>10.5</x:v>
      </x:c>
      <x:c r="F81" s="830" t="n">
        <x:f>14-E81</x:f>
        <x:v>3.5</x:v>
      </x:c>
      <x:c r="G81" s="830" t="n">
        <x:f>MIN(5,I80+1)</x:f>
        <x:v>5</x:v>
      </x:c>
      <x:c r="H81" s="830" t="n">
        <x:v>1</x:v>
      </x:c>
      <x:c r="I81" s="830" t="n">
        <x:f>MAX(0,G81-H81)</x:f>
        <x:v>4</x:v>
      </x:c>
      <x:c r="J81" s="830" t="n">
        <x:v>0</x:v>
      </x:c>
      <x:c r="K81" s="830" t="n">
        <x:v>1</x:v>
      </x:c>
      <x:c r="L81" s="830" t="n">
        <x:f>L80+K81</x:f>
        <x:v>7</x:v>
      </x:c>
      <x:c r="M81" s="830" t="n">
        <x:v>1</x:v>
      </x:c>
      <x:c r="N81" s="830" t="n">
        <x:v>0</x:v>
      </x:c>
      <x:c r="O81" s="830" t="n">
        <x:v>0</x:v>
      </x:c>
      <x:c r="P81" s="861" t="str">
        <x:v>미라 발견, 오아시스 펌프 보존2</x:v>
      </x:c>
      <x:c r="Q81" s="825"/>
      <x:c r="R81" s="825"/>
      <x:c r="S81" s="825"/>
      <x:c r="T81" s="825"/>
      <x:c r="U81" s="825"/>
      <x:c r="V81" s="825"/>
      <x:c r="W81" s="825"/>
      <x:c r="X81" s="825"/>
      <x:c r="Y81" s="825"/>
      <x:c r="Z81" s="825"/>
    </x:row>
    <x:row r="82" ht="43.20000076293945" hidden="0" customHeight="1">
      <x:c r="A82" s="827" t="n">
        <x:v>11</x:v>
      </x:c>
      <x:c r="B82" s="825" t="str">
        <x:v>대피 / 어린이축제 / 디야 대면 B / 오아시스 보존 / 거주지 보존</x:v>
      </x:c>
      <x:c r="C82" s="830" t="n">
        <x:v>12</x:v>
      </x:c>
      <x:c r="D82" s="830" t="n">
        <x:v>0</x:v>
      </x:c>
      <x:c r="E82" s="830" t="n">
        <x:f>C82+D82</x:f>
        <x:v>12</x:v>
      </x:c>
      <x:c r="F82" s="830" t="n">
        <x:f>14-E82</x:f>
        <x:v>2</x:v>
      </x:c>
      <x:c r="G82" s="830" t="n">
        <x:f>MIN(5,I81+1)</x:f>
        <x:v>5</x:v>
      </x:c>
      <x:c r="H82" s="830" t="n">
        <x:v>0</x:v>
      </x:c>
      <x:c r="I82" s="830" t="n">
        <x:f>MAX(0,G82-H82)</x:f>
        <x:v>5</x:v>
      </x:c>
      <x:c r="J82" s="830" t="n">
        <x:v>0</x:v>
      </x:c>
      <x:c r="K82" s="830" t="n">
        <x:v>0</x:v>
      </x:c>
      <x:c r="L82" s="830" t="n">
        <x:f>L81+K82</x:f>
        <x:v>7</x:v>
      </x:c>
      <x:c r="M82" s="830" t="n">
        <x:v>1</x:v>
      </x:c>
      <x:c r="N82" s="830" t="n">
        <x:v>1</x:v>
      </x:c>
      <x:c r="O82" s="830" t="n">
        <x:v>0</x:v>
      </x:c>
      <x:c r="P82" s="861" t="str">
        <x:v>오아시스3/거주3, 재점검 요청 Seed</x:v>
      </x:c>
      <x:c r="Q82" s="825"/>
      <x:c r="R82" s="825"/>
      <x:c r="S82" s="825"/>
      <x:c r="T82" s="825"/>
      <x:c r="U82" s="825"/>
      <x:c r="V82" s="825"/>
      <x:c r="W82" s="825"/>
      <x:c r="X82" s="825"/>
      <x:c r="Y82" s="825"/>
      <x:c r="Z82" s="825"/>
    </x:row>
    <x:row r="83" ht="32.400001525878906" hidden="0" customHeight="1">
      <x:c r="A83" s="827" t="n">
        <x:v>12</x:v>
      </x:c>
      <x:c r="B83" s="825" t="str">
        <x:v>생명유지 / 지나 과거 / 수리 / 묘지 / 야간조</x:v>
      </x:c>
      <x:c r="C83" s="830" t="n">
        <x:v>10</x:v>
      </x:c>
      <x:c r="D83" s="830" t="n">
        <x:v>0</x:v>
      </x:c>
      <x:c r="E83" s="830" t="n">
        <x:f>C83+D83</x:f>
        <x:v>10</x:v>
      </x:c>
      <x:c r="F83" s="830" t="n">
        <x:f>14-E83</x:f>
        <x:v>4</x:v>
      </x:c>
      <x:c r="G83" s="830" t="n">
        <x:f>MIN(5,I82+1)</x:f>
        <x:v>5</x:v>
      </x:c>
      <x:c r="H83" s="830" t="n">
        <x:v>0</x:v>
      </x:c>
      <x:c r="I83" s="830" t="n">
        <x:f>MAX(0,G83-H83)</x:f>
        <x:v>5</x:v>
      </x:c>
      <x:c r="J83" s="830" t="n">
        <x:v>0</x:v>
      </x:c>
      <x:c r="K83" s="830" t="n">
        <x:v>1</x:v>
      </x:c>
      <x:c r="L83" s="830" t="n">
        <x:f>L82+K83</x:f>
        <x:v>8</x:v>
      </x:c>
      <x:c r="M83" s="830" t="n">
        <x:v>0</x:v>
      </x:c>
      <x:c r="N83" s="830" t="n">
        <x:v>0</x:v>
      </x:c>
      <x:c r="O83" s="830" t="n">
        <x:v>1</x:v>
      </x:c>
      <x:c r="P83" s="861" t="str">
        <x:v>벤자민 STAY 유지 가능</x:v>
      </x:c>
      <x:c r="Q83" s="825"/>
      <x:c r="R83" s="825"/>
      <x:c r="S83" s="825"/>
      <x:c r="T83" s="825"/>
      <x:c r="U83" s="825"/>
      <x:c r="V83" s="825"/>
      <x:c r="W83" s="825"/>
      <x:c r="X83" s="825"/>
      <x:c r="Y83" s="825"/>
      <x:c r="Z83" s="825"/>
    </x:row>
    <x:row r="84" ht="21.600000381469727" hidden="0" customHeight="1">
      <x:c r="A84" s="827" t="n">
        <x:v>13</x:v>
      </x:c>
      <x:c r="B84" s="825" t="str">
        <x:v>최종준비 / 수리 / 벤자민 / 샘 / 성장</x:v>
      </x:c>
      <x:c r="C84" s="830" t="n">
        <x:v>9.5</x:v>
      </x:c>
      <x:c r="D84" s="830" t="n">
        <x:v>0</x:v>
      </x:c>
      <x:c r="E84" s="830" t="n">
        <x:f>C84+D84</x:f>
        <x:v>9.5</x:v>
      </x:c>
      <x:c r="F84" s="830" t="n">
        <x:f>14-E84</x:f>
        <x:v>4.5</x:v>
      </x:c>
      <x:c r="G84" s="830" t="n">
        <x:f>MIN(5,I83+1)</x:f>
        <x:v>5</x:v>
      </x:c>
      <x:c r="H84" s="830" t="n">
        <x:v>0</x:v>
      </x:c>
      <x:c r="I84" s="830" t="n">
        <x:f>MAX(0,G84-H84)</x:f>
        <x:v>5</x:v>
      </x:c>
      <x:c r="J84" s="830" t="n">
        <x:v>1</x:v>
      </x:c>
      <x:c r="K84" s="830" t="n">
        <x:v>1</x:v>
      </x:c>
      <x:c r="L84" s="830" t="n">
        <x:f>L83+K84</x:f>
        <x:v>9</x:v>
      </x:c>
      <x:c r="M84" s="830" t="n">
        <x:v>0</x:v>
      </x:c>
      <x:c r="N84" s="830" t="n">
        <x:v>0</x:v>
      </x:c>
      <x:c r="O84" s="830" t="n">
        <x:v>0</x:v>
      </x:c>
      <x:c r="P84" s="861" t="str">
        <x:v>샘 야간 비극</x:v>
      </x:c>
      <x:c r="Q84" s="825"/>
      <x:c r="R84" s="825"/>
      <x:c r="S84" s="825"/>
      <x:c r="T84" s="825"/>
      <x:c r="U84" s="825"/>
      <x:c r="V84" s="825"/>
      <x:c r="W84" s="825"/>
      <x:c r="X84" s="825"/>
      <x:c r="Y84" s="825"/>
      <x:c r="Z84" s="825"/>
    </x:row>
    <x:row r="85" ht="32.400001525878906" hidden="0" customHeight="1">
      <x:c r="A85" s="827" t="n">
        <x:v>14</x:v>
      </x:c>
      <x:c r="B85" s="825" t="str">
        <x:v>샘 후속+대피+봉쇄 / 수리 / 마지막 Character</x:v>
      </x:c>
      <x:c r="C85" s="830" t="n">
        <x:v>10</x:v>
      </x:c>
      <x:c r="D85" s="830" t="n">
        <x:v>0</x:v>
      </x:c>
      <x:c r="E85" s="830" t="n">
        <x:f>C85+D85</x:f>
        <x:v>10</x:v>
      </x:c>
      <x:c r="F85" s="830" t="n">
        <x:f>14-E85</x:f>
        <x:v>4</x:v>
      </x:c>
      <x:c r="G85" s="830" t="n">
        <x:f>MIN(5,I84+1)</x:f>
        <x:v>5</x:v>
      </x:c>
      <x:c r="H85" s="830" t="n">
        <x:v>0</x:v>
      </x:c>
      <x:c r="I85" s="830" t="n">
        <x:f>MAX(0,G85-H85)</x:f>
        <x:v>5</x:v>
      </x:c>
      <x:c r="J85" s="830" t="n">
        <x:v>0</x:v>
      </x:c>
      <x:c r="K85" s="830" t="n">
        <x:v>1</x:v>
      </x:c>
      <x:c r="L85" s="830" t="n">
        <x:f>L84+K85</x:f>
        <x:v>10</x:v>
      </x:c>
      <x:c r="M85" s="830" t="n">
        <x:v>0</x:v>
      </x:c>
      <x:c r="N85" s="830" t="n">
        <x:v>0</x:v>
      </x:c>
      <x:c r="O85" s="830" t="n">
        <x:v>0</x:v>
      </x:c>
      <x:c r="P85" s="861" t="str">
        <x:v>W2 완료</x:v>
      </x:c>
      <x:c r="Q85" s="825"/>
      <x:c r="R85" s="825"/>
      <x:c r="S85" s="825"/>
      <x:c r="T85" s="825"/>
      <x:c r="U85" s="825"/>
      <x:c r="V85" s="825"/>
      <x:c r="W85" s="825"/>
      <x:c r="X85" s="825"/>
      <x:c r="Y85" s="825"/>
      <x:c r="Z85" s="825"/>
    </x:row>
    <x:row r="86" ht="21.600000381469727" hidden="0" customHeight="1">
      <x:c r="A86" s="827" t="n">
        <x:v>15</x:v>
      </x:c>
      <x:c r="B86" s="825" t="str">
        <x:v>브리핑 / 수리 / Character</x:v>
      </x:c>
      <x:c r="C86" s="830" t="n">
        <x:v>5.5</x:v>
      </x:c>
      <x:c r="D86" s="830" t="n">
        <x:v>4</x:v>
      </x:c>
      <x:c r="E86" s="830" t="n">
        <x:f>C86+D86</x:f>
        <x:v>9.5</x:v>
      </x:c>
      <x:c r="F86" s="830" t="n">
        <x:f>14-E86</x:f>
        <x:v>4.5</x:v>
      </x:c>
      <x:c r="G86" s="830" t="n">
        <x:f>MIN(5,I85+1)</x:f>
        <x:v>5</x:v>
      </x:c>
      <x:c r="H86" s="830" t="n">
        <x:v>0</x:v>
      </x:c>
      <x:c r="I86" s="830" t="n">
        <x:f>MAX(0,G86-H86)</x:f>
        <x:v>5</x:v>
      </x:c>
      <x:c r="J86" s="830" t="n">
        <x:v>0</x:v>
      </x:c>
      <x:c r="K86" s="830" t="n">
        <x:v>1</x:v>
      </x:c>
      <x:c r="L86" s="830" t="n">
        <x:f>L85+K86</x:f>
        <x:v>11</x:v>
      </x:c>
      <x:c r="M86" s="830" t="n">
        <x:v>0</x:v>
      </x:c>
      <x:c r="N86" s="830" t="n">
        <x:v>0</x:v>
      </x:c>
      <x:c r="O86" s="830" t="n">
        <x:v>0</x:v>
      </x:c>
      <x:c r="P86" s="861" t="str">
        <x:v>연구구역 생존 유지</x:v>
      </x:c>
      <x:c r="Q86" s="825"/>
      <x:c r="R86" s="825"/>
      <x:c r="S86" s="825"/>
      <x:c r="T86" s="825"/>
      <x:c r="U86" s="825"/>
      <x:c r="V86" s="825"/>
      <x:c r="W86" s="825"/>
      <x:c r="X86" s="825"/>
      <x:c r="Y86" s="825"/>
      <x:c r="Z86" s="825"/>
    </x:row>
    <x:row r="87" ht="15" hidden="0" customHeight="1">
      <x:c r="A87" s="827" t="n">
        <x:v>16</x:v>
      </x:c>
      <x:c r="B87" s="825" t="str">
        <x:v>상태보고 / 샘 / 수리</x:v>
      </x:c>
      <x:c r="C87" s="830" t="n">
        <x:v>5</x:v>
      </x:c>
      <x:c r="D87" s="830" t="n">
        <x:v>4</x:v>
      </x:c>
      <x:c r="E87" s="830" t="n">
        <x:f>C87+D87</x:f>
        <x:v>9</x:v>
      </x:c>
      <x:c r="F87" s="830" t="n">
        <x:f>14-E87</x:f>
        <x:v>5</x:v>
      </x:c>
      <x:c r="G87" s="830" t="n">
        <x:f>MIN(5,I86+1)</x:f>
        <x:v>5</x:v>
      </x:c>
      <x:c r="H87" s="830" t="n">
        <x:v>1</x:v>
      </x:c>
      <x:c r="I87" s="830" t="n">
        <x:f>MAX(0,G87-H87)</x:f>
        <x:v>4</x:v>
      </x:c>
      <x:c r="J87" s="830" t="n">
        <x:v>0</x:v>
      </x:c>
      <x:c r="K87" s="830" t="n">
        <x:v>1</x:v>
      </x:c>
      <x:c r="L87" s="830" t="n">
        <x:f>L86+K87</x:f>
        <x:v>12</x:v>
      </x:c>
      <x:c r="M87" s="830" t="n">
        <x:v>0</x:v>
      </x:c>
      <x:c r="N87" s="830" t="n">
        <x:v>0</x:v>
      </x:c>
      <x:c r="O87" s="830" t="n">
        <x:v>0</x:v>
      </x:c>
      <x:c r="P87" s="861" t="str">
        <x:v>생존 루프</x:v>
      </x:c>
      <x:c r="Q87" s="825"/>
      <x:c r="R87" s="825"/>
      <x:c r="S87" s="825"/>
      <x:c r="T87" s="825"/>
      <x:c r="U87" s="825"/>
      <x:c r="V87" s="825"/>
      <x:c r="W87" s="825"/>
      <x:c r="X87" s="825"/>
      <x:c r="Y87" s="825"/>
      <x:c r="Z87" s="825"/>
    </x:row>
    <x:row r="88" ht="32.400001525878906" hidden="0" customHeight="1">
      <x:c r="A88" s="827" t="n">
        <x:v>17</x:v>
      </x:c>
      <x:c r="B88" s="825" t="str">
        <x:v>상황보고 / 보리치 또는 지나 대화 / 수리</x:v>
      </x:c>
      <x:c r="C88" s="830" t="n">
        <x:v>4.5</x:v>
      </x:c>
      <x:c r="D88" s="830" t="n">
        <x:v>4</x:v>
      </x:c>
      <x:c r="E88" s="830" t="n">
        <x:f>C88+D88</x:f>
        <x:v>8.5</x:v>
      </x:c>
      <x:c r="F88" s="830" t="n">
        <x:f>14-E88</x:f>
        <x:v>5.5</x:v>
      </x:c>
      <x:c r="G88" s="830" t="n">
        <x:f>MIN(5,I87+1)</x:f>
        <x:v>5</x:v>
      </x:c>
      <x:c r="H88" s="830" t="n">
        <x:v>0</x:v>
      </x:c>
      <x:c r="I88" s="830" t="n">
        <x:f>MAX(0,G88-H88)</x:f>
        <x:v>5</x:v>
      </x:c>
      <x:c r="J88" s="830" t="n">
        <x:v>0</x:v>
      </x:c>
      <x:c r="K88" s="830" t="n">
        <x:v>1</x:v>
      </x:c>
      <x:c r="L88" s="830" t="n">
        <x:f>L87+K88</x:f>
        <x:v>13</x:v>
      </x:c>
      <x:c r="M88" s="830" t="n">
        <x:v>0</x:v>
      </x:c>
      <x:c r="N88" s="830" t="n">
        <x:v>0</x:v>
      </x:c>
      <x:c r="O88" s="830" t="n">
        <x:v>0</x:v>
      </x:c>
      <x:c r="P88" s="861" t="str">
        <x:v>재점검 전 관계 유지</x:v>
      </x:c>
      <x:c r="Q88" s="825"/>
      <x:c r="R88" s="825"/>
      <x:c r="S88" s="825"/>
      <x:c r="T88" s="825"/>
      <x:c r="U88" s="825"/>
      <x:c r="V88" s="825"/>
      <x:c r="W88" s="825"/>
      <x:c r="X88" s="825"/>
      <x:c r="Y88" s="825"/>
      <x:c r="Z88" s="825"/>
    </x:row>
    <x:row r="89" ht="32.400001525878906" hidden="0" customHeight="1">
      <x:c r="A89" s="827" t="n">
        <x:v>18</x:v>
      </x:c>
      <x:c r="B89" s="825" t="str">
        <x:v>상황보고 / Sustainability 재점검 / 보리치 결과 / 수리</x:v>
      </x:c>
      <x:c r="C89" s="830" t="n">
        <x:v>6.5</x:v>
      </x:c>
      <x:c r="D89" s="830" t="n">
        <x:v>4</x:v>
      </x:c>
      <x:c r="E89" s="830" t="n">
        <x:f>C89+D89</x:f>
        <x:v>10.5</x:v>
      </x:c>
      <x:c r="F89" s="830" t="n">
        <x:f>14-E89</x:f>
        <x:v>3.5</x:v>
      </x:c>
      <x:c r="G89" s="830" t="n">
        <x:f>MIN(5,I88+1)</x:f>
        <x:v>5</x:v>
      </x:c>
      <x:c r="H89" s="830" t="n">
        <x:v>0</x:v>
      </x:c>
      <x:c r="I89" s="830" t="n">
        <x:f>MAX(0,G89-H89)</x:f>
        <x:v>5</x:v>
      </x:c>
      <x:c r="J89" s="830" t="n">
        <x:v>0</x:v>
      </x:c>
      <x:c r="K89" s="830" t="n">
        <x:v>1</x:v>
      </x:c>
      <x:c r="L89" s="830" t="n">
        <x:f>L88+K89</x:f>
        <x:v>14</x:v>
      </x:c>
      <x:c r="M89" s="830" t="n">
        <x:v>0</x:v>
      </x:c>
      <x:c r="N89" s="830" t="n">
        <x:v>0</x:v>
      </x:c>
      <x:c r="O89" s="830" t="n">
        <x:v>0</x:v>
      </x:c>
      <x:c r="P89" s="861" t="str">
        <x:v>Sustainability HIGH Proxy</x:v>
      </x:c>
      <x:c r="Q89" s="825"/>
      <x:c r="R89" s="825"/>
      <x:c r="S89" s="825"/>
      <x:c r="T89" s="825"/>
      <x:c r="U89" s="825"/>
      <x:c r="V89" s="825"/>
      <x:c r="W89" s="825"/>
      <x:c r="X89" s="825"/>
      <x:c r="Y89" s="825"/>
      <x:c r="Z89" s="825"/>
    </x:row>
    <x:row r="90" ht="32.400001525878906" hidden="0" customHeight="1">
      <x:c r="A90" s="827" t="n">
        <x:v>19</x:v>
      </x:c>
      <x:c r="B90" s="825" t="str">
        <x:v>상황보고 / 벤자민 또는 페이 STAY 축 / 수리</x:v>
      </x:c>
      <x:c r="C90" s="830" t="n">
        <x:v>4.5</x:v>
      </x:c>
      <x:c r="D90" s="830" t="n">
        <x:v>4</x:v>
      </x:c>
      <x:c r="E90" s="830" t="n">
        <x:f>C90+D90</x:f>
        <x:v>8.5</x:v>
      </x:c>
      <x:c r="F90" s="830" t="n">
        <x:f>14-E90</x:f>
        <x:v>5.5</x:v>
      </x:c>
      <x:c r="G90" s="830" t="n">
        <x:f>MIN(5,I89+1)</x:f>
        <x:v>5</x:v>
      </x:c>
      <x:c r="H90" s="830" t="n">
        <x:v>0</x:v>
      </x:c>
      <x:c r="I90" s="830" t="n">
        <x:f>MAX(0,G90-H90)</x:f>
        <x:v>5</x:v>
      </x:c>
      <x:c r="J90" s="830" t="n">
        <x:v>0</x:v>
      </x:c>
      <x:c r="K90" s="830" t="n">
        <x:v>1</x:v>
      </x:c>
      <x:c r="L90" s="830" t="n">
        <x:f>L89+K90</x:f>
        <x:v>15</x:v>
      </x:c>
      <x:c r="M90" s="830" t="n">
        <x:v>0</x:v>
      </x:c>
      <x:c r="N90" s="830" t="n">
        <x:v>0</x:v>
      </x:c>
      <x:c r="O90" s="830" t="n">
        <x:v>0</x:v>
      </x:c>
      <x:c r="P90" s="861" t="str">
        <x:v>최소 1명 STAY 유지</x:v>
      </x:c>
      <x:c r="Q90" s="825"/>
      <x:c r="R90" s="825"/>
      <x:c r="S90" s="825"/>
      <x:c r="T90" s="825"/>
      <x:c r="U90" s="825"/>
      <x:c r="V90" s="825"/>
      <x:c r="W90" s="825"/>
      <x:c r="X90" s="825"/>
      <x:c r="Y90" s="825"/>
      <x:c r="Z90" s="825"/>
    </x:row>
    <x:row r="91" ht="21.600000381469727" hidden="0" customHeight="1">
      <x:c r="A91" s="827" t="n">
        <x:v>20</x:v>
      </x:c>
      <x:c r="B91" s="825" t="str">
        <x:v>폭풍약화 / 샘 Final / 보리치 Final / 수리</x:v>
      </x:c>
      <x:c r="C91" s="830" t="n">
        <x:v>6.5</x:v>
      </x:c>
      <x:c r="D91" s="830" t="n">
        <x:v>3</x:v>
      </x:c>
      <x:c r="E91" s="830" t="n">
        <x:f>C91+D91</x:f>
        <x:v>9.5</x:v>
      </x:c>
      <x:c r="F91" s="830" t="n">
        <x:f>14-E91</x:f>
        <x:v>4.5</x:v>
      </x:c>
      <x:c r="G91" s="830" t="n">
        <x:f>MIN(5,I90+1)</x:f>
        <x:v>5</x:v>
      </x:c>
      <x:c r="H91" s="830" t="n">
        <x:v>0</x:v>
      </x:c>
      <x:c r="I91" s="830" t="n">
        <x:f>MAX(0,G91-H91)</x:f>
        <x:v>5</x:v>
      </x:c>
      <x:c r="J91" s="830" t="n">
        <x:v>0</x:v>
      </x:c>
      <x:c r="K91" s="830" t="n">
        <x:v>1</x:v>
      </x:c>
      <x:c r="L91" s="830" t="n">
        <x:f>L90+K91</x:f>
        <x:v>16</x:v>
      </x:c>
      <x:c r="M91" s="830" t="n">
        <x:v>0</x:v>
      </x:c>
      <x:c r="N91" s="830" t="n">
        <x:v>0</x:v>
      </x:c>
      <x:c r="O91" s="830" t="n">
        <x:v>0</x:v>
      </x:c>
      <x:c r="P91" s="861" t="str">
        <x:v>공동체 선택 수용</x:v>
      </x:c>
      <x:c r="Q91" s="825"/>
      <x:c r="R91" s="825"/>
      <x:c r="S91" s="825"/>
      <x:c r="T91" s="825"/>
      <x:c r="U91" s="825"/>
      <x:c r="V91" s="825"/>
      <x:c r="W91" s="825"/>
      <x:c r="X91" s="825"/>
      <x:c r="Y91" s="825"/>
      <x:c r="Z91" s="825"/>
    </x:row>
    <x:row r="92" ht="32.400001525878906" hidden="0" customHeight="1">
      <x:c r="A92" s="827" t="n">
        <x:v>21</x:v>
      </x:c>
      <x:c r="B92" s="825" t="str">
        <x:v>상태확인 / 마지막 대화 / Ending</x:v>
      </x:c>
      <x:c r="C92" s="830" t="n">
        <x:v>5</x:v>
      </x:c>
      <x:c r="D92" s="830" t="n">
        <x:v>0</x:v>
      </x:c>
      <x:c r="E92" s="830" t="n">
        <x:f>C92+D92</x:f>
        <x:v>5</x:v>
      </x:c>
      <x:c r="F92" s="830" t="n">
        <x:f>14-E92</x:f>
        <x:v>9</x:v>
      </x:c>
      <x:c r="G92" s="830" t="n">
        <x:f>MIN(5,I91+1)</x:f>
        <x:v>5</x:v>
      </x:c>
      <x:c r="H92" s="830" t="n">
        <x:v>0</x:v>
      </x:c>
      <x:c r="I92" s="830" t="n">
        <x:f>MAX(0,G92-H92)</x:f>
        <x:v>5</x:v>
      </x:c>
      <x:c r="J92" s="830" t="n">
        <x:v>0</x:v>
      </x:c>
      <x:c r="K92" s="830" t="n">
        <x:v>0</x:v>
      </x:c>
      <x:c r="L92" s="830" t="n">
        <x:f>L91+K92</x:f>
        <x:v>16</x:v>
      </x:c>
      <x:c r="M92" s="830" t="n">
        <x:v>0</x:v>
      </x:c>
      <x:c r="N92" s="830" t="n">
        <x:v>0</x:v>
      </x:c>
      <x:c r="O92" s="830" t="n">
        <x:v>0</x:v>
      </x:c>
      <x:c r="P92" s="861" t="str">
        <x:v>Hidden 서사·Sustainability 축 완료</x:v>
      </x:c>
      <x:c r="Q92" s="825"/>
      <x:c r="R92" s="825"/>
      <x:c r="S92" s="825"/>
      <x:c r="T92" s="825"/>
      <x:c r="U92" s="825"/>
      <x:c r="V92" s="825"/>
      <x:c r="W92" s="825"/>
      <x:c r="X92" s="825"/>
      <x:c r="Y92" s="825"/>
      <x:c r="Z92" s="825"/>
    </x:row>
    <x:row r="93" ht="97.19999694824219" hidden="0" customHeight="1">
      <x:c r="A93" s="837" t="str">
        <x:v>합계/검증</x:v>
      </x:c>
      <x:c r="B93" s="837"/>
      <x:c r="C93" s="840" t="n">
        <x:f>SUM(C72:C92)</x:f>
        <x:v>171.5</x:v>
      </x:c>
      <x:c r="D93" s="840" t="n">
        <x:f>SUM(D72:D92)</x:f>
        <x:v>23</x:v>
      </x:c>
      <x:c r="E93" s="840" t="n">
        <x:f>SUM(E72:E92)</x:f>
        <x:v>194.5</x:v>
      </x:c>
      <x:c r="F93" s="840" t="n">
        <x:f>SUM(F72:F92)</x:f>
        <x:v>99.5</x:v>
      </x:c>
      <x:c r="G93" s="840"/>
      <x:c r="H93" s="840" t="n">
        <x:f>SUM(H72:H92)</x:f>
        <x:v>3</x:v>
      </x:c>
      <x:c r="I93" s="840"/>
      <x:c r="J93" s="840" t="n">
        <x:f>SUM(J72:J92)</x:f>
        <x:v>4</x:v>
      </x:c>
      <x:c r="K93" s="840" t="n">
        <x:f>SUM(K72:K92)</x:f>
        <x:v>16</x:v>
      </x:c>
      <x:c r="L93" s="840" t="n">
        <x:f>MAX(L72:L92)</x:f>
        <x:v>16</x:v>
      </x:c>
      <x:c r="M93" s="840" t="n">
        <x:f>SUM(M72:M92)</x:f>
        <x:v>3</x:v>
      </x:c>
      <x:c r="N93" s="840" t="n">
        <x:f>SUM(N72:N92)</x:f>
        <x:v>3</x:v>
      </x:c>
      <x:c r="O93" s="840" t="n">
        <x:f>SUM(O72:O92)</x:f>
        <x:v>1</x:v>
      </x:c>
      <x:c r="P93" s="862" t="str">
        <x:v>시간 PASS / Will PASS(+1 수면 기준 재검증) / 오아시스3+거주지3+연구실5+재점검 Proxy 달성. Hidden 추가 조건·ShipCondition은 PENDING.</x:v>
      </x:c>
      <x:c r="Q93" s="825"/>
      <x:c r="R93" s="825"/>
      <x:c r="S93" s="825"/>
      <x:c r="T93" s="825"/>
      <x:c r="U93" s="825"/>
      <x:c r="V93" s="825"/>
      <x:c r="W93" s="825"/>
      <x:c r="X93" s="825"/>
      <x:c r="Y93" s="825"/>
      <x:c r="Z93" s="825"/>
    </x:row>
  </x:sheetData>
  <x:mergeCells>
    <x:mergeCell ref="A1:R1"/>
    <x:mergeCell ref="A2:R2"/>
    <x:mergeCell ref="A4:R4"/>
    <x:mergeCell ref="A18:P18"/>
    <x:mergeCell ref="A44:P44"/>
    <x:mergeCell ref="A70:P70"/>
    <x:mergeCell ref="R4:Z4"/>
    <x:mergeCell ref="R10:Z10"/>
  </x:mergeCells>
  <x:conditionalFormatting sqref="C6:C15">
    <x:cfRule type="expression" dxfId="21" priority="1">
      <x:formula>C6="확정"</x:formula>
    </x:cfRule>
    <x:cfRule type="expression" dxfId="22" priority="2">
      <x:formula>C6="TEMP"</x:formula>
    </x:cfRule>
    <x:cfRule type="expression" dxfId="23" priority="3">
      <x:formula>C6="Simulation Proxy"</x:formula>
    </x:cfRule>
    <x:cfRule type="expression" dxfId="24" priority="4">
      <x:formula>C6="미정"</x:formula>
    </x:cfRule>
  </x:conditionalFormatting>
  <x:conditionalFormatting sqref="F20:F40">
    <x:cfRule type="cellIs" dxfId="25" priority="5" operator="lessThan">
      <x:formula>0</x:formula>
    </x:cfRule>
  </x:conditionalFormatting>
  <x:conditionalFormatting sqref="I20:I40">
    <x:cfRule type="cellIs" dxfId="26" priority="6">
      <x:formula>0</x:formula>
    </x:cfRule>
  </x:conditionalFormatting>
  <x:conditionalFormatting sqref="F46:F66">
    <x:cfRule type="cellIs" dxfId="27" priority="7" operator="lessThan">
      <x:formula>0</x:formula>
    </x:cfRule>
  </x:conditionalFormatting>
  <x:conditionalFormatting sqref="I46:I66">
    <x:cfRule type="cellIs" dxfId="28" priority="8">
      <x:formula>0</x:formula>
    </x:cfRule>
  </x:conditionalFormatting>
  <x:conditionalFormatting sqref="F72:F92">
    <x:cfRule type="cellIs" dxfId="29" priority="9" operator="lessThan">
      <x:formula>0</x:formula>
    </x:cfRule>
  </x:conditionalFormatting>
  <x:conditionalFormatting sqref="I72:I92">
    <x:cfRule type="cellIs" dxfId="30" priority="10">
      <x:formula>0</x:formula>
    </x:cfRule>
  </x:conditionalFormatting>
  <x:pageMargins left="0.7" right="0.7" top="0.75" bottom="0.75" header="0.3" footer="0.3"/>
  <x:drawing xmlns:r="http://schemas.openxmlformats.org/officeDocument/2006/relationships" r:id="Ra9a332b80ccb4670"/>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26" hidden="0" customWidth="1"/>
    <x:col min="8" max="8" width="18" hidden="0" customWidth="1"/>
    <x:col min="9" max="9" width="18" hidden="0" customWidth="1"/>
    <x:col min="10" max="10" width="18" hidden="0" customWidth="1"/>
    <x:col min="11" max="11" width="18" hidden="0" customWidth="1"/>
    <x:col min="12" max="12" width="26" hidden="0" customWidth="1"/>
  </x:cols>
  <x:sheetData>
    <x:row r="1" ht="30" hidden="0" customHeight="1">
      <x:c r="A1" s="843" t="str">
        <x:v>수송선 설계 v0.1 — Integrity / Repair / Shelter / ShipCondition (v3.1 Canon Sync에서 계산 기준 보존)</x:v>
      </x:c>
      <x:c r="B1" s="843"/>
      <x:c r="C1" s="843"/>
      <x:c r="D1" s="843"/>
      <x:c r="E1" s="843"/>
      <x:c r="F1" s="843"/>
      <x:c r="G1" s="843"/>
      <x:c r="H1" s="843"/>
      <x:c r="I1" s="843"/>
      <x:c r="J1" s="843"/>
      <x:c r="K1" s="843"/>
      <x:c r="L1" s="843"/>
    </x:row>
    <x:row r="2" ht="42" hidden="0" customHeight="1">
      <x:c r="A2" s="846" t="str">
        <x:v>핵심 원칙: 기존 시설 Integrity/Repair/Ending 역산 수치는 v3.0 설계를 그대로 보존한다. '총 55점'은 저장값의 합계일 뿐 플레이어에게 하나의 추상 준비도 게이지로 다시 만들지 않는다. 각 Facility의 기능과 임계치가 먼저 의미를 가지며, D14 피난 가능성과 D21 항해 가능성은 그 상태에서 파생 계산한다.</x:v>
      </x:c>
      <x:c r="B2" s="846"/>
      <x:c r="C2" s="846"/>
      <x:c r="D2" s="846"/>
      <x:c r="E2" s="846"/>
      <x:c r="F2" s="846"/>
      <x:c r="G2" s="846"/>
      <x:c r="H2" s="846"/>
      <x:c r="I2" s="846"/>
      <x:c r="J2" s="846"/>
      <x:c r="K2" s="846"/>
      <x:c r="L2" s="846"/>
    </x:row>
    <x:row r="3" ht="15" hidden="0" customHeight="1">
      <x:c r="A3" s="825"/>
      <x:c r="B3" s="825"/>
      <x:c r="C3" s="825"/>
      <x:c r="D3" s="825"/>
      <x:c r="E3" s="825"/>
      <x:c r="F3" s="825"/>
      <x:c r="G3" s="825"/>
      <x:c r="H3" s="825"/>
      <x:c r="I3" s="825"/>
      <x:c r="J3" s="825"/>
      <x:c r="K3" s="825"/>
      <x:c r="L3" s="825"/>
    </x:row>
    <x:row r="4" ht="26" hidden="0" customHeight="1">
      <x:c r="A4" s="852" t="str">
        <x:v>1. Integrity 단계의 공통 의미</x:v>
      </x:c>
      <x:c r="B4" s="852"/>
      <x:c r="C4" s="852"/>
      <x:c r="D4" s="852"/>
      <x:c r="E4" s="852"/>
      <x:c r="F4" s="852"/>
      <x:c r="G4" s="852"/>
      <x:c r="H4" s="852"/>
      <x:c r="I4" s="852"/>
      <x:c r="J4" s="852"/>
      <x:c r="K4" s="852"/>
      <x:c r="L4" s="852"/>
    </x:row>
    <x:row r="5" ht="15" hidden="0" customHeight="1">
      <x:c r="A5" s="839" t="str">
        <x:v>값</x:v>
      </x:c>
      <x:c r="B5" s="839" t="str">
        <x:v>공통 의미</x:v>
      </x:c>
      <x:c r="C5" s="839" t="str">
        <x:v>플레이 체감</x:v>
      </x:c>
      <x:c r="D5" s="839" t="str">
        <x:v>비고</x:v>
      </x:c>
      <x:c r="E5" s="825"/>
      <x:c r="F5" s="825"/>
      <x:c r="G5" s="825"/>
      <x:c r="H5" s="825"/>
      <x:c r="I5" s="825"/>
      <x:c r="J5" s="825"/>
      <x:c r="K5" s="825"/>
      <x:c r="L5" s="825"/>
    </x:row>
    <x:row r="6" ht="30" hidden="0" customHeight="1">
      <x:c r="A6" s="839" t="n">
        <x:v>0</x:v>
      </x:c>
      <x:c r="B6" s="839" t="str">
        <x:v>기능 불능/붕괴</x:v>
      </x:c>
      <x:c r="C6" s="839" t="str">
        <x:v>W3에서 폐쇄·Emergency·Bad 등 시설별 치명 결과</x:v>
      </x:c>
      <x:c r="D6" s="839" t="str">
        <x:v>시설별 0 효과는 다름</x:v>
      </x:c>
      <x:c r="E6" s="839"/>
      <x:c r="F6" s="839"/>
      <x:c r="G6" s="839"/>
      <x:c r="H6" s="839"/>
      <x:c r="I6" s="839"/>
      <x:c r="J6" s="839"/>
      <x:c r="K6" s="839"/>
      <x:c r="L6" s="839"/>
    </x:row>
    <x:row r="7" ht="24" hidden="0" customHeight="1">
      <x:c r="A7" s="825" t="n">
        <x:v>1</x:v>
      </x:c>
      <x:c r="B7" s="825" t="str">
        <x:v>간신히 작동</x:v>
      </x:c>
      <x:c r="C7" s="825" t="str">
        <x:v>필수 기능 일부만 가능, 위기 상태</x:v>
      </x:c>
      <x:c r="D7" s="825" t="str">
        <x:v>공연 Quest 노출 등 '가능성'만 보일 수 있음</x:v>
      </x:c>
      <x:c r="E7" s="825"/>
      <x:c r="F7" s="825"/>
      <x:c r="G7" s="825"/>
      <x:c r="H7" s="825"/>
      <x:c r="I7" s="825"/>
      <x:c r="J7" s="825"/>
      <x:c r="K7" s="825"/>
      <x:c r="L7" s="825"/>
    </x:row>
    <x:row r="8" ht="24" hidden="0" customHeight="1">
      <x:c r="A8" s="825" t="n">
        <x:v>2</x:v>
      </x:c>
      <x:c r="B8" s="825" t="str">
        <x:v>최소 작동</x:v>
      </x:c>
      <x:c r="C8" s="825" t="str">
        <x:v>기본 사용 가능하지만 불안정</x:v>
      </x:c>
      <x:c r="D8" s="825" t="str">
        <x:v>함교/엔진 등 다수 시설의 시작 상태</x:v>
      </x:c>
      <x:c r="E8" s="825"/>
      <x:c r="F8" s="825"/>
      <x:c r="G8" s="825"/>
      <x:c r="H8" s="825"/>
      <x:c r="I8" s="825"/>
      <x:c r="J8" s="825"/>
      <x:c r="K8" s="825"/>
      <x:c r="L8" s="825"/>
    </x:row>
    <x:row r="9" ht="24" hidden="0" customHeight="1">
      <x:c r="A9" s="825" t="n">
        <x:v>3</x:v>
      </x:c>
      <x:c r="B9" s="825" t="str">
        <x:v>안정화</x:v>
      </x:c>
      <x:c r="C9" s="825" t="str">
        <x:v>피난/생존 목적의 안정적 사용 가능</x:v>
      </x:c>
      <x:c r="D9" s="825" t="str">
        <x:v>D14 Shelter Gate의 핵심 기준선</x:v>
      </x:c>
      <x:c r="E9" s="825"/>
      <x:c r="F9" s="825"/>
      <x:c r="G9" s="825"/>
      <x:c r="H9" s="825"/>
      <x:c r="I9" s="825"/>
      <x:c r="J9" s="825"/>
      <x:c r="K9" s="825"/>
      <x:c r="L9" s="825"/>
    </x:row>
    <x:row r="10" ht="24" hidden="0" customHeight="1">
      <x:c r="A10" s="825" t="n">
        <x:v>4</x:v>
      </x:c>
      <x:c r="B10" s="825" t="str">
        <x:v>양호</x:v>
      </x:c>
      <x:c r="C10" s="825" t="str">
        <x:v>장기 사용에 신뢰할 만함</x:v>
      </x:c>
      <x:c r="D10" s="825" t="str">
        <x:v>D21 Good 조건의 일부</x:v>
      </x:c>
      <x:c r="E10" s="825"/>
      <x:c r="F10" s="825"/>
      <x:c r="G10" s="825"/>
      <x:c r="H10" s="825"/>
      <x:c r="I10" s="825"/>
      <x:c r="J10" s="825"/>
      <x:c r="K10" s="825"/>
      <x:c r="L10" s="825"/>
    </x:row>
    <x:row r="11" ht="24" hidden="0" customHeight="1">
      <x:c r="A11" s="825" t="n">
        <x:v>5</x:v>
      </x:c>
      <x:c r="B11" s="825" t="str">
        <x:v>완전 복구</x:v>
      </x:c>
      <x:c r="C11" s="825" t="str">
        <x:v>시설 본래 기능 + 고유 콘텐츠/최대 효율</x:v>
      </x:c>
      <x:c r="D11" s="825" t="str">
        <x:v>W1~2 서사/Quest unlock과 연결</x:v>
      </x:c>
      <x:c r="E11" s="825"/>
      <x:c r="F11" s="825"/>
      <x:c r="G11" s="825"/>
      <x:c r="H11" s="825"/>
      <x:c r="I11" s="825"/>
      <x:c r="J11" s="825"/>
      <x:c r="K11" s="825"/>
      <x:c r="L11" s="825"/>
    </x:row>
    <x:row r="12" ht="15" hidden="0" customHeight="1">
      <x:c r="A12" s="825"/>
      <x:c r="B12" s="825"/>
      <x:c r="C12" s="825"/>
      <x:c r="D12" s="825"/>
      <x:c r="E12" s="825"/>
      <x:c r="F12" s="825"/>
      <x:c r="G12" s="825"/>
      <x:c r="H12" s="825"/>
      <x:c r="I12" s="825"/>
      <x:c r="J12" s="825"/>
      <x:c r="K12" s="825"/>
      <x:c r="L12" s="825"/>
    </x:row>
    <x:row r="13" ht="26" hidden="0" customHeight="1">
      <x:c r="A13" s="852" t="str">
        <x:v>2. Facility별 역할 / 시작값 / 목표</x:v>
      </x:c>
      <x:c r="B13" s="852"/>
      <x:c r="C13" s="852"/>
      <x:c r="D13" s="852"/>
      <x:c r="E13" s="852"/>
      <x:c r="F13" s="852"/>
      <x:c r="G13" s="852"/>
      <x:c r="H13" s="852"/>
      <x:c r="I13" s="852"/>
      <x:c r="J13" s="852"/>
      <x:c r="K13" s="852"/>
      <x:c r="L13" s="852"/>
    </x:row>
    <x:row r="14" ht="30" hidden="0" customHeight="1">
      <x:c r="A14" s="849" t="str">
        <x:v>시설</x:v>
      </x:c>
      <x:c r="B14" s="849" t="str">
        <x:v>시작</x:v>
      </x:c>
      <x:c r="C14" s="849" t="str">
        <x:v>Max</x:v>
      </x:c>
      <x:c r="D14" s="849" t="str">
        <x:v>D14 최소</x:v>
      </x:c>
      <x:c r="E14" s="849" t="str">
        <x:v>D21 Normal 핵심</x:v>
      </x:c>
      <x:c r="F14" s="849" t="str">
        <x:v>5/5 의미</x:v>
      </x:c>
      <x:c r="G14" s="849" t="str">
        <x:v>0 또는 치명 효과</x:v>
      </x:c>
      <x:c r="H14" s="849" t="str">
        <x:v>W1~2 주요 연결</x:v>
      </x:c>
      <x:c r="I14" s="849" t="str">
        <x:v>W3 주요 연결</x:v>
      </x:c>
      <x:c r="J14" s="849" t="str">
        <x:v>출항 Hard Gate</x:v>
      </x:c>
      <x:c r="K14" s="849" t="str">
        <x:v>상태</x:v>
      </x:c>
      <x:c r="L14" s="849" t="str">
        <x:v>메모</x:v>
      </x:c>
    </x:row>
    <x:row r="15" ht="48" hidden="0" customHeight="1">
      <x:c r="A15" s="825" t="str">
        <x:v>전체 외벽</x:v>
      </x:c>
      <x:c r="B15" s="825" t="n">
        <x:v>5</x:v>
      </x:c>
      <x:c r="C15" s="825" t="n">
        <x:v>20</x:v>
      </x:c>
      <x:c r="D15" s="825" t="n">
        <x:v>8</x:v>
      </x:c>
      <x:c r="E15" s="825" t="n">
        <x:v>10</x:v>
      </x:c>
      <x:c r="F15" s="825" t="str">
        <x:v>20 = 완전 보강</x:v>
      </x:c>
      <x:c r="G15" s="825" t="str">
        <x:v>0 → 4h Collapse Deadline의 Global Hull Forced Emergency. 실패 시 Bad1. 성공 해법에 따라 Hull 1 또는 4로 복구.</x:v>
      </x:c>
      <x:c r="H15" s="825" t="str">
        <x:v>폭풍 전 외벽 보강</x:v>
      </x:c>
      <x:c r="I15" s="825" t="str">
        <x:v>Breach Tick마다 -1</x:v>
      </x:c>
      <x:c r="J15" s="825" t="str">
        <x:v>예(&gt;=10 Normal)</x:v>
      </x:c>
      <x:c r="K15" s="825" t="str">
        <x:v>TEMP</x:v>
      </x:c>
      <x:c r="L15" s="825" t="str">
        <x:v>Global Hull0는 일반 수리와 별도. 기술8=4h, 기술10+의지=2h, 순수의지2=4h(Hull1), 전문가/희생 해법.</x:v>
      </x:c>
    </x:row>
    <x:row r="16" ht="24" hidden="0" customHeight="1">
      <x:c r="A16" s="825" t="str">
        <x:v>함교</x:v>
      </x:c>
      <x:c r="B16" s="825" t="n">
        <x:v>2</x:v>
      </x:c>
      <x:c r="C16" s="825" t="n">
        <x:v>5</x:v>
      </x:c>
      <x:c r="D16" s="825" t="n">
        <x:v>2</x:v>
      </x:c>
      <x:c r="E16" s="825" t="n">
        <x:v>2</x:v>
      </x:c>
      <x:c r="F16" s="825" t="str">
        <x:v>완전 항법/통신/방송</x:v>
      </x:c>
      <x:c r="G16" s="825" t="str">
        <x:v>0 → 함교 영구 폐쇄</x:v>
      </x:c>
      <x:c r="H16" s="825" t="str">
        <x:v>샘 지휘/항법·페이 방송 기반</x:v>
      </x:c>
      <x:c r="I16" s="825" t="str">
        <x:v>방송/지휘/Final</x:v>
      </x:c>
      <x:c r="J16" s="825" t="str">
        <x:v>예(&gt;=2)</x:v>
      </x:c>
      <x:c r="K16" s="825" t="str">
        <x:v>TEMP</x:v>
      </x:c>
      <x:c r="L16" s="825" t="str">
        <x:v>페이 공연 실제 조건 &gt;=2 유지</x:v>
      </x:c>
    </x:row>
    <x:row r="17" ht="24" hidden="0" customHeight="1">
      <x:c r="A17" s="825" t="str">
        <x:v>엔진실</x:v>
      </x:c>
      <x:c r="B17" s="825" t="n">
        <x:v>2</x:v>
      </x:c>
      <x:c r="C17" s="825" t="n">
        <x:v>5</x:v>
      </x:c>
      <x:c r="D17" s="825" t="n">
        <x:v>2</x:v>
      </x:c>
      <x:c r="E17" s="825" t="n">
        <x:v>3</x:v>
      </x:c>
      <x:c r="F17" s="825" t="str">
        <x:v>장거리 항해 출력 완전 복구</x:v>
      </x:c>
      <x:c r="G17" s="825" t="str">
        <x:v>0 → 엔지니어 구역 폐쇄</x:v>
      </x:c>
      <x:c r="H17" s="825" t="str">
        <x:v>동력/피난 전력·벤자민/페이 수리</x:v>
      </x:c>
      <x:c r="I17" s="825" t="str">
        <x:v>동력·출항</x:v>
      </x:c>
      <x:c r="J17" s="825" t="str">
        <x:v>예(&gt;=3)</x:v>
      </x:c>
      <x:c r="K17" s="825" t="str">
        <x:v>TEMP</x:v>
      </x:c>
      <x:c r="L17" s="825" t="str">
        <x:v>D14는 2로 버틸 수 있으나 D21 장거리 항해는 3 필요</x:v>
      </x:c>
    </x:row>
    <x:row r="18" ht="24" hidden="0" customHeight="1">
      <x:c r="A18" s="825" t="str">
        <x:v>산소보급실</x:v>
      </x:c>
      <x:c r="B18" s="825" t="n">
        <x:v>2</x:v>
      </x:c>
      <x:c r="C18" s="825" t="n">
        <x:v>5</x:v>
      </x:c>
      <x:c r="D18" s="825" t="n">
        <x:v>3</x:v>
      </x:c>
      <x:c r="E18" s="825" t="n">
        <x:v>3</x:v>
      </x:c>
      <x:c r="F18" s="825" t="str">
        <x:v>안정적 장기 생명유지</x:v>
      </x:c>
      <x:c r="G18" s="825" t="str">
        <x:v>0 → 산소계 Emergency/연쇄 중단 후보</x:v>
      </x:c>
      <x:c r="H18" s="825" t="str">
        <x:v>대피용 생명유지 준비</x:v>
      </x:c>
      <x:c r="I18" s="825" t="str">
        <x:v>Oxygen Failure</x:v>
      </x:c>
      <x:c r="J18" s="825" t="str">
        <x:v>예(&gt;=3)</x:v>
      </x:c>
      <x:c r="K18" s="825" t="str">
        <x:v>TEMP</x:v>
      </x:c>
      <x:c r="L18" s="825" t="str">
        <x:v>0의 정확한 Deadline 규칙 추가 필요</x:v>
      </x:c>
    </x:row>
    <x:row r="19" ht="24" hidden="0" customHeight="1">
      <x:c r="A19" s="825" t="str">
        <x:v>연구실</x:v>
      </x:c>
      <x:c r="B19" s="825" t="n">
        <x:v>2</x:v>
      </x:c>
      <x:c r="C19" s="825" t="n">
        <x:v>5</x:v>
      </x:c>
      <x:c r="D19" s="825" t="n">
        <x:v>0</x:v>
      </x:c>
      <x:c r="E19" s="825" t="n">
        <x:v>0</x:v>
      </x:c>
      <x:c r="F19" s="825" t="str">
        <x:v>Sustainability 재점검 가능</x:v>
      </x:c>
      <x:c r="G19" s="825" t="str">
        <x:v>0 → 연구 구역 폐쇄</x:v>
      </x:c>
      <x:c r="H19" s="825" t="str">
        <x:v>보리치 조사/재평가</x:v>
      </x:c>
      <x:c r="I19" s="825" t="str">
        <x:v>Hidden/분석</x:v>
      </x:c>
      <x:c r="J19" s="825" t="str">
        <x:v>아니오</x:v>
      </x:c>
      <x:c r="K19" s="825" t="str">
        <x:v>확정방향</x:v>
      </x:c>
      <x:c r="L19" s="825" t="str">
        <x:v>Hidden에 중요하지만 출항 자체에는 불필요</x:v>
      </x:c>
    </x:row>
    <x:row r="20" ht="36" hidden="0" customHeight="1">
      <x:c r="A20" s="825" t="str">
        <x:v>냉동창고</x:v>
      </x:c>
      <x:c r="B20" s="825" t="n">
        <x:v>5</x:v>
      </x:c>
      <x:c r="C20" s="825" t="n">
        <x:v>5</x:v>
      </x:c>
      <x:c r="D20" s="825" t="n">
        <x:v>0</x:v>
      </x:c>
      <x:c r="E20" s="825" t="n">
        <x:v>0</x:v>
      </x:c>
      <x:c r="F20" s="825" t="str">
        <x:v>초기부터 완전 정상</x:v>
      </x:c>
      <x:c r="G20" s="825" t="str">
        <x:v>0→6h 복구창→성공 시 1~2 회복 / 실패 시 기능정지(PERMANENT)→항해불가</x:v>
      </x:c>
      <x:c r="H20" s="825" t="str">
        <x:v>보존해야 하는 자산</x:v>
      </x:c>
      <x:c r="I20" s="825" t="str">
        <x:v>기능상실 Emergency</x:v>
      </x:c>
      <x:c r="J20" s="825" t="str">
        <x:v>기능정지 금지</x:v>
      </x:c>
      <x:c r="K20" s="825" t="str">
        <x:v>확정</x:v>
      </x:c>
      <x:c r="L20" s="825" t="str">
        <x:v>0은 즉시 영구 실패가 아니라 6h 마지막 복구 기회. Recovery 중 generic repair 잠금(TEMP).</x:v>
      </x:c>
    </x:row>
    <x:row r="21" ht="84" hidden="0" customHeight="1">
      <x:c r="A21" s="825" t="str">
        <x:v>온실</x:v>
      </x:c>
      <x:c r="B21" s="825" t="n">
        <x:v>5</x:v>
      </x:c>
      <x:c r="C21" s="825" t="n">
        <x:v>5</x:v>
      </x:c>
      <x:c r="D21" s="825" t="n">
        <x:v>0</x:v>
      </x:c>
      <x:c r="E21" s="825" t="n">
        <x:v>0</x:v>
      </x:c>
      <x:c r="F21" s="825" t="str">
        <x:v>초기부터 완전 정상</x:v>
      </x:c>
      <x:c r="G21" s="825" t="str">
        <x:v>0→24h 복구창→성공 시 1~2 회복 / 실패 시 기능정지(PERMANENT)→장거리 항해 불가</x:v>
      </x:c>
      <x:c r="H21" s="825" t="str">
        <x:v>샘 W2 야간 사건</x:v>
      </x:c>
      <x:c r="I21" s="825" t="str">
        <x:v>기능상실 Emergency</x:v>
      </x:c>
      <x:c r="J21" s="825" t="str">
        <x:v>기능정지 금지</x:v>
      </x:c>
      <x:c r="K21" s="825" t="str">
        <x:v>확정</x:v>
      </x:c>
      <x:c r="L21" s="825" t="str">
        <x:v>D13 샘 야간 사건 후 D15 진입값 3/5 TEMP. 24h Timer는 Overnight 진행. 온실은 수송선 장기 식량 생산 기반이라 출항 Hard Gate는 유지하되, D12 시험재배 Side로 행성 정착 시 외부 농업 대체 가능성을 암시.</x:v>
      </x:c>
    </x:row>
    <x:row r="22" ht="24" hidden="0" customHeight="1">
      <x:c r="A22" s="825" t="str">
        <x:v>거주구역</x:v>
      </x:c>
      <x:c r="B22" s="825" t="n">
        <x:v>2</x:v>
      </x:c>
      <x:c r="C22" s="825" t="n">
        <x:v>5</x:v>
      </x:c>
      <x:c r="D22" s="825" t="n">
        <x:v>3</x:v>
      </x:c>
      <x:c r="E22" s="825" t="n">
        <x:v>0</x:v>
      </x:c>
      <x:c r="F22" s="825" t="str">
        <x:v>안정적 공동체 생활/휴식</x:v>
      </x:c>
      <x:c r="G22" s="825" t="str">
        <x:v>&lt;=2 Panic / 0 → 떼죽음 Bad</x:v>
      </x:c>
      <x:c r="H22" s="825" t="str">
        <x:v>디야·아이들/피난 수용</x:v>
      </x:c>
      <x:c r="I22" s="825" t="str">
        <x:v>Panic/주민 생존</x:v>
      </x:c>
      <x:c r="J22" s="825" t="str">
        <x:v>아니오</x:v>
      </x:c>
      <x:c r="K22" s="825" t="str">
        <x:v>TEMP</x:v>
      </x:c>
      <x:c r="L22" s="825" t="str">
        <x:v>D14 최소 3을 요구하면 W3 시작 즉시 Panic 방지</x:v>
      </x:c>
    </x:row>
    <x:row r="23" ht="15" hidden="0" customHeight="1">
      <x:c r="A23" s="825"/>
      <x:c r="B23" s="825"/>
      <x:c r="C23" s="825"/>
      <x:c r="D23" s="825"/>
      <x:c r="E23" s="825"/>
      <x:c r="F23" s="825"/>
      <x:c r="G23" s="825"/>
      <x:c r="H23" s="825"/>
      <x:c r="I23" s="825"/>
      <x:c r="J23" s="825"/>
      <x:c r="K23" s="825"/>
      <x:c r="L23" s="825"/>
    </x:row>
    <x:row r="24" ht="26" hidden="0" customHeight="1">
      <x:c r="A24" s="852" t="str">
        <x:v>3. 수리 행동 — 반복 노가다 방지 제안</x:v>
      </x:c>
      <x:c r="B24" s="852"/>
      <x:c r="C24" s="852"/>
      <x:c r="D24" s="852"/>
      <x:c r="E24" s="852"/>
      <x:c r="F24" s="852"/>
      <x:c r="G24" s="852"/>
      <x:c r="H24" s="852"/>
      <x:c r="I24" s="852"/>
      <x:c r="J24" s="852"/>
      <x:c r="K24" s="852"/>
      <x:c r="L24" s="852"/>
    </x:row>
    <x:row r="25" ht="30" hidden="0" customHeight="1">
      <x:c r="A25" s="849" t="str">
        <x:v>방법</x:v>
      </x:c>
      <x:c r="B25" s="849" t="str">
        <x:v>시간</x:v>
      </x:c>
      <x:c r="C25" s="849" t="str">
        <x:v>요구</x:v>
      </x:c>
      <x:c r="D25" s="849" t="str">
        <x:v>회복량</x:v>
      </x:c>
      <x:c r="E25" s="849" t="str">
        <x:v>용도</x:v>
      </x:c>
      <x:c r="F25" s="849" t="str">
        <x:v>장점</x:v>
      </x:c>
      <x:c r="G25" s="849" t="str">
        <x:v>위험/메모</x:v>
      </x:c>
      <x:c r="H25" s="849"/>
      <x:c r="I25" s="849"/>
      <x:c r="J25" s="849"/>
      <x:c r="K25" s="849"/>
      <x:c r="L25" s="849"/>
    </x:row>
    <x:row r="26" ht="30" hidden="0" customHeight="1">
      <x:c r="A26" s="839" t="str">
        <x:v>제이 일반 수리</x:v>
      </x:c>
      <x:c r="B26" s="839" t="n">
        <x:v>2</x:v>
      </x:c>
      <x:c r="C26" s="839" t="str">
        <x:v>기술 3 (TEMP)</x:v>
      </x:c>
      <x:c r="D26" s="839" t="str">
        <x:v>+1 Facility</x:v>
      </x:c>
      <x:c r="E26" s="839" t="str">
        <x:v>5-Max 시설</x:v>
      </x:c>
      <x:c r="F26" s="839" t="str">
        <x:v>기본 선택지</x:v>
      </x:c>
      <x:c r="G26" s="839" t="str">
        <x:v>현재 Route Simulation의 기준</x:v>
      </x:c>
      <x:c r="H26" s="839"/>
      <x:c r="I26" s="839"/>
      <x:c r="J26" s="839"/>
      <x:c r="K26" s="839"/>
      <x:c r="L26" s="839"/>
    </x:row>
    <x:row r="27" ht="24" hidden="0" customHeight="1">
      <x:c r="A27" s="825" t="str">
        <x:v>제이 숙련 수리</x:v>
      </x:c>
      <x:c r="B27" s="825" t="n">
        <x:v>1</x:v>
      </x:c>
      <x:c r="C27" s="825" t="str">
        <x:v>기술 5 (TEMP)</x:v>
      </x:c>
      <x:c r="D27" s="825" t="str">
        <x:v>+1 Facility</x:v>
      </x:c>
      <x:c r="E27" s="825" t="str">
        <x:v>5-Max 시설</x:v>
      </x:c>
      <x:c r="F27" s="825" t="str">
        <x:v>성장이 시간 절약으로 직결</x:v>
      </x:c>
      <x:c r="G27" s="825" t="str">
        <x:v>정확 레벨은 XP 설계 후 조정</x:v>
      </x:c>
      <x:c r="H27" s="825"/>
      <x:c r="I27" s="825"/>
      <x:c r="J27" s="825"/>
      <x:c r="K27" s="825"/>
      <x:c r="L27" s="825"/>
    </x:row>
    <x:row r="28" ht="36" hidden="0" customHeight="1">
      <x:c r="A28" s="825" t="str">
        <x:v>전체 외벽 보강</x:v>
      </x:c>
      <x:c r="B28" s="825" t="n">
        <x:v>2</x:v>
      </x:c>
      <x:c r="C28" s="825" t="str">
        <x:v>기술 3 (TEMP)</x:v>
      </x:c>
      <x:c r="D28" s="825" t="str">
        <x:v>+4 Hull</x:v>
      </x:c>
      <x:c r="E28" s="825" t="str">
        <x:v>Global Hull</x:v>
      </x:c>
      <x:c r="F28" s="825" t="str">
        <x:v>5점 시설의 +1과 비슷한 '20% 복구 단위'로 스케일 통일</x:v>
      </x:c>
      <x:c r="G28" s="825" t="str">
        <x:v>기존 +1 Hull 반복보다 노가다 크게 감소</x:v>
      </x:c>
      <x:c r="H28" s="825"/>
      <x:c r="I28" s="825"/>
      <x:c r="J28" s="825"/>
      <x:c r="K28" s="825"/>
      <x:c r="L28" s="825"/>
    </x:row>
    <x:row r="29" ht="36" hidden="0" customHeight="1">
      <x:c r="A29" s="825" t="str">
        <x:v>벤자민 협업</x:v>
      </x:c>
      <x:c r="B29" s="825" t="n">
        <x:v>1</x:v>
      </x:c>
      <x:c r="C29" s="825" t="str">
        <x:v>벤자민 생존·Available</x:v>
      </x:c>
      <x:c r="D29" s="825" t="str">
        <x:v>+1 Facility / +4 Hull</x:v>
      </x:c>
      <x:c r="E29" s="825" t="str">
        <x:v>대부분 시설</x:v>
      </x:c>
      <x:c r="F29" s="825" t="str">
        <x:v>최강 현장 수리 인력이라는 캐릭터성을 실제 효율로 반영</x:v>
      </x:c>
      <x:c r="G29" s="825" t="str">
        <x:v>Affinity가 아니라 Availability를 우선; 세부 대상 TBD</x:v>
      </x:c>
      <x:c r="H29" s="825"/>
      <x:c r="I29" s="825"/>
      <x:c r="J29" s="825"/>
      <x:c r="K29" s="825"/>
      <x:c r="L29" s="825"/>
    </x:row>
    <x:row r="30" ht="24" hidden="0" customHeight="1">
      <x:c r="A30" s="825" t="str">
        <x:v>페이 협업</x:v>
      </x:c>
      <x:c r="B30" s="825" t="n">
        <x:v>1</x:v>
      </x:c>
      <x:c r="C30" s="825" t="str">
        <x:v>페이 생존·Available</x:v>
      </x:c>
      <x:c r="D30" s="825" t="str">
        <x:v>+1 Facility</x:v>
      </x:c>
      <x:c r="E30" s="825" t="str">
        <x:v>함교/엔진/산소 중심</x:v>
      </x:c>
      <x:c r="F30" s="825" t="str">
        <x:v>전기·동력 시스템 강점</x:v>
      </x:c>
      <x:c r="G30" s="825" t="str">
        <x:v>개인 아크를 '수리 캐릭터'로 환원하지 않도록 범위 제한</x:v>
      </x:c>
      <x:c r="H30" s="825"/>
      <x:c r="I30" s="825"/>
      <x:c r="J30" s="825"/>
      <x:c r="K30" s="825"/>
      <x:c r="L30" s="825"/>
    </x:row>
    <x:row r="31" ht="30" hidden="0" customHeight="1">
      <x:c r="A31" s="839" t="str">
        <x:v>시설 복구 Project</x:v>
      </x:c>
      <x:c r="B31" s="839" t="n">
        <x:v>3</x:v>
      </x:c>
      <x:c r="C31" s="839" t="str">
        <x:v>관련 Main/Character/시설 조건</x:v>
      </x:c>
      <x:c r="D31" s="839" t="str">
        <x:v>+2 Facility (1회성)</x:v>
      </x:c>
      <x:c r="E31" s="839" t="str">
        <x:v>특정 시설</x:v>
      </x:c>
      <x:c r="F31" s="839" t="str">
        <x:v>반복 Interaction 대신 서사 장면과 큰 복구를 결합</x:v>
      </x:c>
      <x:c r="G31" s="839" t="str">
        <x:v>시설별 Project를 모두 만들지는 TBD</x:v>
      </x:c>
      <x:c r="H31" s="839"/>
      <x:c r="I31" s="839"/>
      <x:c r="J31" s="839"/>
      <x:c r="K31" s="839"/>
      <x:c r="L31" s="839"/>
    </x:row>
    <x:row r="32" ht="15" hidden="0" customHeight="1">
      <x:c r="A32" s="825"/>
      <x:c r="B32" s="825"/>
      <x:c r="C32" s="825"/>
      <x:c r="D32" s="825"/>
      <x:c r="E32" s="825"/>
      <x:c r="F32" s="825"/>
      <x:c r="G32" s="825"/>
      <x:c r="H32" s="825"/>
      <x:c r="I32" s="825"/>
      <x:c r="J32" s="825"/>
      <x:c r="K32" s="825"/>
      <x:c r="L32" s="825"/>
    </x:row>
    <x:row r="33" ht="26" hidden="0" customHeight="1">
      <x:c r="A33" s="852" t="str">
        <x:v>4. D14 → D15 : Shelter Ready 판정 (Bad Ending 2)</x:v>
      </x:c>
      <x:c r="B33" s="852"/>
      <x:c r="C33" s="852"/>
      <x:c r="D33" s="852"/>
      <x:c r="E33" s="852"/>
      <x:c r="F33" s="852"/>
      <x:c r="G33" s="852"/>
      <x:c r="H33" s="852"/>
      <x:c r="I33" s="852"/>
      <x:c r="J33" s="852"/>
      <x:c r="K33" s="852"/>
      <x:c r="L33" s="852"/>
    </x:row>
    <x:row r="34" ht="30" hidden="0" customHeight="1">
      <x:c r="A34" s="849" t="str">
        <x:v>항목</x:v>
      </x:c>
      <x:c r="B34" s="849" t="str">
        <x:v>TEMP 최소</x:v>
      </x:c>
      <x:c r="C34" s="849" t="str">
        <x:v>이유</x:v>
      </x:c>
      <x:c r="D34" s="849"/>
      <x:c r="E34" s="849"/>
      <x:c r="F34" s="849"/>
      <x:c r="G34" s="849"/>
      <x:c r="H34" s="849"/>
      <x:c r="I34" s="849"/>
      <x:c r="J34" s="849"/>
      <x:c r="K34" s="849"/>
      <x:c r="L34" s="849"/>
    </x:row>
    <x:row r="35" ht="24" hidden="0" customHeight="1">
      <x:c r="A35" s="825" t="str">
        <x:v>전체 외벽</x:v>
      </x:c>
      <x:c r="B35" s="825" t="str">
        <x:v>&gt;= 8</x:v>
      </x:c>
      <x:c r="C35" s="825" t="str">
        <x:v>첫 모래폭풍 충격 자체를 견딜 구조 여유</x:v>
      </x:c>
      <x:c r="D35" s="825"/>
      <x:c r="E35" s="825"/>
      <x:c r="F35" s="825"/>
      <x:c r="G35" s="825"/>
      <x:c r="H35" s="825"/>
      <x:c r="I35" s="825"/>
      <x:c r="J35" s="825"/>
      <x:c r="K35" s="825"/>
      <x:c r="L35" s="825"/>
    </x:row>
    <x:row r="36" ht="15" hidden="0" customHeight="1">
      <x:c r="A36" s="825" t="str">
        <x:v>엔진실</x:v>
      </x:c>
      <x:c r="B36" s="825" t="str">
        <x:v>&gt;= 2</x:v>
      </x:c>
      <x:c r="C36" s="825" t="str">
        <x:v>기본 피난 전력 유지</x:v>
      </x:c>
      <x:c r="D36" s="825"/>
      <x:c r="E36" s="825"/>
      <x:c r="F36" s="825"/>
      <x:c r="G36" s="825"/>
      <x:c r="H36" s="825"/>
      <x:c r="I36" s="825"/>
      <x:c r="J36" s="825"/>
      <x:c r="K36" s="825"/>
      <x:c r="L36" s="825"/>
    </x:row>
    <x:row r="37" ht="24" hidden="0" customHeight="1">
      <x:c r="A37" s="825" t="str">
        <x:v>산소보급실</x:v>
      </x:c>
      <x:c r="B37" s="825" t="str">
        <x:v>&gt;= 3</x:v>
      </x:c>
      <x:c r="C37" s="825" t="str">
        <x:v>대규모 주민 수용 시 생명유지 안정화</x:v>
      </x:c>
      <x:c r="D37" s="825"/>
      <x:c r="E37" s="825"/>
      <x:c r="F37" s="825"/>
      <x:c r="G37" s="825"/>
      <x:c r="H37" s="825"/>
      <x:c r="I37" s="825"/>
      <x:c r="J37" s="825"/>
      <x:c r="K37" s="825"/>
      <x:c r="L37" s="825"/>
    </x:row>
    <x:row r="38" ht="36" hidden="0" customHeight="1">
      <x:c r="A38" s="825" t="str">
        <x:v>거주구역</x:v>
      </x:c>
      <x:c r="B38" s="825" t="str">
        <x:v>&gt;= 3</x:v>
      </x:c>
      <x:c r="C38" s="825" t="str">
        <x:v>W3 시작 즉시 Panic 상태를 피할 최소 수용 안정성</x:v>
      </x:c>
      <x:c r="D38" s="825"/>
      <x:c r="E38" s="825"/>
      <x:c r="F38" s="825"/>
      <x:c r="G38" s="825"/>
      <x:c r="H38" s="825"/>
      <x:c r="I38" s="825"/>
      <x:c r="J38" s="825"/>
      <x:c r="K38" s="825"/>
      <x:c r="L38" s="825"/>
    </x:row>
    <x:row r="39" ht="30" hidden="0" customHeight="1">
      <x:c r="A39" s="839" t="str">
        <x:v>판정</x:v>
      </x:c>
      <x:c r="B39" s="839" t="str">
        <x:v>4개 모두 충족</x:v>
      </x:c>
      <x:c r="C39" s="839" t="str">
        <x:v>불충족 시 D14 경고 → D15 첫 충격에서 Bad Ending 2. 연구실/함교/온실·냉동은 Shelter Gate에서 제외.</x:v>
      </x:c>
      <x:c r="D39" s="839"/>
      <x:c r="E39" s="839"/>
      <x:c r="F39" s="839"/>
      <x:c r="G39" s="839"/>
      <x:c r="H39" s="839"/>
      <x:c r="I39" s="839"/>
      <x:c r="J39" s="839"/>
      <x:c r="K39" s="839"/>
      <x:c r="L39" s="839"/>
    </x:row>
    <x:row r="40" ht="15" hidden="0" customHeight="1">
      <x:c r="A40" s="825"/>
      <x:c r="B40" s="825"/>
      <x:c r="C40" s="825"/>
      <x:c r="D40" s="825"/>
      <x:c r="E40" s="825"/>
      <x:c r="F40" s="825"/>
      <x:c r="G40" s="825"/>
      <x:c r="H40" s="825"/>
      <x:c r="I40" s="825"/>
      <x:c r="J40" s="825"/>
      <x:c r="K40" s="825"/>
      <x:c r="L40" s="825"/>
    </x:row>
    <x:row r="41" ht="26" hidden="0" customHeight="1">
      <x:c r="A41" s="852" t="str">
        <x:v>5. D21 ShipCondition — 파생 판정안</x:v>
      </x:c>
      <x:c r="B41" s="852"/>
      <x:c r="C41" s="852"/>
      <x:c r="D41" s="852"/>
      <x:c r="E41" s="852"/>
      <x:c r="F41" s="852"/>
      <x:c r="G41" s="852"/>
      <x:c r="H41" s="852"/>
      <x:c r="I41" s="852"/>
      <x:c r="J41" s="852"/>
      <x:c r="K41" s="852"/>
      <x:c r="L41" s="852"/>
    </x:row>
    <x:row r="42" ht="30" hidden="0" customHeight="1">
      <x:c r="A42" s="839" t="str">
        <x:v>등급</x:v>
      </x:c>
      <x:c r="B42" s="839" t="str">
        <x:v>Hard Gate / 조건</x:v>
      </x:c>
      <x:c r="C42" s="839" t="str">
        <x:v>총 Integrity 보조조건</x:v>
      </x:c>
      <x:c r="D42" s="839" t="str">
        <x:v>의미</x:v>
      </x:c>
      <x:c r="E42" s="839" t="str">
        <x:v>엔딩 사용</x:v>
      </x:c>
      <x:c r="F42" s="839"/>
      <x:c r="G42" s="839"/>
      <x:c r="H42" s="839"/>
      <x:c r="I42" s="839"/>
      <x:c r="J42" s="839"/>
      <x:c r="K42" s="839"/>
      <x:c r="L42" s="839"/>
    </x:row>
    <x:row r="43" ht="36" hidden="0" customHeight="1">
      <x:c r="A43" s="825" t="str">
        <x:v>항해 불가</x:v>
      </x:c>
      <x:c r="B43" s="825" t="str">
        <x:v>냉동창고/온실 기능정지 OR 함교&lt;1 OR 엔진&lt;2 OR 산소&lt;2</x:v>
      </x:c>
      <x:c r="C43" s="825" t="str">
        <x:v>무관</x:v>
      </x:c>
      <x:c r="D43" s="825" t="str">
        <x:v>장거리 출항 자체가 불가능</x:v>
      </x:c>
      <x:c r="E43" s="825" t="str">
        <x:v>출항 Ending 차단</x:v>
      </x:c>
      <x:c r="F43" s="825"/>
      <x:c r="G43" s="825"/>
      <x:c r="H43" s="825"/>
      <x:c r="I43" s="825"/>
      <x:c r="J43" s="825"/>
      <x:c r="K43" s="825"/>
      <x:c r="L43" s="825"/>
    </x:row>
    <x:row r="44" ht="30" hidden="0" customHeight="1">
      <x:c r="A44" s="839" t="str">
        <x:v>수리 필요</x:v>
      </x:c>
      <x:c r="B44" s="839" t="str">
        <x:v>항해 불가 아님, Normal 조건 미충족</x:v>
      </x:c>
      <x:c r="C44" s="839" t="str">
        <x:v>총합 기준 없음/보조</x:v>
      </x:c>
      <x:c r="D44" s="839" t="str">
        <x:v>폭풍 후 추가 정비가 필요한 상태. 당장 장거리 출항은 불안</x:v>
      </x:c>
      <x:c r="E44" s="839" t="str">
        <x:v>Normal3 허용 후보</x:v>
      </x:c>
      <x:c r="F44" s="839"/>
      <x:c r="G44" s="839"/>
      <x:c r="H44" s="839"/>
      <x:c r="I44" s="839"/>
      <x:c r="J44" s="839"/>
      <x:c r="K44" s="839"/>
      <x:c r="L44" s="839"/>
    </x:row>
    <x:row r="45" ht="36" hidden="0" customHeight="1">
      <x:c r="A45" s="825" t="str">
        <x:v>보통</x:v>
      </x:c>
      <x:c r="B45" s="825" t="str">
        <x:v>Hull&gt;=10 + 함교&gt;=2 + 엔진&gt;=3 + 산소&gt;=3 + 냉동/온실 기능 정상</x:v>
      </x:c>
      <x:c r="C45" s="825" t="str">
        <x:v>총 Integrity &gt;=34 (TEMP)</x:v>
      </x:c>
      <x:c r="D45" s="825" t="str">
        <x:v>즉시 출항 가능한 최소 신뢰 상태</x:v>
      </x:c>
      <x:c r="E45" s="825" t="str">
        <x:v>Normal1/2, True 가능</x:v>
      </x:c>
      <x:c r="F45" s="825"/>
      <x:c r="G45" s="825"/>
      <x:c r="H45" s="825"/>
      <x:c r="I45" s="825"/>
      <x:c r="J45" s="825"/>
      <x:c r="K45" s="825"/>
      <x:c r="L45" s="825"/>
    </x:row>
    <x:row r="46" ht="30" hidden="0" customHeight="1">
      <x:c r="A46" s="839" t="str">
        <x:v>좋음</x:v>
      </x:c>
      <x:c r="B46" s="839" t="str">
        <x:v>Hull&gt;=15 + 함교&gt;=4 + 엔진&gt;=4 + 산소&gt;=4 + 냉동/온실 기능 정상</x:v>
      </x:c>
      <x:c r="C46" s="839" t="str">
        <x:v>총 Integrity &gt;=44 (TEMP)</x:v>
      </x:c>
      <x:c r="D46" s="839" t="str">
        <x:v>충분한 여유를 가진 장거리 항해 상태</x:v>
      </x:c>
      <x:c r="E46" s="839" t="str">
        <x:v>True/최상 결과 보정</x:v>
      </x:c>
      <x:c r="F46" s="839"/>
      <x:c r="G46" s="839"/>
      <x:c r="H46" s="839"/>
      <x:c r="I46" s="839"/>
      <x:c r="J46" s="839"/>
      <x:c r="K46" s="839"/>
      <x:c r="L46" s="839"/>
    </x:row>
    <x:row r="47" ht="15" hidden="0" customHeight="1">
      <x:c r="A47" s="825"/>
      <x:c r="B47" s="825"/>
      <x:c r="C47" s="825"/>
      <x:c r="D47" s="825"/>
      <x:c r="E47" s="825"/>
      <x:c r="F47" s="825"/>
      <x:c r="G47" s="825"/>
      <x:c r="H47" s="825"/>
      <x:c r="I47" s="825"/>
      <x:c r="J47" s="825"/>
      <x:c r="K47" s="825"/>
      <x:c r="L47" s="825"/>
    </x:row>
    <x:row r="48" ht="26" hidden="0" customHeight="1">
      <x:c r="A48" s="852" t="str">
        <x:v>6. 엔딩과 수송선의 관계</x:v>
      </x:c>
      <x:c r="B48" s="852"/>
      <x:c r="C48" s="852"/>
      <x:c r="D48" s="852"/>
      <x:c r="E48" s="852"/>
      <x:c r="F48" s="852"/>
      <x:c r="G48" s="852"/>
      <x:c r="H48" s="852"/>
      <x:c r="I48" s="852"/>
      <x:c r="J48" s="852"/>
      <x:c r="K48" s="852"/>
      <x:c r="L48" s="852"/>
    </x:row>
    <x:row r="49" ht="30" hidden="0" customHeight="1">
      <x:c r="A49" s="849" t="str">
        <x:v>엔딩</x:v>
      </x:c>
      <x:c r="B49" s="849" t="str">
        <x:v>수송선 조건 제안</x:v>
      </x:c>
      <x:c r="C49" s="849" t="str">
        <x:v>설계 의도</x:v>
      </x:c>
      <x:c r="D49" s="849" t="str">
        <x:v>상태</x:v>
      </x:c>
      <x:c r="E49" s="849"/>
      <x:c r="F49" s="849"/>
      <x:c r="G49" s="849"/>
      <x:c r="H49" s="849"/>
      <x:c r="I49" s="849"/>
      <x:c r="J49" s="849"/>
      <x:c r="K49" s="849"/>
      <x:c r="L49" s="849"/>
    </x:row>
    <x:row r="50" ht="26" hidden="0" customHeight="1">
      <x:c r="A50" s="852" t="str">
        <x:v>8. D15 Repair Profile 기준 — 13_FacilityTransition에서 검증</x:v>
      </x:c>
      <x:c r="B50" s="852"/>
      <x:c r="C50" s="852"/>
      <x:c r="D50" s="852"/>
      <x:c r="E50" s="852"/>
      <x:c r="F50" s="852"/>
      <x:c r="G50" s="852"/>
      <x:c r="H50" s="852"/>
      <x:c r="I50" s="852"/>
      <x:c r="J50" s="852"/>
      <x:c r="K50" s="852"/>
      <x:c r="L50" s="852"/>
    </x:row>
    <x:row r="51" ht="30" hidden="0" customHeight="1">
      <x:c r="A51" s="849" t="str">
        <x:v>Profile</x:v>
      </x:c>
      <x:c r="B51" s="849" t="str">
        <x:v>Repair 수</x:v>
      </x:c>
      <x:c r="C51" s="849" t="str">
        <x:v>D15 Total</x:v>
      </x:c>
      <x:c r="D51" s="849" t="str">
        <x:v>D15 Condition</x:v>
      </x:c>
      <x:c r="E51" s="849" t="str">
        <x:v>의미</x:v>
      </x:c>
      <x:c r="F51" s="849"/>
      <x:c r="G51" s="849"/>
      <x:c r="H51" s="849"/>
      <x:c r="I51" s="849"/>
      <x:c r="J51" s="849"/>
      <x:c r="K51" s="849"/>
      <x:c r="L51" s="849"/>
    </x:row>
    <x:row r="52" ht="15" hidden="0" customHeight="1">
      <x:c r="A52" s="825" t="str">
        <x:v>Shelter Minimum</x:v>
      </x:c>
      <x:c r="B52" s="825" t="n">
        <x:v>3</x:v>
      </x:c>
      <x:c r="C52" s="825" t="n">
        <x:v>29</x:v>
      </x:c>
      <x:c r="D52" s="825" t="str">
        <x:v>수리 필요</x:v>
      </x:c>
      <x:c r="E52" s="825" t="str">
        <x:v>Bad2 회피 최소</x:v>
      </x:c>
      <x:c r="F52" s="825"/>
      <x:c r="G52" s="825"/>
      <x:c r="H52" s="825"/>
      <x:c r="I52" s="825"/>
      <x:c r="J52" s="825"/>
      <x:c r="K52" s="825"/>
      <x:c r="L52" s="825"/>
    </x:row>
    <x:row r="53" ht="24" hidden="0" customHeight="1">
      <x:c r="A53" s="825" t="str">
        <x:v>Departure Normal</x:v>
      </x:c>
      <x:c r="B53" s="825" t="n">
        <x:v>5</x:v>
      </x:c>
      <x:c r="C53" s="825" t="n">
        <x:v>34</x:v>
      </x:c>
      <x:c r="D53" s="825" t="str">
        <x:v>보통</x:v>
      </x:c>
      <x:c r="E53" s="825" t="str">
        <x:v>출항 최소선 / 1 Tick에 민감</x:v>
      </x:c>
      <x:c r="F53" s="825"/>
      <x:c r="G53" s="825"/>
      <x:c r="H53" s="825"/>
      <x:c r="I53" s="825"/>
      <x:c r="J53" s="825"/>
      <x:c r="K53" s="825"/>
      <x:c r="L53" s="825"/>
    </x:row>
    <x:row r="54" ht="15" hidden="0" customHeight="1">
      <x:c r="A54" s="825" t="str">
        <x:v>Storm Buffer</x:v>
      </x:c>
      <x:c r="B54" s="825" t="n">
        <x:v>8</x:v>
      </x:c>
      <x:c r="C54" s="825" t="n">
        <x:v>37</x:v>
      </x:c>
      <x:c r="D54" s="825" t="str">
        <x:v>보통</x:v>
      </x:c>
      <x:c r="E54" s="825" t="str">
        <x:v>Cluster 1 Tick 흡수 특화</x:v>
      </x:c>
      <x:c r="F54" s="825"/>
      <x:c r="G54" s="825"/>
      <x:c r="H54" s="825"/>
      <x:c r="I54" s="825"/>
      <x:c r="J54" s="825"/>
      <x:c r="K54" s="825"/>
      <x:c r="L54" s="825"/>
    </x:row>
    <x:row r="55" ht="15" hidden="0" customHeight="1">
      <x:c r="A55" s="825" t="str">
        <x:v>Hidden/Recheck</x:v>
      </x:c>
      <x:c r="B55" s="825" t="n">
        <x:v>8</x:v>
      </x:c>
      <x:c r="C55" s="825" t="n">
        <x:v>37</x:v>
      </x:c>
      <x:c r="D55" s="825" t="str">
        <x:v>보통</x:v>
      </x:c>
      <x:c r="E55" s="825" t="str">
        <x:v>Research5/재점검 특화</x:v>
      </x:c>
      <x:c r="F55" s="825"/>
      <x:c r="G55" s="825"/>
      <x:c r="H55" s="825"/>
      <x:c r="I55" s="825"/>
      <x:c r="J55" s="825"/>
      <x:c r="K55" s="825"/>
      <x:c r="L55" s="825"/>
    </x:row>
    <x:row r="56" ht="24" hidden="0" customHeight="1">
      <x:c r="A56" s="825" t="str">
        <x:v>Maximum Ship Good</x:v>
      </x:c>
      <x:c r="B56" s="825" t="n">
        <x:v>12</x:v>
      </x:c>
      <x:c r="C56" s="825" t="n">
        <x:v>44</x:v>
      </x:c>
      <x:c r="D56" s="825" t="str">
        <x:v>좋음</x:v>
      </x:c>
      <x:c r="E56" s="825" t="str">
        <x:v>모든 Standard Repair Slot 투자</x:v>
      </x:c>
      <x:c r="F56" s="825"/>
      <x:c r="G56" s="825"/>
      <x:c r="H56" s="825"/>
      <x:c r="I56" s="825"/>
      <x:c r="J56" s="825"/>
      <x:c r="K56" s="825"/>
      <x:c r="L56" s="825"/>
    </x:row>
    <x:row r="57" ht="15" hidden="0" customHeight="1">
      <x:c r="A57" s="825"/>
      <x:c r="B57" s="825"/>
      <x:c r="C57" s="825"/>
      <x:c r="D57" s="825"/>
      <x:c r="E57" s="825"/>
      <x:c r="F57" s="825"/>
      <x:c r="G57" s="825"/>
      <x:c r="H57" s="825"/>
      <x:c r="I57" s="825"/>
      <x:c r="J57" s="825"/>
      <x:c r="K57" s="825"/>
      <x:c r="L57" s="825"/>
    </x:row>
    <x:row r="58" ht="26" hidden="0" customHeight="1">
      <x:c r="A58" s="852" t="str">
        <x:v>9. D21 Threshold Validation — v0.3 2/2/3 Boss Stress</x:v>
      </x:c>
      <x:c r="B58" s="852"/>
      <x:c r="C58" s="852"/>
      <x:c r="D58" s="852"/>
      <x:c r="E58" s="852"/>
      <x:c r="F58" s="852"/>
      <x:c r="G58" s="852"/>
      <x:c r="H58" s="852"/>
      <x:c r="I58" s="852"/>
      <x:c r="J58" s="852"/>
      <x:c r="K58" s="852"/>
      <x:c r="L58" s="852"/>
    </x:row>
    <x:row r="59" ht="30" hidden="0" customHeight="1">
      <x:c r="A59" s="849" t="str">
        <x:v>항목</x:v>
      </x:c>
      <x:c r="B59" s="849" t="str">
        <x:v>검증 결과</x:v>
      </x:c>
      <x:c r="C59" s="849" t="str">
        <x:v>판정</x:v>
      </x:c>
      <x:c r="D59" s="849" t="str">
        <x:v>근거</x:v>
      </x:c>
      <x:c r="E59" s="849" t="str">
        <x:v>상태</x:v>
      </x:c>
      <x:c r="F59" s="849"/>
      <x:c r="G59" s="849"/>
      <x:c r="H59" s="849"/>
      <x:c r="I59" s="849"/>
      <x:c r="J59" s="849"/>
      <x:c r="K59" s="849"/>
      <x:c r="L59" s="849"/>
    </x:row>
    <x:row r="60" ht="60" hidden="0" customHeight="1">
      <x:c r="A60" s="825" t="str">
        <x:v>Normal Total 34</x:v>
      </x:c>
      <x:c r="B60" s="825" t="str">
        <x:v>유지</x:v>
      </x:c>
      <x:c r="C60" s="825" t="str">
        <x:v>적절(v0.3 Stress)</x:v>
      </x:c>
      <x:c r="D60" s="825" t="str">
        <x:v>Departure Normal이 D15/D17/D19 각각 1 Tick 감수 + Freezer2 후에도 W3 수리3~4회로 Normal 복구 가능</x:v>
      </x:c>
      <x:c r="E60" s="825" t="str">
        <x:v>Normal34 유지</x:v>
      </x:c>
      <x:c r="F60" s="825"/>
      <x:c r="G60" s="825"/>
      <x:c r="H60" s="825"/>
      <x:c r="I60" s="825"/>
      <x:c r="J60" s="825"/>
      <x:c r="K60" s="825"/>
      <x:c r="L60" s="825"/>
    </x:row>
    <x:row r="61" ht="48" hidden="0" customHeight="1">
      <x:c r="A61" s="825" t="str">
        <x:v>Good Total 44</x:v>
      </x:c>
      <x:c r="B61" s="825" t="str">
        <x:v>유지</x:v>
      </x:c>
      <x:c r="C61" s="825" t="str">
        <x:v>희귀 등급으로 적절</x:v>
      </x:c>
      <x:c r="D61" s="825" t="str">
        <x:v>Storm Buffer는 Boss 후 Good까지 8~9회 수준, Maximum Ship Good은4~5회 복귀</x:v>
      </x:c>
      <x:c r="E61" s="825" t="str">
        <x:v>Good44는 필수 엔딩조건이 아니라 극단 준비 보상으로 유지</x:v>
      </x:c>
      <x:c r="F61" s="825"/>
      <x:c r="G61" s="825"/>
      <x:c r="H61" s="825"/>
      <x:c r="I61" s="825"/>
      <x:c r="J61" s="825"/>
      <x:c r="K61" s="825"/>
      <x:c r="L61" s="825"/>
    </x:row>
    <x:row r="62" ht="36" hidden="0" customHeight="1">
      <x:c r="A62" s="825" t="str">
        <x:v>W3 수리 3회</x:v>
      </x:c>
      <x:c r="B62" s="825" t="str">
        <x:v>3~4회</x:v>
      </x:c>
      <x:c r="C62" s="825" t="str">
        <x:v>Normal 중간 복구량</x:v>
      </x:c>
      <x:c r="D62" s="825" t="str">
        <x:v>Departure Normal의 v0.3 Hard-Normal Stress에서 3~4회</x:v>
      </x:c>
      <x:c r="E62" s="825" t="str">
        <x:v>기존3회 단일값보다 범위로 수정</x:v>
      </x:c>
      <x:c r="F62" s="825"/>
      <x:c r="G62" s="825"/>
      <x:c r="H62" s="825"/>
      <x:c r="I62" s="825"/>
      <x:c r="J62" s="825"/>
      <x:c r="K62" s="825"/>
      <x:c r="L62" s="825"/>
    </x:row>
    <x:row r="63" ht="48" hidden="0" customHeight="1">
      <x:c r="A63" s="825" t="str">
        <x:v>Hidden ShipCondition</x:v>
      </x:c>
      <x:c r="B63" s="825" t="str">
        <x:v>Normal+ 권장</x:v>
      </x:c>
      <x:c r="C63" s="825" t="str">
        <x:v>가능</x:v>
      </x:c>
      <x:c r="D63" s="825" t="str">
        <x:v>Hidden/Recheck는 v0.3 Hard-Normal Stress에서 Target Seed별 1~3회 수리로 Normal 복구</x:v>
      </x:c>
      <x:c r="E63" s="825" t="str">
        <x:v>추천</x:v>
      </x:c>
      <x:c r="F63" s="825"/>
      <x:c r="G63" s="825"/>
      <x:c r="H63" s="825"/>
      <x:c r="I63" s="825"/>
      <x:c r="J63" s="825"/>
      <x:c r="K63" s="825"/>
      <x:c r="L63" s="825"/>
    </x:row>
    <x:row r="64" ht="60" hidden="0" customHeight="1">
      <x:c r="A64" s="825" t="str">
        <x:v>Greenhouse D15=3</x:v>
      </x:c>
      <x:c r="B64" s="825" t="str">
        <x:v>유지</x:v>
      </x:c>
      <x:c r="C64" s="825" t="str">
        <x:v>적절</x:v>
      </x:c>
      <x:c r="D64" s="825" t="str">
        <x:v>D13 Greenhouse3은 유지. D19 Boss와 시설 Crisis 누적에서 Greenhouse Recovery가 열릴 수 있는 버퍼 역할.</x:v>
      </x:c>
      <x:c r="E64" s="825" t="str">
        <x:v>v0.3에서도 유지 후보 / Freezer Recovery는 D19 고정 노출</x:v>
      </x:c>
      <x:c r="F64" s="825"/>
      <x:c r="G64" s="825"/>
      <x:c r="H64" s="825"/>
      <x:c r="I64" s="825"/>
      <x:c r="J64" s="825"/>
      <x:c r="K64" s="825"/>
      <x:c r="L64" s="825"/>
    </x:row>
    <x:row r="65" ht="15" hidden="0" customHeight="1">
      <x:c r="A65" s="825"/>
      <x:c r="B65" s="825"/>
      <x:c r="C65" s="825"/>
      <x:c r="D65" s="825"/>
      <x:c r="E65" s="825"/>
      <x:c r="F65" s="825"/>
      <x:c r="G65" s="825"/>
      <x:c r="H65" s="825"/>
      <x:c r="I65" s="825"/>
      <x:c r="J65" s="825"/>
      <x:c r="K65" s="825"/>
      <x:c r="L65" s="825"/>
    </x:row>
    <x:row r="66" ht="15" hidden="0" customHeight="1">
      <x:c r="A66" s="837"/>
      <x:c r="B66" s="837"/>
      <x:c r="C66" s="837"/>
      <x:c r="D66" s="825"/>
      <x:c r="E66" s="825"/>
      <x:c r="F66" s="825"/>
      <x:c r="G66" s="825"/>
      <x:c r="H66" s="825"/>
      <x:c r="I66" s="825"/>
      <x:c r="J66" s="825"/>
      <x:c r="K66" s="825"/>
      <x:c r="L66" s="825"/>
    </x:row>
    <x:row r="67" ht="48" hidden="0" customHeight="1">
      <x:c r="A67" s="837" t="str">
        <x:v>추천 조건</x:v>
      </x:c>
      <x:c r="B67" s="825" t="str">
        <x:v>Hull &gt;=10 + (함교/엔진/산소/연구/거주 중 3개 이상 Integrity &gt;=3)</x:v>
      </x:c>
      <x:c r="C67" s="825" t="str">
        <x:v>TEMP 추천</x:v>
      </x:c>
      <x:c r="D67" s="825"/>
      <x:c r="E67" s="825"/>
      <x:c r="F67" s="825"/>
      <x:c r="G67" s="825"/>
      <x:c r="H67" s="825"/>
      <x:c r="I67" s="825"/>
      <x:c r="J67" s="825"/>
      <x:c r="K67" s="825"/>
      <x:c r="L67" s="825"/>
    </x:row>
    <x:row r="68" ht="48" hidden="0" customHeight="1">
      <x:c r="A68" s="837" t="str">
        <x:v>의미</x:v>
      </x:c>
      <x:c r="B68" s="825" t="str">
        <x:v>배가 단순 폐선이 아니라 다시 '사람이 쓰는 수송선'처럼 보이기 시작한 시점</x:v>
      </x:c>
      <x:c r="C68" s="825" t="str">
        <x:v>서사 기준</x:v>
      </x:c>
      <x:c r="D68" s="825"/>
      <x:c r="E68" s="825"/>
      <x:c r="F68" s="825"/>
      <x:c r="G68" s="825"/>
      <x:c r="H68" s="825"/>
      <x:c r="I68" s="825"/>
      <x:c r="J68" s="825"/>
      <x:c r="K68" s="825"/>
      <x:c r="L68" s="825"/>
    </x:row>
    <x:row r="69" ht="60" hidden="0" customHeight="1">
      <x:c r="A69" s="837" t="str">
        <x:v>장점</x:v>
      </x:c>
      <x:c r="B69" s="825" t="str">
        <x:v>총합 40을 맞추기 위한 반복 수리 노가다를 줄이고, 여러 핵심 시설을 고르게 살리도록 유도</x:v>
      </x:c>
      <x:c r="C69" s="825" t="str">
        <x:v>게임플레이</x:v>
      </x:c>
      <x:c r="D69" s="825"/>
      <x:c r="E69" s="825"/>
      <x:c r="F69" s="825"/>
      <x:c r="G69" s="825"/>
      <x:c r="H69" s="825"/>
      <x:c r="I69" s="825"/>
      <x:c r="J69" s="825"/>
      <x:c r="K69" s="825"/>
      <x:c r="L69" s="825"/>
    </x:row>
    <x:row r="70" ht="60" hidden="0" customHeight="1">
      <x:c r="A70" s="837" t="str">
        <x:v>대사 방향</x:v>
      </x:c>
      <x:c r="B70" s="825" t="str">
        <x:v>'제법 배 꼴이 돌아왔네.' → 죽은 사람의 장소만 보던 벤자민이 살아 있는 사람들의 배를 다시 보기 시작</x:v>
      </x:c>
      <x:c r="C70" s="825" t="str">
        <x:v>캐릭터</x:v>
      </x:c>
      <x:c r="D70" s="825"/>
      <x:c r="E70" s="825"/>
      <x:c r="F70" s="825"/>
      <x:c r="G70" s="825"/>
      <x:c r="H70" s="825"/>
      <x:c r="I70" s="825"/>
      <x:c r="J70" s="825"/>
      <x:c r="K70" s="825"/>
      <x:c r="L70" s="825"/>
    </x:row>
  </x:sheetData>
  <x:mergeCells>
    <x:mergeCell ref="A1:L1"/>
    <x:mergeCell ref="A2:L2"/>
    <x:mergeCell ref="A4:L4"/>
    <x:mergeCell ref="A13:L13"/>
    <x:mergeCell ref="A24:L24"/>
    <x:mergeCell ref="A33:L33"/>
    <x:mergeCell ref="A41:L41"/>
    <x:mergeCell ref="A48:L48"/>
    <x:mergeCell ref="A58:L58"/>
    <x:mergeCell ref="A66:C66"/>
    <x:mergeCell ref="A50:L50"/>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9" max="9" width="18" hidden="0" customWidth="1"/>
    <x:col min="10" max="10" width="26" hidden="0" customWidth="1"/>
    <x:col min="11" max="11" width="18" hidden="0" customWidth="1"/>
    <x:col min="12" max="12" width="18" hidden="0" customWidth="1"/>
    <x:col min="13" max="13" width="18" hidden="0" customWidth="1"/>
    <x:col min="14" max="14" width="18" hidden="0" customWidth="1"/>
    <x:col min="8" max="8" width="32" hidden="0" customWidth="1"/>
  </x:cols>
  <x:sheetData>
    <x:row r="1" ht="30" hidden="0" customHeight="1">
      <x:c r="A1" s="843" t="str">
        <x:v>스탯 성장 / 체크 난이도 v0.1 — 강인함 · 교감 · 기술</x:v>
      </x:c>
      <x:c r="B1" s="843"/>
      <x:c r="C1" s="843"/>
      <x:c r="D1" s="843"/>
      <x:c r="E1" s="843"/>
      <x:c r="F1" s="843"/>
      <x:c r="G1" s="843"/>
      <x:c r="H1" s="843"/>
      <x:c r="I1" s="843"/>
      <x:c r="J1" s="843"/>
      <x:c r="K1" s="843"/>
      <x:c r="L1" s="843"/>
      <x:c r="M1" s="843"/>
      <x:c r="N1" s="843"/>
    </x:row>
    <x:row r="2" ht="42" hidden="0" customHeight="1">
      <x:c r="A2" s="846" t="str">
        <x:v>앵커: 시작 총합 6, 각 최소 0, 시작 최대 4. W1 Day1~3의 최고 요구치는 3, Day4~7은 4. 기존 6XP=Lv+1을 유지하고, 한 분야에 집중한 플레이어가 W1/W2/W3마다 약 +2Lv씩 성장할 수 있다고 가정해 이후 요구치를 역산한다.</x:v>
      </x:c>
      <x:c r="B2" s="846"/>
      <x:c r="C2" s="846"/>
      <x:c r="D2" s="846"/>
      <x:c r="E2" s="846"/>
      <x:c r="F2" s="846"/>
      <x:c r="G2" s="846"/>
      <x:c r="H2" s="846"/>
      <x:c r="I2" s="846"/>
      <x:c r="J2" s="846"/>
      <x:c r="K2" s="846"/>
      <x:c r="L2" s="846"/>
      <x:c r="M2" s="846"/>
      <x:c r="N2" s="846"/>
    </x:row>
    <x:row r="3" ht="15" hidden="0" customHeight="1">
      <x:c r="A3" s="825"/>
      <x:c r="B3" s="825"/>
      <x:c r="C3" s="825"/>
      <x:c r="D3" s="825"/>
      <x:c r="E3" s="825"/>
      <x:c r="F3" s="825"/>
      <x:c r="G3" s="825"/>
      <x:c r="H3" s="825"/>
      <x:c r="I3" s="825"/>
      <x:c r="J3" s="825"/>
      <x:c r="K3" s="825"/>
      <x:c r="L3" s="825"/>
      <x:c r="M3" s="825"/>
      <x:c r="N3" s="825"/>
    </x:row>
    <x:row r="4" ht="15" hidden="0" customHeight="1">
      <x:c r="A4" s="837" t="str">
        <x:v>1. 시작 분배</x:v>
      </x:c>
      <x:c r="B4" s="837"/>
      <x:c r="C4" s="837"/>
      <x:c r="D4" s="837"/>
      <x:c r="E4" s="837"/>
      <x:c r="F4" s="837"/>
      <x:c r="G4" s="837"/>
      <x:c r="H4" s="837"/>
      <x:c r="I4" s="837" t="str">
        <x:v>4. 고난도 체크 + 의지 보완 계산</x:v>
      </x:c>
      <x:c r="J4" s="837"/>
      <x:c r="K4" s="837"/>
      <x:c r="L4" s="837"/>
      <x:c r="M4" s="837"/>
      <x:c r="N4" s="837"/>
    </x:row>
    <x:row r="5" ht="15" hidden="0" customHeight="1">
      <x:c r="A5" s="839" t="str">
        <x:v>유형</x:v>
      </x:c>
      <x:c r="B5" s="839" t="str">
        <x:v>강인함</x:v>
      </x:c>
      <x:c r="C5" s="839" t="str">
        <x:v>교감</x:v>
      </x:c>
      <x:c r="D5" s="839" t="str">
        <x:v>기술</x:v>
      </x:c>
      <x:c r="E5" s="839" t="str">
        <x:v>총합</x:v>
      </x:c>
      <x:c r="F5" s="839" t="str">
        <x:v>허용</x:v>
      </x:c>
      <x:c r="G5" s="839" t="str">
        <x:v>의미</x:v>
      </x:c>
      <x:c r="H5" s="825"/>
      <x:c r="I5" s="839" t="str">
        <x:v>현재 스탯</x:v>
      </x:c>
      <x:c r="J5" s="839" t="str">
        <x:v>요구 8</x:v>
      </x:c>
      <x:c r="K5" s="839" t="str">
        <x:v>요구 9</x:v>
      </x:c>
      <x:c r="L5" s="839" t="str">
        <x:v>요구 10</x:v>
      </x:c>
      <x:c r="M5" s="839" t="str">
        <x:v>Will 최대5 기준</x:v>
      </x:c>
      <x:c r="N5" s="839" t="str">
        <x:v>해석</x:v>
      </x:c>
    </x:row>
    <x:row r="6" ht="36" hidden="0" customHeight="1">
      <x:c r="A6" s="825" t="str">
        <x:v>균형형</x:v>
      </x:c>
      <x:c r="B6" s="825" t="n">
        <x:v>2</x:v>
      </x:c>
      <x:c r="C6" s="825" t="n">
        <x:v>2</x:v>
      </x:c>
      <x:c r="D6" s="825" t="n">
        <x:v>2</x:v>
      </x:c>
      <x:c r="E6" s="825" t="n">
        <x:v>6</x:v>
      </x:c>
      <x:c r="F6" s="825" t="str">
        <x:v>허용</x:v>
      </x:c>
      <x:c r="G6" s="825" t="str">
        <x:v>세 분야 모두 초반 콘텐츠에 대응 가능. 이후 성장 방향 자유.</x:v>
      </x:c>
      <x:c r="H6" s="825"/>
      <x:c r="I6" s="825" t="n">
        <x:v>4</x:v>
      </x:c>
      <x:c r="J6" s="825" t="n">
        <x:v>4</x:v>
      </x:c>
      <x:c r="K6" s="825" t="n">
        <x:v>5</x:v>
      </x:c>
      <x:c r="L6" s="825" t="n">
        <x:v>6</x:v>
      </x:c>
      <x:c r="M6" s="825" t="str">
        <x:v>10 불가</x:v>
      </x:c>
      <x:c r="N6" s="825" t="str">
        <x:v>낮은 스탯도 한 번 무리하면 8~9까지 가능</x:v>
      </x:c>
    </x:row>
    <x:row r="7" ht="36" hidden="0" customHeight="1">
      <x:c r="A7" s="825" t="str">
        <x:v>준전문화</x:v>
      </x:c>
      <x:c r="B7" s="825" t="n">
        <x:v>3</x:v>
      </x:c>
      <x:c r="C7" s="825" t="n">
        <x:v>2</x:v>
      </x:c>
      <x:c r="D7" s="825" t="n">
        <x:v>1</x:v>
      </x:c>
      <x:c r="E7" s="825" t="n">
        <x:v>6</x:v>
      </x:c>
      <x:c r="F7" s="825" t="str">
        <x:v>허용</x:v>
      </x:c>
      <x:c r="G7" s="825" t="str">
        <x:v>W1 D1~3의 해당 분야 최고 체크 3에 바로 접근.</x:v>
      </x:c>
      <x:c r="H7" s="825"/>
      <x:c r="I7" s="825" t="n">
        <x:v>5</x:v>
      </x:c>
      <x:c r="J7" s="825" t="n">
        <x:v>3</x:v>
      </x:c>
      <x:c r="K7" s="825" t="n">
        <x:v>4</x:v>
      </x:c>
      <x:c r="L7" s="825" t="n">
        <x:v>5</x:v>
      </x:c>
      <x:c r="M7" s="825" t="str">
        <x:v>10 가능</x:v>
      </x:c>
      <x:c r="N7" s="825" t="str">
        <x:v>요구10의 사실상 최소 능력선</x:v>
      </x:c>
    </x:row>
    <x:row r="8" ht="36" hidden="0" customHeight="1">
      <x:c r="A8" s="825" t="str">
        <x:v>극단 전문화</x:v>
      </x:c>
      <x:c r="B8" s="825" t="n">
        <x:v>4</x:v>
      </x:c>
      <x:c r="C8" s="825" t="n">
        <x:v>2</x:v>
      </x:c>
      <x:c r="D8" s="825" t="n">
        <x:v>0</x:v>
      </x:c>
      <x:c r="E8" s="825" t="n">
        <x:v>6</x:v>
      </x:c>
      <x:c r="F8" s="825" t="str">
        <x:v>허용</x:v>
      </x:c>
      <x:c r="G8" s="825" t="str">
        <x:v>한 분야는 W1 후반 최고 체크 4를 즉시 통과, 한 분야는 완전히 포기.</x:v>
      </x:c>
      <x:c r="H8" s="825"/>
      <x:c r="I8" s="825" t="n">
        <x:v>6</x:v>
      </x:c>
      <x:c r="J8" s="825" t="n">
        <x:v>2</x:v>
      </x:c>
      <x:c r="K8" s="825" t="n">
        <x:v>3</x:v>
      </x:c>
      <x:c r="L8" s="825" t="n">
        <x:v>4</x:v>
      </x:c>
      <x:c r="M8" s="825" t="str">
        <x:v>10 가능</x:v>
      </x:c>
      <x:c r="N8" s="825" t="str">
        <x:v>강점 빌드가 큰 의지를 써서 클라이맥스 돌파</x:v>
      </x:c>
    </x:row>
    <x:row r="9" ht="24" hidden="0" customHeight="1">
      <x:c r="A9" s="825" t="str">
        <x:v>금지 예시</x:v>
      </x:c>
      <x:c r="B9" s="825" t="n">
        <x:v>5</x:v>
      </x:c>
      <x:c r="C9" s="825" t="n">
        <x:v>1</x:v>
      </x:c>
      <x:c r="D9" s="825" t="n">
        <x:v>0</x:v>
      </x:c>
      <x:c r="E9" s="825" t="n">
        <x:v>6</x:v>
      </x:c>
      <x:c r="F9" s="825" t="str">
        <x:v>금지</x:v>
      </x:c>
      <x:c r="G9" s="825" t="str">
        <x:v>시작 스탯 최대 4 규칙 위반.</x:v>
      </x:c>
      <x:c r="H9" s="825"/>
      <x:c r="I9" s="825" t="n">
        <x:v>7</x:v>
      </x:c>
      <x:c r="J9" s="825" t="n">
        <x:v>1</x:v>
      </x:c>
      <x:c r="K9" s="825" t="n">
        <x:v>2</x:v>
      </x:c>
      <x:c r="L9" s="825" t="n">
        <x:v>3</x:v>
      </x:c>
      <x:c r="M9" s="825" t="str">
        <x:v>10 가능</x:v>
      </x:c>
      <x:c r="N9" s="825" t="str">
        <x:v>전문화 빌드</x:v>
      </x:c>
    </x:row>
    <x:row r="10" ht="15" hidden="0" customHeight="1">
      <x:c r="A10" s="825"/>
      <x:c r="B10" s="825"/>
      <x:c r="C10" s="825"/>
      <x:c r="D10" s="825"/>
      <x:c r="E10" s="825"/>
      <x:c r="F10" s="825"/>
      <x:c r="G10" s="825"/>
      <x:c r="H10" s="825"/>
      <x:c r="I10" s="825" t="n">
        <x:v>8</x:v>
      </x:c>
      <x:c r="J10" s="825" t="n">
        <x:v>0</x:v>
      </x:c>
      <x:c r="K10" s="825" t="n">
        <x:v>1</x:v>
      </x:c>
      <x:c r="L10" s="825" t="n">
        <x:v>2</x:v>
      </x:c>
      <x:c r="M10" s="825" t="str">
        <x:v>10 가능</x:v>
      </x:c>
      <x:c r="N10" s="825" t="str">
        <x:v>후반 집중 균형형</x:v>
      </x:c>
    </x:row>
    <x:row r="11" ht="15" hidden="0" customHeight="1">
      <x:c r="A11" s="837" t="str">
        <x:v>2. XP 공급 모델 — TEMP</x:v>
      </x:c>
      <x:c r="B11" s="837"/>
      <x:c r="C11" s="837"/>
      <x:c r="D11" s="837"/>
      <x:c r="E11" s="837"/>
      <x:c r="F11" s="837"/>
      <x:c r="G11" s="837"/>
      <x:c r="H11" s="837"/>
      <x:c r="I11" s="837" t="n">
        <x:v>9</x:v>
      </x:c>
      <x:c r="J11" s="837" t="n">
        <x:v>0</x:v>
      </x:c>
      <x:c r="K11" s="837" t="n">
        <x:v>0</x:v>
      </x:c>
      <x:c r="L11" s="837" t="n">
        <x:v>1</x:v>
      </x:c>
      <x:c r="M11" s="837" t="str">
        <x:v>10 가능</x:v>
      </x:c>
      <x:c r="N11" s="837" t="str">
        <x:v>고도 전문화</x:v>
      </x:c>
    </x:row>
    <x:row r="12" ht="36" hidden="0" customHeight="1">
      <x:c r="A12" s="839" t="str">
        <x:v>구간</x:v>
      </x:c>
      <x:c r="B12" s="839" t="str">
        <x:v>집중 분야 추가 XP 목표</x:v>
      </x:c>
      <x:c r="C12" s="839" t="str">
        <x:v>추가 Lv</x:v>
      </x:c>
      <x:c r="D12" s="839" t="str">
        <x:v>누적 추가 Lv</x:v>
      </x:c>
      <x:c r="E12" s="839" t="str">
        <x:v>균형형 시작2 → 집중 시</x:v>
      </x:c>
      <x:c r="F12" s="839" t="str">
        <x:v>극단 시작4 → 집중 시</x:v>
      </x:c>
      <x:c r="G12" s="839" t="str">
        <x:v>설계 이유</x:v>
      </x:c>
      <x:c r="H12" s="825"/>
      <x:c r="I12" s="825" t="n">
        <x:v>10</x:v>
      </x:c>
      <x:c r="J12" s="825" t="n">
        <x:v>0</x:v>
      </x:c>
      <x:c r="K12" s="825" t="n">
        <x:v>0</x:v>
      </x:c>
      <x:c r="L12" s="825" t="n">
        <x:v>0</x:v>
      </x:c>
      <x:c r="M12" s="825" t="str">
        <x:v>무소모</x:v>
      </x:c>
      <x:c r="N12" s="825" t="str">
        <x:v>4/2/0 시작 후 4짜리 분야를 끝까지 몰빵한 극단 빌드 보상</x:v>
      </x:c>
    </x:row>
    <x:row r="13" ht="36" hidden="0" customHeight="1">
      <x:c r="A13" s="825" t="str">
        <x:v>D1~3</x:v>
      </x:c>
      <x:c r="B13" s="825" t="n">
        <x:v>0</x:v>
      </x:c>
      <x:c r="C13" s="825" t="n">
        <x:v>0</x:v>
      </x:c>
      <x:c r="D13" s="825" t="n">
        <x:v>0</x:v>
      </x:c>
      <x:c r="E13" s="825" t="n">
        <x:v>2</x:v>
      </x:c>
      <x:c r="F13" s="825" t="n">
        <x:v>4</x:v>
      </x:c>
      <x:c r="G13" s="825" t="str">
        <x:v>최고 요구3은 시작 배분 차이를 먼저 보여주는 구간</x:v>
      </x:c>
      <x:c r="H13" s="825"/>
      <x:c r="I13" s="825"/>
      <x:c r="J13" s="825"/>
      <x:c r="K13" s="825"/>
      <x:c r="L13" s="825"/>
      <x:c r="M13" s="825"/>
      <x:c r="N13" s="825"/>
    </x:row>
    <x:row r="14" ht="24" hidden="0" customHeight="1">
      <x:c r="A14" s="825" t="str">
        <x:v>D4~7</x:v>
      </x:c>
      <x:c r="B14" s="825" t="n">
        <x:v>12</x:v>
      </x:c>
      <x:c r="C14" s="825" t="n">
        <x:v>2</x:v>
      </x:c>
      <x:c r="D14" s="825" t="n">
        <x:v>2</x:v>
      </x:c>
      <x:c r="E14" s="825" t="n">
        <x:v>4</x:v>
      </x:c>
      <x:c r="F14" s="825" t="n">
        <x:v>6</x:v>
      </x:c>
      <x:c r="G14" s="825" t="str">
        <x:v>균형형도 집중하면 W1 최고 요구4에 도달</x:v>
      </x:c>
      <x:c r="H14" s="825"/>
      <x:c r="I14" s="837" t="str">
        <x:v>5. 의지 선택 비용 권장</x:v>
      </x:c>
      <x:c r="J14" s="837"/>
      <x:c r="K14" s="837"/>
      <x:c r="L14" s="837"/>
      <x:c r="M14" s="837"/>
      <x:c r="N14" s="837"/>
    </x:row>
    <x:row r="15" ht="24" hidden="0" customHeight="1">
      <x:c r="A15" s="825" t="str">
        <x:v>D8~10</x:v>
      </x:c>
      <x:c r="B15" s="825" t="n">
        <x:v>6</x:v>
      </x:c>
      <x:c r="C15" s="825" t="n">
        <x:v>1</x:v>
      </x:c>
      <x:c r="D15" s="825" t="n">
        <x:v>3</x:v>
      </x:c>
      <x:c r="E15" s="825" t="n">
        <x:v>5</x:v>
      </x:c>
      <x:c r="F15" s="825" t="n">
        <x:v>7</x:v>
      </x:c>
      <x:c r="G15" s="825" t="str">
        <x:v>W2 초반 최고 요구5와 정확히 맞춤</x:v>
      </x:c>
      <x:c r="H15" s="825"/>
      <x:c r="I15" s="839" t="str">
        <x:v>유형</x:v>
      </x:c>
      <x:c r="J15" s="839" t="str">
        <x:v>권장 Will</x:v>
      </x:c>
      <x:c r="K15" s="839" t="str">
        <x:v>빈도</x:v>
      </x:c>
      <x:c r="L15" s="839" t="str">
        <x:v>의미</x:v>
      </x:c>
      <x:c r="M15" s="825"/>
      <x:c r="N15" s="825"/>
    </x:row>
    <x:row r="16" ht="24" hidden="0" customHeight="1">
      <x:c r="A16" s="825" t="str">
        <x:v>D11~14</x:v>
      </x:c>
      <x:c r="B16" s="825" t="n">
        <x:v>6</x:v>
      </x:c>
      <x:c r="C16" s="825" t="n">
        <x:v>1</x:v>
      </x:c>
      <x:c r="D16" s="825" t="n">
        <x:v>4</x:v>
      </x:c>
      <x:c r="E16" s="825" t="n">
        <x:v>6</x:v>
      </x:c>
      <x:c r="F16" s="825" t="n">
        <x:v>8</x:v>
      </x:c>
      <x:c r="G16" s="825" t="str">
        <x:v>W2 후반 최고 요구6와 정확히 맞춤</x:v>
      </x:c>
      <x:c r="H16" s="825"/>
      <x:c r="I16" s="825" t="str">
        <x:v>순수 의지 — 작은 결단</x:v>
      </x:c>
      <x:c r="J16" s="825" t="n">
        <x:v>1</x:v>
      </x:c>
      <x:c r="K16" s="825" t="str">
        <x:v>비교적 자주</x:v>
      </x:c>
      <x:c r="L16" s="825" t="str">
        <x:v>감정적으로 불편하지만 감당 가능한 행동</x:v>
      </x:c>
      <x:c r="M16" s="825"/>
      <x:c r="N16" s="825"/>
    </x:row>
    <x:row r="17" ht="24" hidden="0" customHeight="1">
      <x:c r="A17" s="825" t="str">
        <x:v>D15~17</x:v>
      </x:c>
      <x:c r="B17" s="825" t="n">
        <x:v>6</x:v>
      </x:c>
      <x:c r="C17" s="825" t="n">
        <x:v>1</x:v>
      </x:c>
      <x:c r="D17" s="825" t="n">
        <x:v>5</x:v>
      </x:c>
      <x:c r="E17" s="825" t="n">
        <x:v>7</x:v>
      </x:c>
      <x:c r="F17" s="825" t="n">
        <x:v>9</x:v>
      </x:c>
      <x:c r="G17" s="825" t="str">
        <x:v>W3 초반 최고 요구7와 정확히 맞춤</x:v>
      </x:c>
      <x:c r="H17" s="825"/>
      <x:c r="I17" s="825" t="str">
        <x:v>순수 의지 — 중요한 결단</x:v>
      </x:c>
      <x:c r="J17" s="825" t="n">
        <x:v>2</x:v>
      </x:c>
      <x:c r="K17" s="825" t="str">
        <x:v>핵심 Character/Event</x:v>
      </x:c>
      <x:c r="L17" s="825" t="str">
        <x:v>개인적 대가를 분명히 느끼는 행동</x:v>
      </x:c>
      <x:c r="M17" s="825"/>
      <x:c r="N17" s="825"/>
    </x:row>
    <x:row r="18" ht="36" hidden="0" customHeight="1">
      <x:c r="A18" s="825" t="str">
        <x:v>D18~20</x:v>
      </x:c>
      <x:c r="B18" s="825" t="n">
        <x:v>6</x:v>
      </x:c>
      <x:c r="C18" s="825" t="n">
        <x:v>1</x:v>
      </x:c>
      <x:c r="D18" s="825" t="n">
        <x:v>6</x:v>
      </x:c>
      <x:c r="E18" s="825" t="n">
        <x:v>8</x:v>
      </x:c>
      <x:c r="F18" s="825" t="n">
        <x:v>10</x:v>
      </x:c>
      <x:c r="G18" s="825" t="str">
        <x:v>W3 후반 최고 일반 요구8. 극단 빌드는 10 도달 가능</x:v>
      </x:c>
      <x:c r="H18" s="825"/>
      <x:c r="I18" s="825" t="str">
        <x:v>순수 의지 — 극한 결단</x:v>
      </x:c>
      <x:c r="J18" s="825" t="n">
        <x:v>3</x:v>
      </x:c>
      <x:c r="K18" s="825" t="str">
        <x:v>희소</x:v>
      </x:c>
      <x:c r="L18" s="825" t="str">
        <x:v>죽음·트라우마·희생과 맞닿는 행동</x:v>
      </x:c>
      <x:c r="M18" s="825"/>
      <x:c r="N18" s="825"/>
    </x:row>
    <x:row r="19" ht="36" hidden="0" customHeight="1">
      <x:c r="A19" s="825" t="str">
        <x:v>총 집중 성장량 = 36XP = +6Lv. 따라서 2/2/2에서 한 분야만 계속 키우면 최종 8, 4/2/0 극단 시작에서 4짜리 분야에 계속 투자하면 최종 10. 반대로 시작 0인 분야는 성장 투자 없이는 끝까지 0이므로, 일부 일반 체크를 완전히 포기하는 빌드도 가능하다.</x:v>
      </x:c>
      <x:c r="B19" s="825"/>
      <x:c r="C19" s="825"/>
      <x:c r="D19" s="825"/>
      <x:c r="E19" s="825"/>
      <x:c r="F19" s="825"/>
      <x:c r="G19" s="825"/>
      <x:c r="H19" s="825"/>
      <x:c r="I19" s="825" t="str">
        <x:v>순수 의지 4~5</x:v>
      </x:c>
      <x:c r="J19" s="825" t="n">
        <x:v>4</x:v>
      </x:c>
      <x:c r="K19" s="825" t="str">
        <x:v>매우 예외적</x:v>
      </x:c>
      <x:c r="L19" s="825" t="str">
        <x:v>한 번의 선택으로 하루 이후 판단까지 크게 묶는 클라이맥스급</x:v>
      </x:c>
      <x:c r="M19" s="825"/>
      <x:c r="N19" s="825"/>
    </x:row>
    <x:row r="20" ht="30" hidden="0" customHeight="1">
      <x:c r="A20" s="839"/>
      <x:c r="B20" s="839"/>
      <x:c r="C20" s="839"/>
      <x:c r="D20" s="839"/>
      <x:c r="E20" s="839"/>
      <x:c r="F20" s="839"/>
      <x:c r="G20" s="839"/>
      <x:c r="H20" s="839"/>
      <x:c r="I20" s="839" t="str">
        <x:v>스탯 보완</x:v>
      </x:c>
      <x:c r="J20" s="839" t="str">
        <x:v>부족분 1:1</x:v>
      </x:c>
      <x:c r="K20" s="839" t="str">
        <x:v>표시된 선택만</x:v>
      </x:c>
      <x:c r="L20" s="839" t="str">
        <x:v>현재 Stat + 사용 Will &gt;= 요구치. 현재 Will보다 부족분이 크면 선택 불가.</x:v>
      </x:c>
      <x:c r="M20" s="839"/>
      <x:c r="N20" s="839"/>
    </x:row>
    <x:row r="21" ht="15" hidden="0" customHeight="1">
      <x:c r="A21" s="825"/>
      <x:c r="B21" s="825"/>
      <x:c r="C21" s="825"/>
      <x:c r="D21" s="825"/>
      <x:c r="E21" s="825"/>
      <x:c r="F21" s="825"/>
      <x:c r="G21" s="825"/>
      <x:c r="H21" s="825"/>
      <x:c r="I21" s="825"/>
      <x:c r="J21" s="825"/>
      <x:c r="K21" s="825"/>
      <x:c r="L21" s="825"/>
      <x:c r="M21" s="825"/>
      <x:c r="N21" s="825"/>
    </x:row>
    <x:row r="22" ht="15" hidden="0" customHeight="1">
      <x:c r="A22" s="837" t="str">
        <x:v>3. 날짜별 스탯 요구치 상한</x:v>
      </x:c>
      <x:c r="B22" s="837"/>
      <x:c r="C22" s="837"/>
      <x:c r="D22" s="837"/>
      <x:c r="E22" s="837"/>
      <x:c r="F22" s="837"/>
      <x:c r="G22" s="837"/>
      <x:c r="H22" s="837"/>
      <x:c r="I22" s="837" t="str">
        <x:v>6. 체크 배치 안전장치</x:v>
      </x:c>
      <x:c r="J22" s="837"/>
      <x:c r="K22" s="837"/>
      <x:c r="L22" s="837"/>
      <x:c r="M22" s="837"/>
      <x:c r="N22" s="837"/>
    </x:row>
    <x:row r="23" ht="15" hidden="0" customHeight="1">
      <x:c r="A23" s="839" t="str">
        <x:v>구간</x:v>
      </x:c>
      <x:c r="B23" s="839" t="str">
        <x:v>일반 선택 최고 요구치</x:v>
      </x:c>
      <x:c r="C23" s="839" t="str">
        <x:v>집중 균형형 예상치</x:v>
      </x:c>
      <x:c r="D23" s="839" t="str">
        <x:v>극단 전문화 예상치</x:v>
      </x:c>
      <x:c r="E23" s="839" t="str">
        <x:v>판정</x:v>
      </x:c>
      <x:c r="F23" s="839" t="str">
        <x:v>주요 용도</x:v>
      </x:c>
      <x:c r="G23" s="825"/>
      <x:c r="H23" s="825"/>
      <x:c r="I23" s="837" t="str">
        <x:v>원칙</x:v>
      </x:c>
      <x:c r="J23" s="837" t="str">
        <x:v>내용</x:v>
      </x:c>
      <x:c r="K23" s="825"/>
      <x:c r="L23" s="825"/>
      <x:c r="M23" s="825"/>
      <x:c r="N23" s="825"/>
    </x:row>
    <x:row r="24" ht="60" hidden="0" customHeight="1">
      <x:c r="A24" s="825" t="str">
        <x:v>D1~3</x:v>
      </x:c>
      <x:c r="B24" s="825" t="n">
        <x:v>3</x:v>
      </x:c>
      <x:c r="C24" s="825" t="n">
        <x:v>2</x:v>
      </x:c>
      <x:c r="D24" s="825" t="n">
        <x:v>4</x:v>
      </x:c>
      <x:c r="E24" s="825" t="str">
        <x:v>초기 분배 차이</x:v>
      </x:c>
      <x:c r="F24" s="825" t="str">
        <x:v>조사/대화/기초 행동의 작은 우위</x:v>
      </x:c>
      <x:c r="G24" s="825"/>
      <x:c r="H24" s="825"/>
      <x:c r="I24" s="825" t="str">
        <x:v>Main 진행</x:v>
      </x:c>
      <x:c r="J24" s="825" t="str">
        <x:v>최고 요구치의 단일 스탯 체크 성공을 Main 진행 필수조건으로 만들지 않는다. 느린 기본해결/다른 인물/시간 비용 등 대체 경로 제공.</x:v>
      </x:c>
      <x:c r="K24" s="825"/>
      <x:c r="L24" s="825"/>
      <x:c r="M24" s="825"/>
      <x:c r="N24" s="825"/>
    </x:row>
    <x:row r="25" ht="48" hidden="0" customHeight="1">
      <x:c r="A25" s="825" t="str">
        <x:v>D4~7</x:v>
      </x:c>
      <x:c r="B25" s="825" t="n">
        <x:v>4</x:v>
      </x:c>
      <x:c r="C25" s="825" t="n">
        <x:v>4</x:v>
      </x:c>
      <x:c r="D25" s="825" t="n">
        <x:v>6</x:v>
      </x:c>
      <x:c r="E25" s="825" t="str">
        <x:v>균형 집중도 도달</x:v>
      </x:c>
      <x:c r="F25" s="825" t="str">
        <x:v>W1 후반 첫 전문 체크</x:v>
      </x:c>
      <x:c r="G25" s="825"/>
      <x:c r="H25" s="825"/>
      <x:c r="I25" s="825" t="str">
        <x:v>상한의 의미</x:v>
      </x:c>
      <x:c r="J25" s="825" t="str">
        <x:v>'최대 요구치'는 그 구간에서 가장 어려운 선택지의 숫자. 모든 콘텐츠가 그 숫자를 요구한다는 뜻이 아님.</x:v>
      </x:c>
      <x:c r="K25" s="825"/>
      <x:c r="L25" s="825"/>
      <x:c r="M25" s="825"/>
      <x:c r="N25" s="825"/>
    </x:row>
    <x:row r="26" ht="60" hidden="0" customHeight="1">
      <x:c r="A26" s="825" t="str">
        <x:v>D8~10</x:v>
      </x:c>
      <x:c r="B26" s="825" t="n">
        <x:v>5</x:v>
      </x:c>
      <x:c r="C26" s="825" t="n">
        <x:v>5</x:v>
      </x:c>
      <x:c r="D26" s="825" t="n">
        <x:v>7</x:v>
      </x:c>
      <x:c r="E26" s="825" t="str">
        <x:v>정확히 도달</x:v>
      </x:c>
      <x:c r="F26" s="825" t="str">
        <x:v>폭풍 대비 초기·미라 실종 수색·수리</x:v>
      </x:c>
      <x:c r="G26" s="825"/>
      <x:c r="H26" s="825"/>
      <x:c r="I26" s="825" t="str">
        <x:v>극단 빌드 보상</x:v>
      </x:c>
      <x:c r="J26" s="825" t="str">
        <x:v>4/2/0 → 4짜리 분야 몰빵 시 후반 10을 무소모로 통과할 수 있게 하고, 0짜리 분야의 불편도 실제로 감수하게 해 빌드 자유도를 보상과 약점으로 동시에 연결.</x:v>
      </x:c>
      <x:c r="K26" s="825"/>
      <x:c r="L26" s="825"/>
      <x:c r="M26" s="825"/>
      <x:c r="N26" s="825"/>
    </x:row>
    <x:row r="27" ht="36" hidden="0" customHeight="1">
      <x:c r="A27" s="825" t="str">
        <x:v>D11~14</x:v>
      </x:c>
      <x:c r="B27" s="825" t="n">
        <x:v>6</x:v>
      </x:c>
      <x:c r="C27" s="825" t="n">
        <x:v>6</x:v>
      </x:c>
      <x:c r="D27" s="825" t="n">
        <x:v>8</x:v>
      </x:c>
      <x:c r="E27" s="825" t="str">
        <x:v>정확히 도달</x:v>
      </x:c>
      <x:c r="F27" s="825" t="str">
        <x:v>피난 준비·W2 고난도 Character/시설</x:v>
      </x:c>
      <x:c r="G27" s="825"/>
      <x:c r="H27" s="825"/>
      <x:c r="I27" s="825" t="str">
        <x:v>균형 빌드 보호</x:v>
      </x:c>
      <x:c r="J27" s="825" t="str">
        <x:v>2/2/2에서도 한 분야를 이후 집중하면 각 구간 일반 최고치 4→8을 따라갈 수 있음.</x:v>
      </x:c>
      <x:c r="K27" s="825"/>
      <x:c r="L27" s="825"/>
      <x:c r="M27" s="825"/>
      <x:c r="N27" s="825"/>
    </x:row>
    <x:row r="28" ht="48" hidden="0" customHeight="1">
      <x:c r="A28" s="825" t="str">
        <x:v>D15~17</x:v>
      </x:c>
      <x:c r="B28" s="825" t="n">
        <x:v>7</x:v>
      </x:c>
      <x:c r="C28" s="825" t="n">
        <x:v>7</x:v>
      </x:c>
      <x:c r="D28" s="825" t="n">
        <x:v>9</x:v>
      </x:c>
      <x:c r="E28" s="825" t="str">
        <x:v>정확히 도달</x:v>
      </x:c>
      <x:c r="F28" s="825" t="str">
        <x:v>W3 위기 대응·Character Final</x:v>
      </x:c>
      <x:c r="G28" s="825"/>
      <x:c r="H28" s="825"/>
      <x:c r="I28" s="825" t="str">
        <x:v>의지 역할</x:v>
      </x:c>
      <x:c r="J28" s="825" t="str">
        <x:v>요구9~10은 주로 의지 보완 가능 선택으로 배치. 단순히 숫자 부족을 벌주는 것이 아니라 '무리할 것인가'를 묻는다.</x:v>
      </x:c>
      <x:c r="K28" s="825"/>
      <x:c r="L28" s="825"/>
      <x:c r="M28" s="825"/>
      <x:c r="N28" s="825"/>
    </x:row>
    <x:row r="29" ht="24" hidden="0" customHeight="1">
      <x:c r="A29" s="825" t="str">
        <x:v>D18~20</x:v>
      </x:c>
      <x:c r="B29" s="825" t="n">
        <x:v>8</x:v>
      </x:c>
      <x:c r="C29" s="825" t="n">
        <x:v>8</x:v>
      </x:c>
      <x:c r="D29" s="825" t="n">
        <x:v>10</x:v>
      </x:c>
      <x:c r="E29" s="825" t="str">
        <x:v>정확히 도달</x:v>
      </x:c>
      <x:c r="F29" s="825" t="str">
        <x:v>후반 전문 해결 / 재분석 / 위기</x:v>
      </x:c>
      <x:c r="G29" s="825"/>
      <x:c r="H29" s="825"/>
      <x:c r="I29" s="825"/>
      <x:c r="J29" s="825"/>
      <x:c r="K29" s="825"/>
      <x:c r="L29" s="825"/>
      <x:c r="M29" s="825"/>
      <x:c r="N29" s="825"/>
    </x:row>
    <x:row r="30" ht="24" hidden="0" customHeight="1">
      <x:c r="A30" s="825" t="str">
        <x:v>특수 W3</x:v>
      </x:c>
      <x:c r="B30" s="825" t="n">
        <x:v>9</x:v>
      </x:c>
      <x:c r="C30" s="825" t="n">
        <x:v>8</x:v>
      </x:c>
      <x:c r="D30" s="825" t="n">
        <x:v>10</x:v>
      </x:c>
      <x:c r="E30" s="825" t="str">
        <x:v>의지 또는 극단 빌드</x:v>
      </x:c>
      <x:c r="F30" s="825" t="str">
        <x:v>강한 빌드 보상 + 의지 보완 선택</x:v>
      </x:c>
      <x:c r="G30" s="825"/>
      <x:c r="H30" s="825"/>
      <x:c r="I30" s="837" t="str">
        <x:v>7. 시작 0 스탯의 의미</x:v>
      </x:c>
      <x:c r="J30" s="837"/>
      <x:c r="K30" s="837"/>
      <x:c r="L30" s="837"/>
      <x:c r="M30" s="837"/>
      <x:c r="N30" s="837"/>
    </x:row>
    <x:row r="31" ht="72" hidden="0" customHeight="1">
      <x:c r="A31" s="825" t="str">
        <x:v>클라이맥스 특수</x:v>
      </x:c>
      <x:c r="B31" s="825" t="n">
        <x:v>10</x:v>
      </x:c>
      <x:c r="C31" s="825" t="n">
        <x:v>8</x:v>
      </x:c>
      <x:c r="D31" s="825" t="n">
        <x:v>10</x:v>
      </x:c>
      <x:c r="E31" s="825" t="str">
        <x:v>극단 빌드 또는 의지 대량 소모</x:v>
      </x:c>
      <x:c r="F31" s="825" t="str">
        <x:v>'기술10' 같은 영웅적/전문화 선택</x:v>
      </x:c>
      <x:c r="G31" s="825"/>
      <x:c r="H31" s="825"/>
      <x:c r="I31" s="837" t="str">
        <x:v>원칙</x:v>
      </x:c>
      <x:c r="J31" s="825" t="str">
        <x:v>0은 '실패 캐릭터'가 아니라 플레이어가 선택한 명확한 약점. 일반 체크는 요구치 미달이면 사용할 수 없고, 의지 보완은 해당 선택지가 명시적으로 허용할 때만 가능.</x:v>
      </x:c>
      <x:c r="K31" s="825"/>
      <x:c r="L31" s="825"/>
      <x:c r="M31" s="825"/>
      <x:c r="N31" s="825"/>
    </x:row>
    <x:row r="32" ht="30" hidden="0" customHeight="1">
      <x:c r="A32" s="849" t="str">
        <x:v>D21</x:v>
      </x:c>
      <x:c r="B32" s="849" t="str">
        <x:v>새 체크 최소화</x:v>
      </x:c>
      <x:c r="C32" s="849"/>
      <x:c r="D32" s="849"/>
      <x:c r="E32" s="849" t="str">
        <x:v>결과 확인</x:v>
      </x:c>
      <x:c r="F32" s="849" t="str">
        <x:v>21일 축적 상태를 읽는 날</x:v>
      </x:c>
      <x:c r="G32" s="849"/>
      <x:c r="H32" s="849"/>
      <x:c r="I32" s="849" t="str">
        <x:v>결과</x:v>
      </x:c>
      <x:c r="J32" s="849" t="str">
        <x:v>예: 기술 0 제이는 W1의 기술 2~3 일반 선택을 포기할 수 있다. 대신 교감/강인함 4 쪽의 강한 시작 보상을 얻는다.</x:v>
      </x:c>
      <x:c r="K32" s="849"/>
      <x:c r="L32" s="849"/>
      <x:c r="M32" s="849"/>
      <x:c r="N32" s="849"/>
    </x:row>
    <x:row r="33" ht="15" hidden="0" customHeight="1">
      <x:c r="A33" s="825"/>
      <x:c r="B33" s="825"/>
      <x:c r="C33" s="825"/>
      <x:c r="D33" s="825"/>
      <x:c r="E33" s="825"/>
      <x:c r="F33" s="825"/>
      <x:c r="G33" s="825"/>
      <x:c r="H33" s="825"/>
      <x:c r="I33" s="825"/>
      <x:c r="J33" s="825"/>
      <x:c r="K33" s="825"/>
      <x:c r="L33" s="825"/>
      <x:c r="M33" s="825"/>
      <x:c r="N33" s="825"/>
    </x:row>
    <x:row r="34" ht="15" hidden="0" customHeight="1">
      <x:c r="A34" s="825"/>
      <x:c r="B34" s="825"/>
      <x:c r="C34" s="825"/>
      <x:c r="D34" s="825"/>
      <x:c r="E34" s="825"/>
      <x:c r="F34" s="825"/>
      <x:c r="G34" s="825"/>
      <x:c r="H34" s="825"/>
      <x:c r="I34" s="825"/>
      <x:c r="J34" s="825"/>
      <x:c r="K34" s="825"/>
      <x:c r="L34" s="825"/>
      <x:c r="M34" s="825"/>
      <x:c r="N34" s="825"/>
    </x:row>
    <x:row r="35" ht="15" hidden="0" customHeight="1">
      <x:c r="A35" s="837" t="str">
        <x:v>구간</x:v>
      </x:c>
      <x:c r="B35" s="837" t="str">
        <x:v>최고 요구</x:v>
      </x:c>
      <x:c r="C35" s="837" t="str">
        <x:v>균형 집중 예상</x:v>
      </x:c>
      <x:c r="D35" s="837" t="str">
        <x:v>극단 집중 예상</x:v>
      </x:c>
      <x:c r="E35" s="825"/>
      <x:c r="F35" s="825" t="str">
        <x:v>시작0 허용</x:v>
      </x:c>
      <x:c r="G35" s="825"/>
      <x:c r="H35" s="825"/>
      <x:c r="I35" s="825"/>
      <x:c r="J35" s="825"/>
      <x:c r="K35" s="825"/>
      <x:c r="L35" s="825"/>
      <x:c r="M35" s="825"/>
      <x:c r="N35" s="825"/>
    </x:row>
    <x:row r="36" ht="15" hidden="0" customHeight="1">
      <x:c r="A36" s="825" t="str">
        <x:v>D1~3</x:v>
      </x:c>
      <x:c r="B36" s="825" t="n">
        <x:v>3</x:v>
      </x:c>
      <x:c r="C36" s="825" t="n">
        <x:v>2</x:v>
      </x:c>
      <x:c r="D36" s="825" t="n">
        <x:v>4</x:v>
      </x:c>
      <x:c r="E36" s="825"/>
      <x:c r="F36" s="825"/>
      <x:c r="G36" s="825"/>
      <x:c r="H36" s="825"/>
      <x:c r="I36" s="825"/>
      <x:c r="J36" s="825"/>
      <x:c r="K36" s="825"/>
      <x:c r="L36" s="825"/>
      <x:c r="M36" s="825"/>
      <x:c r="N36" s="825"/>
    </x:row>
    <x:row r="37" ht="15" hidden="0" customHeight="1">
      <x:c r="A37" s="825" t="str">
        <x:v>D4~7</x:v>
      </x:c>
      <x:c r="B37" s="825" t="n">
        <x:v>4</x:v>
      </x:c>
      <x:c r="C37" s="825" t="n">
        <x:v>4</x:v>
      </x:c>
      <x:c r="D37" s="825" t="n">
        <x:v>6</x:v>
      </x:c>
      <x:c r="E37" s="825"/>
      <x:c r="F37" s="825"/>
      <x:c r="G37" s="825"/>
      <x:c r="H37" s="825"/>
      <x:c r="I37" s="825"/>
      <x:c r="J37" s="825"/>
      <x:c r="K37" s="825"/>
      <x:c r="L37" s="825"/>
      <x:c r="M37" s="825"/>
      <x:c r="N37" s="825"/>
    </x:row>
    <x:row r="38" ht="15" hidden="0" customHeight="1">
      <x:c r="A38" s="825" t="str">
        <x:v>D8~10</x:v>
      </x:c>
      <x:c r="B38" s="825" t="n">
        <x:v>5</x:v>
      </x:c>
      <x:c r="C38" s="825" t="n">
        <x:v>5</x:v>
      </x:c>
      <x:c r="D38" s="825" t="n">
        <x:v>7</x:v>
      </x:c>
      <x:c r="E38" s="825"/>
      <x:c r="F38" s="825"/>
      <x:c r="G38" s="825"/>
      <x:c r="H38" s="825"/>
      <x:c r="I38" s="825"/>
      <x:c r="J38" s="825"/>
      <x:c r="K38" s="825"/>
      <x:c r="L38" s="825"/>
      <x:c r="M38" s="825"/>
      <x:c r="N38" s="825"/>
    </x:row>
    <x:row r="39" ht="15" hidden="0" customHeight="1">
      <x:c r="A39" s="825" t="str">
        <x:v>D11~14</x:v>
      </x:c>
      <x:c r="B39" s="825" t="n">
        <x:v>6</x:v>
      </x:c>
      <x:c r="C39" s="825" t="n">
        <x:v>6</x:v>
      </x:c>
      <x:c r="D39" s="825" t="n">
        <x:v>8</x:v>
      </x:c>
      <x:c r="E39" s="825"/>
      <x:c r="F39" s="825"/>
      <x:c r="G39" s="825"/>
      <x:c r="H39" s="825"/>
      <x:c r="I39" s="825"/>
      <x:c r="J39" s="825"/>
      <x:c r="K39" s="825"/>
      <x:c r="L39" s="825"/>
      <x:c r="M39" s="825"/>
      <x:c r="N39" s="825"/>
    </x:row>
    <x:row r="40" ht="15" hidden="0" customHeight="1">
      <x:c r="A40" s="825" t="str">
        <x:v>D15~17</x:v>
      </x:c>
      <x:c r="B40" s="825" t="n">
        <x:v>7</x:v>
      </x:c>
      <x:c r="C40" s="825" t="n">
        <x:v>7</x:v>
      </x:c>
      <x:c r="D40" s="825" t="n">
        <x:v>9</x:v>
      </x:c>
      <x:c r="E40" s="825"/>
      <x:c r="F40" s="825"/>
      <x:c r="G40" s="825"/>
      <x:c r="H40" s="825"/>
      <x:c r="I40" s="825"/>
      <x:c r="J40" s="825"/>
      <x:c r="K40" s="825"/>
      <x:c r="L40" s="825"/>
      <x:c r="M40" s="825"/>
      <x:c r="N40" s="825"/>
    </x:row>
    <x:row r="41" ht="15" hidden="0" customHeight="1">
      <x:c r="A41" s="825" t="str">
        <x:v>D18~20</x:v>
      </x:c>
      <x:c r="B41" s="825" t="n">
        <x:v>8</x:v>
      </x:c>
      <x:c r="C41" s="825" t="n">
        <x:v>8</x:v>
      </x:c>
      <x:c r="D41" s="825" t="n">
        <x:v>10</x:v>
      </x:c>
      <x:c r="E41" s="825"/>
      <x:c r="F41" s="825"/>
      <x:c r="G41" s="825"/>
      <x:c r="H41" s="825"/>
      <x:c r="I41" s="825"/>
      <x:c r="J41" s="825"/>
      <x:c r="K41" s="825"/>
      <x:c r="L41" s="825"/>
      <x:c r="M41" s="825"/>
      <x:c r="N41" s="825"/>
    </x:row>
    <x:row r="42" ht="30" hidden="0" customHeight="1">
      <x:c r="A42" s="839" t="str">
        <x:v>8. Character Route Mastery 보너스 — W1 Focus Anchor 반영</x:v>
      </x:c>
      <x:c r="B42" s="839"/>
      <x:c r="C42" s="839"/>
      <x:c r="D42" s="839"/>
      <x:c r="E42" s="839"/>
      <x:c r="F42" s="839"/>
      <x:c r="G42" s="839"/>
      <x:c r="H42" s="839" t="str">
        <x:v>예: True는 Focus A를 Faye에 써야 페이 Full Route→LEAVE를 만들 수 있다. Focus B는 Diya/Benjamin 중 한 명, Sam은 반복 지원으로 별도 가능. 따라서 같은 Run에서 모든 캐릭터 Mastery를 쌓는 형태는 막히고, 어떤 사람을 깊게 따라갔는지가 D19의 Stat 보상에 남는다.</x:v>
      </x:c>
      <x:c r="I42" s="839"/>
      <x:c r="J42" s="839"/>
      <x:c r="K42" s="839"/>
      <x:c r="L42" s="839"/>
      <x:c r="M42" s="839"/>
      <x:c r="N42" s="839"/>
    </x:row>
    <x:row r="43" ht="30" hidden="0" customHeight="1">
      <x:c r="A43" s="849" t="str">
        <x:v>항목</x:v>
      </x:c>
      <x:c r="B43" s="849" t="str">
        <x:v>값</x:v>
      </x:c>
      <x:c r="C43" s="849" t="str">
        <x:v>계산</x:v>
      </x:c>
      <x:c r="D43" s="849" t="str">
        <x:v>의미</x:v>
      </x:c>
      <x:c r="E43" s="849" t="str">
        <x:v>상태</x:v>
      </x:c>
      <x:c r="F43" s="849" t="str">
        <x:v>주의</x:v>
      </x:c>
      <x:c r="G43" s="849"/>
      <x:c r="H43" s="849"/>
      <x:c r="I43" s="849"/>
      <x:c r="J43" s="849"/>
      <x:c r="K43" s="849"/>
      <x:c r="L43" s="849"/>
      <x:c r="M43" s="849"/>
      <x:c r="N43" s="849"/>
    </x:row>
    <x:row r="44" ht="15" hidden="0" customHeight="1">
      <x:c r="A44" s="825" t="str">
        <x:v>일반 집중 성장 목표</x:v>
      </x:c>
      <x:c r="B44" s="825" t="str">
        <x:v>+6 Lv</x:v>
      </x:c>
      <x:c r="C44" s="825" t="str">
        <x:v>36XP / 6XP</x:v>
      </x:c>
      <x:c r="D44" s="825" t="str">
        <x:v>기존 D1~20 성장곡선</x:v>
      </x:c>
      <x:c r="E44" s="825" t="str">
        <x:v>TEMP 기존</x:v>
      </x:c>
      <x:c r="F44" s="825" t="str">
        <x:v>한 분야 집중 기준</x:v>
      </x:c>
      <x:c r="G44" s="825"/>
      <x:c r="H44" s="825"/>
      <x:c r="I44" s="825"/>
      <x:c r="J44" s="825"/>
      <x:c r="K44" s="825"/>
      <x:c r="L44" s="825"/>
      <x:c r="M44" s="825"/>
      <x:c r="N44" s="825"/>
    </x:row>
    <x:row r="45" ht="24" hidden="0" customHeight="1">
      <x:c r="A45" s="825" t="str">
        <x:v>Character Mastery 실전 최대</x:v>
      </x:c>
      <x:c r="B45" s="825" t="str">
        <x:v>+3 Lv</x:v>
      </x:c>
      <x:c r="C45" s="825" t="str">
        <x:v>Focus A 1 + Focus B 1 + Sam 1</x:v>
      </x:c>
      <x:c r="D45" s="825" t="str">
        <x:v>한 Run에서 얻을 수 있는 Full Route Mastery 상한</x:v>
      </x:c>
      <x:c r="E45" s="825" t="str">
        <x:v>검증 PASS</x:v>
      </x:c>
      <x:c r="F45" s="825" t="str">
        <x:v>각 Mastery는 다른 Stat일 수도 있음</x:v>
      </x:c>
      <x:c r="G45" s="825"/>
      <x:c r="H45" s="825"/>
      <x:c r="I45" s="825"/>
      <x:c r="J45" s="825"/>
      <x:c r="K45" s="825"/>
      <x:c r="L45" s="825"/>
      <x:c r="M45" s="825"/>
      <x:c r="N45" s="825"/>
    </x:row>
    <x:row r="46" ht="15" hidden="0" customHeight="1">
      <x:c r="A46" s="825" t="str">
        <x:v>시작 총 Stat</x:v>
      </x:c>
      <x:c r="B46" s="825" t="str">
        <x:v>6</x:v>
      </x:c>
      <x:c r="C46" s="825" t="str">
        <x:v>강인함+교감+기술</x:v>
      </x:c>
      <x:c r="D46" s="825" t="str">
        <x:v>시작 분배</x:v>
      </x:c>
      <x:c r="E46" s="825" t="str">
        <x:v>확정</x:v>
      </x:c>
      <x:c r="F46" s="825" t="str">
        <x:v>—</x:v>
      </x:c>
      <x:c r="G46" s="825"/>
      <x:c r="H46" s="825"/>
      <x:c r="I46" s="825"/>
      <x:c r="J46" s="825"/>
      <x:c r="K46" s="825"/>
      <x:c r="L46" s="825"/>
      <x:c r="M46" s="825"/>
      <x:c r="N46" s="825"/>
    </x:row>
    <x:row r="47" ht="24" hidden="0" customHeight="1">
      <x:c r="A47" s="825" t="str">
        <x:v>실전 최종 총합 상한</x:v>
      </x:c>
      <x:c r="B47" s="825" t="str">
        <x:v>15</x:v>
      </x:c>
      <x:c r="C47" s="825" t="str">
        <x:v>6 + 일반6 + Mastery3</x:v>
      </x:c>
      <x:c r="D47" s="825" t="str">
        <x:v>Runtime 총합20 가정 안쪽</x:v>
      </x:c>
      <x:c r="E47" s="825" t="str">
        <x:v>검증 PASS</x:v>
      </x:c>
      <x:c r="F47" s="825" t="str">
        <x:v>모든 성장/3 Mastery를 다 먹은 이론적 플레이</x:v>
      </x:c>
      <x:c r="G47" s="825"/>
      <x:c r="H47" s="825"/>
      <x:c r="I47" s="825"/>
      <x:c r="J47" s="825"/>
      <x:c r="K47" s="825"/>
      <x:c r="L47" s="825"/>
      <x:c r="M47" s="825"/>
      <x:c r="N47" s="825"/>
    </x:row>
    <x:row r="48" ht="24" hidden="0" customHeight="1">
      <x:c r="A48" s="825" t="str">
        <x:v>Mastery 타이밍</x:v>
      </x:c>
      <x:c r="B48" s="825" t="str">
        <x:v>D16~18</x:v>
      </x:c>
      <x:c r="C48" s="825" t="str">
        <x:v>Final 완료 시</x:v>
      </x:c>
      <x:c r="D48" s="825" t="str">
        <x:v>D19 요구9~10 직전 보상</x:v>
      </x:c>
      <x:c r="E48" s="825" t="str">
        <x:v>TEMP 확정 후보</x:v>
      </x:c>
      <x:c r="F48" s="825" t="str">
        <x:v>D20 Epilogue에는 소급 Mastery 없음</x:v>
      </x:c>
      <x:c r="G48" s="825"/>
      <x:c r="H48" s="825"/>
      <x:c r="I48" s="825"/>
      <x:c r="J48" s="825"/>
      <x:c r="K48" s="825"/>
      <x:c r="L48" s="825"/>
      <x:c r="M48" s="825"/>
      <x:c r="N48" s="825"/>
    </x:row>
    <x:row r="49" ht="15" hidden="0" customHeight="1">
      <x:c r="A49" s="825"/>
      <x:c r="B49" s="825"/>
      <x:c r="C49" s="825"/>
      <x:c r="D49" s="825"/>
      <x:c r="E49" s="825"/>
      <x:c r="F49" s="825"/>
      <x:c r="G49" s="825"/>
      <x:c r="H49" s="825"/>
      <x:c r="I49" s="825"/>
      <x:c r="J49" s="825"/>
      <x:c r="K49" s="825"/>
      <x:c r="L49" s="825"/>
      <x:c r="M49" s="825"/>
      <x:c r="N49" s="825"/>
    </x:row>
    <x:row r="50" ht="26" hidden="0" customHeight="1">
      <x:c r="A50" s="852" t="str">
        <x:v>9. v1.1 XP 공급 문법</x:v>
      </x:c>
      <x:c r="B50" s="852"/>
      <x:c r="C50" s="852"/>
      <x:c r="D50" s="852"/>
      <x:c r="E50" s="852"/>
      <x:c r="F50" s="852"/>
      <x:c r="G50" s="852"/>
      <x:c r="H50" s="852"/>
      <x:c r="I50" s="852"/>
      <x:c r="J50" s="852"/>
      <x:c r="K50" s="852"/>
      <x:c r="L50" s="852"/>
      <x:c r="M50" s="852"/>
      <x:c r="N50" s="852"/>
    </x:row>
    <x:row r="51" ht="30" hidden="0" customHeight="1">
      <x:c r="A51" s="849" t="str">
        <x:v>종류</x:v>
      </x:c>
      <x:c r="B51" s="849" t="str">
        <x:v>대표 XP</x:v>
      </x:c>
      <x:c r="C51" s="849" t="str">
        <x:v>관계/Route 비용</x:v>
      </x:c>
      <x:c r="D51" s="849" t="str">
        <x:v>목표</x:v>
      </x:c>
      <x:c r="E51" s="849" t="str">
        <x:v>상태</x:v>
      </x:c>
      <x:c r="F51" s="849" t="str">
        <x:v>메모</x:v>
      </x:c>
      <x:c r="G51" s="849"/>
      <x:c r="H51" s="849"/>
      <x:c r="I51" s="849"/>
      <x:c r="J51" s="849"/>
      <x:c r="K51" s="849"/>
      <x:c r="L51" s="849"/>
      <x:c r="M51" s="849"/>
      <x:c r="N51" s="849"/>
    </x:row>
    <x:row r="52" ht="15" hidden="0" customHeight="1">
      <x:c r="A52" s="825" t="str">
        <x:v>일반 생활/반복</x:v>
      </x:c>
      <x:c r="B52" s="825" t="str">
        <x:v>0~1</x:v>
      </x:c>
      <x:c r="C52" s="825" t="str">
        <x:v>거의 없음</x:v>
      </x:c>
      <x:c r="D52" s="825" t="str">
        <x:v>보조 공급</x:v>
      </x:c>
      <x:c r="E52" s="825" t="str">
        <x:v>v1.1</x:v>
      </x:c>
      <x:c r="F52" s="825" t="str">
        <x:v>반복 파밍 금지</x:v>
      </x:c>
      <x:c r="G52" s="825"/>
      <x:c r="H52" s="825"/>
      <x:c r="I52" s="825"/>
      <x:c r="J52" s="825"/>
      <x:c r="K52" s="825"/>
      <x:c r="L52" s="825"/>
      <x:c r="M52" s="825"/>
      <x:c r="N52" s="825"/>
    </x:row>
    <x:row r="53" ht="24" hidden="0" customHeight="1">
      <x:c r="A53" s="825" t="str">
        <x:v>Main/Character Pivot</x:v>
      </x:c>
      <x:c r="B53" s="825" t="str">
        <x:v>2~3</x:v>
      </x:c>
      <x:c r="C53" s="825" t="str">
        <x:v>Affinity± / 시간 / Route Flag</x:v>
      </x:c>
      <x:c r="D53" s="825" t="str">
        <x:v>공략 핵심 공급</x:v>
      </x:c>
      <x:c r="E53" s="825" t="str">
        <x:v>v1.1</x:v>
      </x:c>
      <x:c r="F53" s="825" t="str">
        <x:v>22_BalancePatch_v1.1의 8개 Pivot</x:v>
      </x:c>
      <x:c r="G53" s="825"/>
      <x:c r="H53" s="825"/>
      <x:c r="I53" s="825"/>
      <x:c r="J53" s="825"/>
      <x:c r="K53" s="825"/>
      <x:c r="L53" s="825"/>
      <x:c r="M53" s="825"/>
      <x:c r="N53" s="825"/>
    </x:row>
    <x:row r="54" ht="30" hidden="0" customHeight="1">
      <x:c r="A54" s="839" t="str">
        <x:v>Focus/Deepening</x:v>
      </x:c>
      <x:c r="B54" s="839" t="str">
        <x:v>1~2 후보</x:v>
      </x:c>
      <x:c r="C54" s="839" t="str">
        <x:v>상호배타/선행조건</x:v>
      </x:c>
      <x:c r="D54" s="839" t="str">
        <x:v>Route 보조</x:v>
      </x:c>
      <x:c r="E54" s="839" t="str">
        <x:v>TEMP</x:v>
      </x:c>
      <x:c r="F54" s="839" t="str">
        <x:v>주차 예산 안에서 분배</x:v>
      </x:c>
      <x:c r="G54" s="839"/>
      <x:c r="H54" s="839"/>
      <x:c r="I54" s="839"/>
      <x:c r="J54" s="839"/>
      <x:c r="K54" s="839"/>
      <x:c r="L54" s="839"/>
      <x:c r="M54" s="839"/>
      <x:c r="N54" s="839"/>
    </x:row>
    <x:row r="55" ht="15" hidden="0" customHeight="1">
      <x:c r="A55" s="825" t="str">
        <x:v>Mastery</x:v>
      </x:c>
      <x:c r="B55" s="825" t="str">
        <x:v>6</x:v>
      </x:c>
      <x:c r="C55" s="825" t="str">
        <x:v>Full Route</x:v>
      </x:c>
      <x:c r="D55" s="825" t="str">
        <x:v>클라이맥스 +1Lv</x:v>
      </x:c>
      <x:c r="E55" s="825" t="str">
        <x:v>유지</x:v>
      </x:c>
      <x:c r="F55" s="825" t="str">
        <x:v>D16~20</x:v>
      </x:c>
      <x:c r="G55" s="825"/>
      <x:c r="H55" s="825"/>
      <x:c r="I55" s="825"/>
      <x:c r="J55" s="825"/>
      <x:c r="K55" s="825"/>
      <x:c r="L55" s="825"/>
      <x:c r="M55" s="825"/>
      <x:c r="N55" s="825"/>
    </x:row>
    <x:row r="56" ht="24" hidden="0" customHeight="1">
      <x:c r="A56" s="825" t="str">
        <x:v>구간 총량</x:v>
      </x:c>
      <x:c r="B56" s="825" t="str">
        <x:v>기존 목표곡선 유지</x:v>
      </x:c>
      <x:c r="C56" s="825" t="str">
        <x:v>Pivot XP 포함</x:v>
      </x:c>
      <x:c r="D56" s="825" t="str">
        <x:v>집중 성장 D4~20 +36XP</x:v>
      </x:c>
      <x:c r="E56" s="825" t="str">
        <x:v>유지</x:v>
      </x:c>
      <x:c r="F56" s="825" t="str">
        <x:v>실제 Action별 배분 후 재시뮬</x:v>
      </x:c>
      <x:c r="G56" s="825"/>
      <x:c r="H56" s="825"/>
      <x:c r="I56" s="825"/>
      <x:c r="J56" s="825"/>
      <x:c r="K56" s="825"/>
      <x:c r="L56" s="825"/>
      <x:c r="M56" s="825"/>
      <x:c r="N56" s="825"/>
    </x:row>
  </x:sheetData>
  <x:mergeCells>
    <x:mergeCell ref="A1:N1"/>
    <x:mergeCell ref="A2:N2"/>
    <x:mergeCell ref="A4:N4"/>
    <x:mergeCell ref="A11:N11"/>
    <x:mergeCell ref="A19:G20"/>
    <x:mergeCell ref="A22:N22"/>
    <x:mergeCell ref="I4:N4"/>
    <x:mergeCell ref="I14:N14"/>
    <x:mergeCell ref="I22:N22"/>
    <x:mergeCell ref="I30:N30"/>
    <x:mergeCell ref="A42:N42"/>
    <x:mergeCell ref="H42:N48"/>
    <x:mergeCell ref="A42:F42"/>
  </x:mergeCells>
  <x:conditionalFormatting sqref="F6:F9">
    <x:cfRule type="expression" dxfId="31" priority="1">
      <x:formula>F6="허용"</x:formula>
    </x:cfRule>
    <x:cfRule type="expression" dxfId="32" priority="2">
      <x:formula>F6="금지"</x:formula>
    </x:cfRule>
  </x:conditionalFormatting>
  <x:pageMargins left="0.7" right="0.7" top="0.75" bottom="0.75" header="0.3" footer="0.3"/>
  <x:drawing xmlns:r="http://schemas.openxmlformats.org/officeDocument/2006/relationships" r:id="R4a9cb4a9d98c4b1f"/>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0" hidden="0" customHeight="1">
      <x:c r="A1" s="843" t="str">
        <x:v>Emergency Design v0.5 — Core Crisis Grammar + Panic + Critical Function Loss</x:v>
      </x:c>
      <x:c r="B1" s="843"/>
      <x:c r="C1" s="843"/>
      <x:c r="D1" s="843"/>
      <x:c r="E1" s="843"/>
      <x:c r="F1" s="843"/>
      <x:c r="G1" s="843"/>
      <x:c r="H1" s="843"/>
      <x:c r="I1" s="843"/>
      <x:c r="J1" s="843"/>
      <x:c r="K1" s="843"/>
      <x:c r="L1" s="843"/>
      <x:c r="M1" s="843"/>
      <x:c r="N1" s="843"/>
    </x:row>
    <x:row r="2" ht="42" hidden="0" customHeight="1">
      <x:c r="A2" s="846" t="str">
        <x:v>W3 Emergency 공통 문법을 Breach와 Oxygen Interruption 두 사건으로 검증한다. Breach는 구조 손상(Global Hull 포함), Oxygen Interruption은 특정 구역의 산소 순환/생명유지 장애(Global Hull 피해 없음)다. 두 사건 모두 해결과 이미 발생한 Integrity 복구는 분리한다.</x:v>
      </x:c>
      <x:c r="B2" s="846"/>
      <x:c r="C2" s="846"/>
      <x:c r="D2" s="846"/>
      <x:c r="E2" s="846"/>
      <x:c r="F2" s="846"/>
      <x:c r="G2" s="846"/>
      <x:c r="H2" s="846"/>
      <x:c r="I2" s="846"/>
      <x:c r="J2" s="846"/>
      <x:c r="K2" s="846"/>
      <x:c r="L2" s="846"/>
      <x:c r="M2" s="846"/>
      <x:c r="N2" s="846"/>
    </x:row>
    <x:row r="3" ht="15" hidden="0" customHeight="1">
      <x:c r="A3" s="825"/>
      <x:c r="B3" s="825"/>
      <x:c r="C3" s="825"/>
      <x:c r="D3" s="825"/>
      <x:c r="E3" s="825"/>
      <x:c r="F3" s="825"/>
      <x:c r="G3" s="825"/>
      <x:c r="H3" s="825"/>
      <x:c r="I3" s="825"/>
      <x:c r="J3" s="825"/>
      <x:c r="K3" s="825"/>
      <x:c r="L3" s="825"/>
      <x:c r="M3" s="825"/>
      <x:c r="N3" s="825"/>
    </x:row>
    <x:row r="4" ht="26" hidden="0" customHeight="1">
      <x:c r="A4" s="852" t="str">
        <x:v>1. Breach 발생 → 해결 흐름</x:v>
      </x:c>
      <x:c r="B4" s="852"/>
      <x:c r="C4" s="852"/>
      <x:c r="D4" s="852"/>
      <x:c r="E4" s="852"/>
      <x:c r="F4" s="852"/>
      <x:c r="G4" s="852"/>
      <x:c r="H4" s="852"/>
      <x:c r="I4" s="852"/>
      <x:c r="J4" s="852"/>
      <x:c r="K4" s="852"/>
      <x:c r="L4" s="852"/>
      <x:c r="M4" s="852"/>
      <x:c r="N4" s="852"/>
    </x:row>
    <x:row r="5" ht="30" hidden="0" customHeight="1">
      <x:c r="A5" s="849" t="str">
        <x:v>단계</x:v>
      </x:c>
      <x:c r="B5" s="849" t="str">
        <x:v>시점</x:v>
      </x:c>
      <x:c r="C5" s="849" t="str">
        <x:v>규칙</x:v>
      </x:c>
      <x:c r="D5" s="849" t="str">
        <x:v>플레이어에게 보이는 정보</x:v>
      </x:c>
      <x:c r="E5" s="849" t="str">
        <x:v>상태</x:v>
      </x:c>
      <x:c r="F5" s="849"/>
      <x:c r="G5" s="849"/>
      <x:c r="H5" s="849"/>
      <x:c r="I5" s="849"/>
      <x:c r="J5" s="849"/>
      <x:c r="K5" s="849"/>
      <x:c r="L5" s="849"/>
      <x:c r="M5" s="849"/>
      <x:c r="N5" s="849"/>
    </x:row>
    <x:row r="6" ht="36" hidden="0" customHeight="1">
      <x:c r="A6" s="825" t="str">
        <x:v>발생</x:v>
      </x:c>
      <x:c r="B6" s="825" t="str">
        <x:v>T+0</x:v>
      </x:c>
      <x:c r="C6" s="825" t="str">
        <x:v>Breach 생성. 즉시 Integrity 피해는 없음.</x:v>
      </x:c>
      <x:c r="D6" s="825" t="str">
        <x:v>발생 구역 / 첫 피해까지 4h / 현재 NPC / 가능한 해결법</x:v>
      </x:c>
      <x:c r="E6" s="825" t="str">
        <x:v>확정방향</x:v>
      </x:c>
      <x:c r="F6" s="825"/>
      <x:c r="G6" s="825"/>
      <x:c r="H6" s="825"/>
      <x:c r="I6" s="825"/>
      <x:c r="J6" s="825"/>
      <x:c r="K6" s="825"/>
      <x:c r="L6" s="825"/>
      <x:c r="M6" s="825"/>
      <x:c r="N6" s="825"/>
    </x:row>
    <x:row r="7" ht="36" hidden="0" customHeight="1">
      <x:c r="A7" s="825" t="str">
        <x:v>대응창</x:v>
      </x:c>
      <x:c r="B7" s="825" t="str">
        <x:v>T+0~4h</x:v>
      </x:c>
      <x:c r="C7" s="825" t="str">
        <x:v>플레이어/NPC가 해결 중이거나 다른 행동을 할 수 있음.</x:v>
      </x:c>
      <x:c r="D7" s="825" t="str">
        <x:v>남은 시간 카운트다운</x:v>
      </x:c>
      <x:c r="E7" s="825" t="str">
        <x:v>확정방향</x:v>
      </x:c>
      <x:c r="F7" s="825"/>
      <x:c r="G7" s="825"/>
      <x:c r="H7" s="825"/>
      <x:c r="I7" s="825"/>
      <x:c r="J7" s="825"/>
      <x:c r="K7" s="825"/>
      <x:c r="L7" s="825"/>
      <x:c r="M7" s="825"/>
      <x:c r="N7" s="825"/>
    </x:row>
    <x:row r="8" ht="36" hidden="0" customHeight="1">
      <x:c r="A8" s="825" t="str">
        <x:v>첫 Tick</x:v>
      </x:c>
      <x:c r="B8" s="825" t="str">
        <x:v>T+4h</x:v>
      </x:c>
      <x:c r="C8" s="825" t="str">
        <x:v>아직 미해결이면 해당 구역 피해를 한 번 '원자적 배치'로 적용.</x:v>
      </x:c>
      <x:c r="D8" s="825" t="str">
        <x:v>손상 결과 + 다음 Tick까지 4h</x:v>
      </x:c>
      <x:c r="E8" s="825" t="str">
        <x:v>확정방향</x:v>
      </x:c>
      <x:c r="F8" s="825"/>
      <x:c r="G8" s="825"/>
      <x:c r="H8" s="825"/>
      <x:c r="I8" s="825"/>
      <x:c r="J8" s="825"/>
      <x:c r="K8" s="825"/>
      <x:c r="L8" s="825"/>
      <x:c r="M8" s="825"/>
      <x:c r="N8" s="825"/>
    </x:row>
    <x:row r="9" ht="24" hidden="0" customHeight="1">
      <x:c r="A9" s="825" t="str">
        <x:v>반복</x:v>
      </x:c>
      <x:c r="B9" s="825" t="str">
        <x:v>이후 매 4h</x:v>
      </x:c>
      <x:c r="C9" s="825" t="str">
        <x:v>미해결 상태인 동안 동일 피해 반복.</x:v>
      </x:c>
      <x:c r="D9" s="825" t="str">
        <x:v>다음 피해 시각</x:v>
      </x:c>
      <x:c r="E9" s="825" t="str">
        <x:v>확정방향</x:v>
      </x:c>
      <x:c r="F9" s="825"/>
      <x:c r="G9" s="825"/>
      <x:c r="H9" s="825"/>
      <x:c r="I9" s="825"/>
      <x:c r="J9" s="825"/>
      <x:c r="K9" s="825"/>
      <x:c r="L9" s="825"/>
      <x:c r="M9" s="825"/>
      <x:c r="N9" s="825"/>
    </x:row>
    <x:row r="10" ht="30" hidden="0" customHeight="1">
      <x:c r="A10" s="839" t="str">
        <x:v>해결</x:v>
      </x:c>
      <x:c r="B10" s="839" t="str">
        <x:v>완료 시점</x:v>
      </x:c>
      <x:c r="C10" s="839" t="str">
        <x:v>Breach 상태 제거. 이후 Tick 중단. 이미 발생한 Integrity 손실은 복구하지 않음.</x:v>
      </x:c>
      <x:c r="D10" s="839" t="str">
        <x:v>'외벽 뚫림 해결' 결과창</x:v>
      </x:c>
      <x:c r="E10" s="839" t="str">
        <x:v>확정방향</x:v>
      </x:c>
      <x:c r="F10" s="839"/>
      <x:c r="G10" s="839"/>
      <x:c r="H10" s="839"/>
      <x:c r="I10" s="839"/>
      <x:c r="J10" s="839"/>
      <x:c r="K10" s="839"/>
      <x:c r="L10" s="839"/>
      <x:c r="M10" s="839"/>
      <x:c r="N10" s="839"/>
    </x:row>
    <x:row r="11" ht="48" hidden="0" customHeight="1">
      <x:c r="A11" s="825" t="str">
        <x:v>동시시각 규칙</x:v>
      </x:c>
      <x:c r="B11" s="825" t="str">
        <x:v>정확히 T+4h</x:v>
      </x:c>
      <x:c r="C11" s="825" t="str">
        <x:v>해결 완료와 Tick이 같은 시각이면 해결 완료를 먼저 처리 → 해당 Tick 피해 없음.</x:v>
      </x:c>
      <x:c r="D11" s="825" t="str">
        <x:v>4h 기본 해결도 즉시 시작하면 첫 피해를 막을 수 있음.</x:v>
      </x:c>
      <x:c r="E11" s="825" t="str">
        <x:v>TEMP 추천</x:v>
      </x:c>
      <x:c r="F11" s="825"/>
      <x:c r="G11" s="825"/>
      <x:c r="H11" s="825"/>
      <x:c r="I11" s="825"/>
      <x:c r="J11" s="825"/>
      <x:c r="K11" s="825"/>
      <x:c r="L11" s="825"/>
      <x:c r="M11" s="825"/>
      <x:c r="N11" s="825"/>
    </x:row>
    <x:row r="12" ht="15" hidden="0" customHeight="1">
      <x:c r="A12" s="825"/>
      <x:c r="B12" s="825"/>
      <x:c r="C12" s="825"/>
      <x:c r="D12" s="825"/>
      <x:c r="E12" s="825"/>
      <x:c r="F12" s="825"/>
      <x:c r="G12" s="825"/>
      <x:c r="H12" s="825"/>
      <x:c r="I12" s="825"/>
      <x:c r="J12" s="825"/>
      <x:c r="K12" s="825"/>
      <x:c r="L12" s="825"/>
      <x:c r="M12" s="825"/>
      <x:c r="N12" s="825"/>
    </x:row>
    <x:row r="13" ht="15" hidden="0" customHeight="1">
      <x:c r="A13" s="825"/>
      <x:c r="B13" s="825"/>
      <x:c r="C13" s="825"/>
      <x:c r="D13" s="825"/>
      <x:c r="E13" s="825"/>
      <x:c r="F13" s="825"/>
      <x:c r="G13" s="825"/>
      <x:c r="H13" s="825"/>
      <x:c r="I13" s="825"/>
      <x:c r="J13" s="825"/>
      <x:c r="K13" s="825"/>
      <x:c r="L13" s="825"/>
      <x:c r="M13" s="825"/>
      <x:c r="N13" s="825"/>
    </x:row>
    <x:row r="14" ht="26" hidden="0" customHeight="1">
      <x:c r="A14" s="852" t="str">
        <x:v>2. 미해결 4h Tick 피해</x:v>
      </x:c>
      <x:c r="B14" s="852"/>
      <x:c r="C14" s="852"/>
      <x:c r="D14" s="852"/>
      <x:c r="E14" s="852"/>
      <x:c r="F14" s="852"/>
      <x:c r="G14" s="852"/>
      <x:c r="H14" s="852"/>
      <x:c r="I14" s="852"/>
      <x:c r="J14" s="852"/>
      <x:c r="K14" s="852"/>
      <x:c r="L14" s="852"/>
      <x:c r="M14" s="852"/>
      <x:c r="N14" s="852"/>
    </x:row>
    <x:row r="15" ht="30" hidden="0" customHeight="1">
      <x:c r="A15" s="849" t="str">
        <x:v>발생 구역</x:v>
      </x:c>
      <x:c r="B15" s="849" t="str">
        <x:v>Tick 피해</x:v>
      </x:c>
      <x:c r="C15" s="849" t="str">
        <x:v>Global Hull</x:v>
      </x:c>
      <x:c r="D15" s="849" t="str">
        <x:v>핵심 의미</x:v>
      </x:c>
      <x:c r="E15" s="849" t="str">
        <x:v>상태</x:v>
      </x:c>
      <x:c r="F15" s="849"/>
      <x:c r="G15" s="849"/>
      <x:c r="H15" s="849"/>
      <x:c r="I15" s="849"/>
      <x:c r="J15" s="849"/>
      <x:c r="K15" s="849"/>
      <x:c r="L15" s="849"/>
      <x:c r="M15" s="849"/>
      <x:c r="N15" s="849"/>
    </x:row>
    <x:row r="16" ht="24" hidden="0" customHeight="1">
      <x:c r="A16" s="825" t="str">
        <x:v>함교</x:v>
      </x:c>
      <x:c r="B16" s="825" t="str">
        <x:v>함교 -1</x:v>
      </x:c>
      <x:c r="C16" s="825" t="str">
        <x:v>-1</x:v>
      </x:c>
      <x:c r="D16" s="825" t="str">
        <x:v>지휘/통신 기능과 선체가 함께 무너짐</x:v>
      </x:c>
      <x:c r="E16" s="825" t="str">
        <x:v>기존 확정방향</x:v>
      </x:c>
      <x:c r="F16" s="825"/>
      <x:c r="G16" s="825"/>
      <x:c r="H16" s="825"/>
      <x:c r="I16" s="825"/>
      <x:c r="J16" s="825"/>
      <x:c r="K16" s="825"/>
      <x:c r="L16" s="825"/>
      <x:c r="M16" s="825"/>
      <x:c r="N16" s="825"/>
    </x:row>
    <x:row r="17" ht="24" hidden="0" customHeight="1">
      <x:c r="A17" s="825" t="str">
        <x:v>엔지니어 구역</x:v>
      </x:c>
      <x:c r="B17" s="825" t="str">
        <x:v>엔진실 -1 + 산소보급실 -1</x:v>
      </x:c>
      <x:c r="C17" s="825" t="str">
        <x:v>-1</x:v>
      </x:c>
      <x:c r="D17" s="825" t="str">
        <x:v>한 번의 Breach가 동력과 생명유지 둘 다 압박</x:v>
      </x:c>
      <x:c r="E17" s="825" t="str">
        <x:v>기존 확정방향</x:v>
      </x:c>
      <x:c r="F17" s="825"/>
      <x:c r="G17" s="825"/>
      <x:c r="H17" s="825"/>
      <x:c r="I17" s="825"/>
      <x:c r="J17" s="825"/>
      <x:c r="K17" s="825"/>
      <x:c r="L17" s="825"/>
      <x:c r="M17" s="825"/>
      <x:c r="N17" s="825"/>
    </x:row>
    <x:row r="18" ht="24" hidden="0" customHeight="1">
      <x:c r="A18" s="825" t="str">
        <x:v>연구 구역</x:v>
      </x:c>
      <x:c r="B18" s="825" t="str">
        <x:v>연구실 -1 + 냉동창고 -1 + 온실 -1</x:v>
      </x:c>
      <x:c r="C18" s="825" t="str">
        <x:v>-1</x:v>
      </x:c>
      <x:c r="D18" s="825" t="str">
        <x:v>가장 많은 자산을 동시에 위협</x:v>
      </x:c>
      <x:c r="E18" s="825" t="str">
        <x:v>기존 확정방향</x:v>
      </x:c>
      <x:c r="F18" s="825"/>
      <x:c r="G18" s="825"/>
      <x:c r="H18" s="825"/>
      <x:c r="I18" s="825"/>
      <x:c r="J18" s="825"/>
      <x:c r="K18" s="825"/>
      <x:c r="L18" s="825"/>
      <x:c r="M18" s="825"/>
      <x:c r="N18" s="825"/>
    </x:row>
    <x:row r="19" ht="15" hidden="0" customHeight="1">
      <x:c r="A19" s="825" t="str">
        <x:v>거주 구역</x:v>
      </x:c>
      <x:c r="B19" s="825" t="str">
        <x:v>거주구역 -1</x:v>
      </x:c>
      <x:c r="C19" s="825" t="str">
        <x:v>-1</x:v>
      </x:c>
      <x:c r="D19" s="825" t="str">
        <x:v>주민 생존/Panic과 직결</x:v>
      </x:c>
      <x:c r="E19" s="825" t="str">
        <x:v>기존 확정방향</x:v>
      </x:c>
      <x:c r="F19" s="825"/>
      <x:c r="G19" s="825"/>
      <x:c r="H19" s="825"/>
      <x:c r="I19" s="825"/>
      <x:c r="J19" s="825"/>
      <x:c r="K19" s="825"/>
      <x:c r="L19" s="825"/>
      <x:c r="M19" s="825"/>
      <x:c r="N19" s="825"/>
    </x:row>
    <x:row r="20" ht="36" hidden="0" customHeight="1">
      <x:c r="A20" s="825" t="str">
        <x:v>적용 방식</x:v>
      </x:c>
      <x:c r="B20" s="825" t="str">
        <x:v>모든 감소를 한 배치로 적용한 뒤 후속 Trigger 평가</x:v>
      </x:c>
      <x:c r="C20" s="825" t="str">
        <x:v>구역당 Hull은 항상 -1 한 번</x:v>
      </x:c>
      <x:c r="D20" s="825" t="str">
        <x:v>STATE_CHANGE 연쇄 중간값으로 잘못 발화하는 문제 방지</x:v>
      </x:c>
      <x:c r="E20" s="825" t="str">
        <x:v>구현 원칙</x:v>
      </x:c>
      <x:c r="F20" s="825"/>
      <x:c r="G20" s="825"/>
      <x:c r="H20" s="825"/>
      <x:c r="I20" s="825"/>
      <x:c r="J20" s="825"/>
      <x:c r="K20" s="825"/>
      <x:c r="L20" s="825"/>
      <x:c r="M20" s="825"/>
      <x:c r="N20" s="825"/>
    </x:row>
    <x:row r="21" ht="15" hidden="0" customHeight="1">
      <x:c r="A21" s="825"/>
      <x:c r="B21" s="825"/>
      <x:c r="C21" s="825"/>
      <x:c r="D21" s="825"/>
      <x:c r="E21" s="825"/>
      <x:c r="F21" s="825"/>
      <x:c r="G21" s="825"/>
      <x:c r="H21" s="825"/>
      <x:c r="I21" s="825"/>
      <x:c r="J21" s="825"/>
      <x:c r="K21" s="825"/>
      <x:c r="L21" s="825"/>
      <x:c r="M21" s="825"/>
      <x:c r="N21" s="825"/>
    </x:row>
    <x:row r="22" ht="15" hidden="0" customHeight="1">
      <x:c r="A22" s="837" t="str">
        <x:v>3. 제이 직접 대응 선택지</x:v>
      </x:c>
      <x:c r="B22" s="837"/>
      <x:c r="C22" s="837"/>
      <x:c r="D22" s="837"/>
      <x:c r="E22" s="837"/>
      <x:c r="F22" s="837"/>
      <x:c r="G22" s="837"/>
      <x:c r="H22" s="837"/>
      <x:c r="I22" s="837" t="str">
        <x:v>6. 기술9 + 의지 보완 계산기</x:v>
      </x:c>
      <x:c r="J22" s="837"/>
      <x:c r="K22" s="837"/>
      <x:c r="L22" s="837"/>
      <x:c r="M22" s="837"/>
      <x:c r="N22" s="837"/>
    </x:row>
    <x:row r="23" ht="30" hidden="0" customHeight="1">
      <x:c r="A23" s="849" t="str">
        <x:v>선택지</x:v>
      </x:c>
      <x:c r="B23" s="849" t="str">
        <x:v>시간</x:v>
      </x:c>
      <x:c r="C23" s="849" t="str">
        <x:v>조건</x:v>
      </x:c>
      <x:c r="D23" s="849" t="str">
        <x:v>의지</x:v>
      </x:c>
      <x:c r="E23" s="849" t="str">
        <x:v>결과</x:v>
      </x:c>
      <x:c r="F23" s="849" t="str">
        <x:v>이 선택이 묻는 것</x:v>
      </x:c>
      <x:c r="G23" s="849" t="str">
        <x:v>W3 난이도 위치</x:v>
      </x:c>
      <x:c r="H23" s="849" t="str">
        <x:v>상태</x:v>
      </x:c>
      <x:c r="I23" s="849" t="str">
        <x:v>입력/결과</x:v>
      </x:c>
      <x:c r="J23" s="849" t="str">
        <x:v>값</x:v>
      </x:c>
      <x:c r="K23" s="849"/>
      <x:c r="L23" s="849"/>
      <x:c r="M23" s="849"/>
      <x:c r="N23" s="849"/>
    </x:row>
    <x:row r="24" ht="36" hidden="0" customHeight="1">
      <x:c r="A24" s="825" t="str">
        <x:v>천천히 응급 봉합한다</x:v>
      </x:c>
      <x:c r="B24" s="825" t="n">
        <x:v>4</x:v>
      </x:c>
      <x:c r="C24" s="825" t="str">
        <x:v>없음</x:v>
      </x:c>
      <x:c r="D24" s="825" t="n">
        <x:v>0</x:v>
      </x:c>
      <x:c r="E24" s="825" t="str">
        <x:v>Breach 해결</x:v>
      </x:c>
      <x:c r="F24" s="825" t="str">
        <x:v>시간을 지불해 누구나 해결할 수 있는 기본 안전망</x:v>
      </x:c>
      <x:c r="G24" s="825" t="str">
        <x:v>모든 빌드</x:v>
      </x:c>
      <x:c r="H24" s="825" t="str">
        <x:v>TEMP 추천</x:v>
      </x:c>
      <x:c r="I24" s="825" t="str">
        <x:v>현재 기술</x:v>
      </x:c>
      <x:c r="J24" s="825" t="n">
        <x:v>6</x:v>
      </x:c>
      <x:c r="K24" s="825"/>
      <x:c r="L24" s="825"/>
      <x:c r="M24" s="825"/>
      <x:c r="N24" s="825"/>
    </x:row>
    <x:row r="25" ht="24" hidden="0" customHeight="1">
      <x:c r="A25" s="825" t="str">
        <x:v>[기술 7] 손상부를 정확히 찾아 봉합한다</x:v>
      </x:c>
      <x:c r="B25" s="825" t="n">
        <x:v>2</x:v>
      </x:c>
      <x:c r="C25" s="825" t="str">
        <x:v>기술 &gt;=7</x:v>
      </x:c>
      <x:c r="D25" s="825" t="n">
        <x:v>0</x:v>
      </x:c>
      <x:c r="E25" s="825" t="str">
        <x:v>Breach 해결</x:v>
      </x:c>
      <x:c r="F25" s="825" t="str">
        <x:v>전문화가 실제 시간을 절약하는가</x:v>
      </x:c>
      <x:c r="G25" s="825" t="str">
        <x:v>D15~17 일반 최고치</x:v>
      </x:c>
      <x:c r="H25" s="825" t="str">
        <x:v>TEMP 추천</x:v>
      </x:c>
      <x:c r="I25" s="825" t="str">
        <x:v>현재 의지</x:v>
      </x:c>
      <x:c r="J25" s="825" t="n">
        <x:v>3</x:v>
      </x:c>
      <x:c r="K25" s="825"/>
      <x:c r="L25" s="825"/>
      <x:c r="M25" s="825"/>
      <x:c r="N25" s="825"/>
    </x:row>
    <x:row r="26" ht="36" hidden="0" customHeight="1">
      <x:c r="A26" s="825" t="str">
        <x:v>[기술 9 / 의지 보완 가능] 즉석 우회 봉합을 강행한다</x:v>
      </x:c>
      <x:c r="B26" s="825" t="n">
        <x:v>1</x:v>
      </x:c>
      <x:c r="C26" s="825" t="str">
        <x:v>기술 + 사용 의지 &gt;=9</x:v>
      </x:c>
      <x:c r="D26" s="825" t="str">
        <x:v>부족분 1:1</x:v>
      </x:c>
      <x:c r="E26" s="825" t="str">
        <x:v>Breach 해결</x:v>
      </x:c>
      <x:c r="F26" s="825" t="str">
        <x:v>전문화했거나, 지금 무리해서 시간을 살 것인가</x:v>
      </x:c>
      <x:c r="G26" s="825" t="str">
        <x:v>W3 특수 체크</x:v>
      </x:c>
      <x:c r="H26" s="825" t="str">
        <x:v>TEMP 추천</x:v>
      </x:c>
      <x:c r="I26" s="825" t="str">
        <x:v>요구치</x:v>
      </x:c>
      <x:c r="J26" s="825" t="n">
        <x:v>9</x:v>
      </x:c>
      <x:c r="K26" s="825"/>
      <x:c r="L26" s="825"/>
      <x:c r="M26" s="825"/>
      <x:c r="N26" s="825"/>
    </x:row>
    <x:row r="27" ht="36" hidden="0" customHeight="1">
      <x:c r="A27" s="825" t="str">
        <x:v>[의지 1] 그 사람을 당장 철수시킨다</x:v>
      </x:c>
      <x:c r="B27" s="825" t="n">
        <x:v>1</x:v>
      </x:c>
      <x:c r="C27" s="825" t="str">
        <x:v>비전문 NPC 희생 루트가 열린 경우</x:v>
      </x:c>
      <x:c r="D27" s="825" t="n">
        <x:v>1</x:v>
      </x:c>
      <x:c r="E27" s="825" t="str">
        <x:v>NPC 희생 중단 / 해당 NPC 강제 대피 / Breach는 미해결 유지</x:v>
      </x:c>
      <x:c r="F27" s="825" t="str">
        <x:v>할 수 있느냐가 아니라 사람을 포기하지 않을 것인가</x:v>
      </x:c>
      <x:c r="G27" s="825" t="str">
        <x:v>개인적 결단</x:v>
      </x:c>
      <x:c r="H27" s="825" t="str">
        <x:v>기존 방향+정교화</x:v>
      </x:c>
      <x:c r="I27" s="825" t="str">
        <x:v>필요 의지</x:v>
      </x:c>
      <x:c r="J27" s="825" t="n">
        <x:f>MAX(0,J26-J24)</x:f>
        <x:v>3</x:v>
      </x:c>
      <x:c r="K27" s="825"/>
      <x:c r="L27" s="825"/>
      <x:c r="M27" s="825"/>
      <x:c r="N27" s="825"/>
    </x:row>
    <x:row r="28" ht="15" hidden="0" customHeight="1">
      <x:c r="A28" s="825"/>
      <x:c r="B28" s="825"/>
      <x:c r="C28" s="825"/>
      <x:c r="D28" s="825"/>
      <x:c r="E28" s="825"/>
      <x:c r="F28" s="825"/>
      <x:c r="G28" s="825"/>
      <x:c r="H28" s="825"/>
      <x:c r="I28" s="825" t="str">
        <x:v>사용 가능?</x:v>
      </x:c>
      <x:c r="J28" s="825" t="str">
        <x:f>IF(J27&lt;=J25,"가능","불가")</x:f>
        <x:v>가능</x:v>
      </x:c>
      <x:c r="K28" s="825"/>
      <x:c r="L28" s="825"/>
      <x:c r="M28" s="825"/>
      <x:c r="N28" s="825"/>
    </x:row>
    <x:row r="29" ht="15" hidden="0" customHeight="1">
      <x:c r="A29" s="825" t="str">
        <x:v>중요: 표준 Breach 자체에는 '순수 의지로 기술 작업을 대신한다'는 선택을 억지로 넣지 않는다. 순수 의지는 사람을 포기할지, 위험을 감수할지 같은 개인적 결단이 생길 때만 등장한다. 기술 부족을 메우는 의지는 오직 '[기술 9 / 의지 보완 가능]'처럼 명시된 선택에서만 사용한다.</x:v>
      </x:c>
      <x:c r="B29" s="825"/>
      <x:c r="C29" s="825"/>
      <x:c r="D29" s="825"/>
      <x:c r="E29" s="825"/>
      <x:c r="F29" s="825"/>
      <x:c r="G29" s="825"/>
      <x:c r="H29" s="825"/>
      <x:c r="I29" s="825" t="str">
        <x:v>사용 후 의지</x:v>
      </x:c>
      <x:c r="J29" s="825" t="n">
        <x:f>IF(J28="가능",J25-J27,J25)</x:f>
        <x:v>0</x:v>
      </x:c>
      <x:c r="K29" s="825"/>
      <x:c r="L29" s="825"/>
      <x:c r="M29" s="825"/>
      <x:c r="N29" s="825"/>
    </x:row>
    <x:row r="30" ht="15" hidden="0" customHeight="1">
      <x:c r="A30" s="825"/>
      <x:c r="B30" s="825"/>
      <x:c r="C30" s="825"/>
      <x:c r="D30" s="825"/>
      <x:c r="E30" s="825"/>
      <x:c r="F30" s="825"/>
      <x:c r="G30" s="825"/>
      <x:c r="H30" s="825"/>
      <x:c r="I30" s="825"/>
      <x:c r="J30" s="825"/>
      <x:c r="K30" s="825"/>
      <x:c r="L30" s="825"/>
      <x:c r="M30" s="825"/>
      <x:c r="N30" s="825"/>
    </x:row>
    <x:row r="31" ht="15" hidden="0" customHeight="1">
      <x:c r="A31" s="825"/>
      <x:c r="B31" s="825"/>
      <x:c r="C31" s="825"/>
      <x:c r="D31" s="825"/>
      <x:c r="E31" s="825"/>
      <x:c r="F31" s="825"/>
      <x:c r="G31" s="825"/>
      <x:c r="H31" s="825"/>
      <x:c r="I31" s="825" t="str">
        <x:v>검증 포인트: 요구9는 D15~17의 일반 최고치7보다 2 높다. 기술7 플레이어는 의지2, 기술6은 의지3, 기술4는 의지5를 써야 1h 해결을 선택할 수 있다. 기술3 이하는 최대 Will5로도 요구9에 닿지 못하므로 기본 4h 또는 NPC/다른 해결을 써야 한다.</x:v>
      </x:c>
      <x:c r="J31" s="825"/>
      <x:c r="K31" s="825"/>
      <x:c r="L31" s="825"/>
      <x:c r="M31" s="825"/>
      <x:c r="N31" s="825"/>
    </x:row>
    <x:row r="32" ht="26" hidden="0" customHeight="1">
      <x:c r="A32" s="852" t="str">
        <x:v>4. NPC가 발생 구역에 있을 때</x:v>
      </x:c>
      <x:c r="B32" s="852"/>
      <x:c r="C32" s="852"/>
      <x:c r="D32" s="852"/>
      <x:c r="E32" s="852"/>
      <x:c r="F32" s="852"/>
      <x:c r="G32" s="852"/>
      <x:c r="H32" s="852"/>
      <x:c r="I32" s="852"/>
      <x:c r="J32" s="852"/>
      <x:c r="K32" s="852"/>
      <x:c r="L32" s="852"/>
      <x:c r="M32" s="852"/>
      <x:c r="N32" s="852"/>
    </x:row>
    <x:row r="33" ht="30" hidden="0" customHeight="1">
      <x:c r="A33" s="849" t="str">
        <x:v>상황</x:v>
      </x:c>
      <x:c r="B33" s="849" t="str">
        <x:v>NPC 행동</x:v>
      </x:c>
      <x:c r="C33" s="849" t="str">
        <x:v>소요</x:v>
      </x:c>
      <x:c r="D33" s="849" t="str">
        <x:v>결과</x:v>
      </x:c>
      <x:c r="E33" s="849" t="str">
        <x:v>제이 개입</x:v>
      </x:c>
      <x:c r="F33" s="849" t="str">
        <x:v>상태</x:v>
      </x:c>
      <x:c r="G33" s="849"/>
      <x:c r="H33" s="849"/>
      <x:c r="I33" s="849"/>
      <x:c r="J33" s="849"/>
      <x:c r="K33" s="849"/>
      <x:c r="L33" s="849"/>
      <x:c r="M33" s="849"/>
      <x:c r="N33" s="849"/>
    </x:row>
    <x:row r="34" ht="15" hidden="0" customHeight="1">
      <x:c r="A34" s="825" t="str">
        <x:v>벤자민 또는 페이 1명</x:v>
      </x:c>
      <x:c r="B34" s="825" t="str">
        <x:v>전문가 자동 응급 봉합</x:v>
      </x:c>
      <x:c r="C34" s="825" t="n">
        <x:v>2</x:v>
      </x:c>
      <x:c r="D34" s="825" t="str">
        <x:v>Breach 해결 / 생존</x:v>
      </x:c>
      <x:c r="E34" s="825" t="str">
        <x:v>제이는 다른 행동 가능</x:v>
      </x:c>
      <x:c r="F34" s="825" t="str">
        <x:v>기존 방향</x:v>
      </x:c>
      <x:c r="G34" s="825"/>
      <x:c r="H34" s="825"/>
      <x:c r="I34" s="825"/>
      <x:c r="J34" s="825"/>
      <x:c r="K34" s="825"/>
      <x:c r="L34" s="825"/>
      <x:c r="M34" s="825"/>
      <x:c r="N34" s="825"/>
    </x:row>
    <x:row r="35" ht="15" hidden="0" customHeight="1">
      <x:c r="A35" s="825" t="str">
        <x:v>벤자민 + 페이 둘 다</x:v>
      </x:c>
      <x:c r="B35" s="825" t="str">
        <x:v>2인 전문가 협업</x:v>
      </x:c>
      <x:c r="C35" s="825" t="n">
        <x:v>1</x:v>
      </x:c>
      <x:c r="D35" s="825" t="str">
        <x:v>Breach 해결 / 둘 다 생존</x:v>
      </x:c>
      <x:c r="E35" s="825" t="str">
        <x:v>제이는 다른 행동 가능</x:v>
      </x:c>
      <x:c r="F35" s="825" t="str">
        <x:v>기존 방향</x:v>
      </x:c>
      <x:c r="G35" s="825"/>
      <x:c r="H35" s="825"/>
      <x:c r="I35" s="825"/>
      <x:c r="J35" s="825"/>
      <x:c r="K35" s="825"/>
      <x:c r="L35" s="825"/>
      <x:c r="M35" s="825"/>
      <x:c r="N35" s="825"/>
    </x:row>
    <x:row r="36" ht="24" hidden="0" customHeight="1">
      <x:c r="A36" s="825" t="str">
        <x:v>보리치 또는 지나만 관련 비전문가</x:v>
      </x:c>
      <x:c r="B36" s="825" t="str">
        <x:v>스스로 4h 희생 수리에 들어감</x:v>
      </x:c>
      <x:c r="C36" s="825" t="n">
        <x:v>4</x:v>
      </x:c>
      <x:c r="D36" s="825" t="str">
        <x:v>제이 미개입 시 Breach 해결 + 해당 인물 사망</x:v>
      </x:c>
      <x:c r="E36" s="825" t="str">
        <x:v>[의지1] 1h로 철수시킬 수 있음</x:v>
      </x:c>
      <x:c r="F36" s="825" t="str">
        <x:v>기존 방향</x:v>
      </x:c>
      <x:c r="G36" s="825"/>
      <x:c r="H36" s="825"/>
      <x:c r="I36" s="825"/>
      <x:c r="J36" s="825"/>
      <x:c r="K36" s="825"/>
      <x:c r="L36" s="825"/>
      <x:c r="M36" s="825"/>
      <x:c r="N36" s="825"/>
    </x:row>
    <x:row r="37" ht="15" hidden="0" customHeight="1">
      <x:c r="A37" s="825" t="str">
        <x:v>보리치 + 지나 함께</x:v>
      </x:c>
      <x:c r="B37" s="825" t="str">
        <x:v>둘이 4h 분투</x:v>
      </x:c>
      <x:c r="C37" s="825" t="n">
        <x:v>4</x:v>
      </x:c>
      <x:c r="D37" s="825" t="str">
        <x:v>Breach 해결 + 둘 다 생존</x:v>
      </x:c>
      <x:c r="E37" s="825" t="str">
        <x:v>개입 불필요</x:v>
      </x:c>
      <x:c r="F37" s="825" t="str">
        <x:v>확정 방향</x:v>
      </x:c>
      <x:c r="G37" s="825"/>
      <x:c r="H37" s="825"/>
      <x:c r="I37" s="825"/>
      <x:c r="J37" s="825"/>
      <x:c r="K37" s="825"/>
      <x:c r="L37" s="825"/>
      <x:c r="M37" s="825"/>
      <x:c r="N37" s="825"/>
    </x:row>
    <x:row r="38" ht="24" hidden="0" customHeight="1">
      <x:c r="A38" s="825" t="str">
        <x:v>디야 또는 샘</x:v>
      </x:c>
      <x:c r="B38" s="825" t="str">
        <x:v>수리 시도 안 함 / 강제 대피</x:v>
      </x:c>
      <x:c r="C38" s="825" t="n">
        <x:v>1</x:v>
      </x:c>
      <x:c r="D38" s="825" t="str">
        <x:v>NPC가 안전 구역으로 이동 / Breach 미해결</x:v>
      </x:c>
      <x:c r="E38" s="825" t="str">
        <x:v>제이가 직접 또는 전문가 호출</x:v>
      </x:c>
      <x:c r="F38" s="825" t="str">
        <x:v>기존 방향</x:v>
      </x:c>
      <x:c r="G38" s="825"/>
      <x:c r="H38" s="825"/>
      <x:c r="I38" s="825"/>
      <x:c r="J38" s="825"/>
      <x:c r="K38" s="825"/>
      <x:c r="L38" s="825"/>
      <x:c r="M38" s="825"/>
      <x:c r="N38" s="825"/>
    </x:row>
    <x:row r="39" ht="30" hidden="0" customHeight="1">
      <x:c r="A39" s="839" t="str">
        <x:v>여러 유형 혼재</x:v>
      </x:c>
      <x:c r="B39" s="839" t="str">
        <x:v>혼합 NPC 우선순위</x:v>
      </x:c>
      <x:c r="C39" s="839" t="str">
        <x:v>명시배치 &gt; 현장 Primary 자동 &gt; 동시 Crisis 분산 &gt; 명시 Pair &gt; Support &gt; Jay/방치</x:v>
      </x:c>
      <x:c r="D39" s="839" t="str">
        <x:v>Wave 1h 전 배치 명령. 전문 NPC가 배치/도착 가능하면 비전문 희생 루트 금지.</x:v>
      </x:c>
      <x:c r="E39" s="839" t="str">
        <x:v>16_FacilityCrisisGrammar에서 확정 후보로 정리</x:v>
      </x:c>
      <x:c r="F39" s="839" t="str">
        <x:v>TEMP 확정 후보</x:v>
      </x:c>
      <x:c r="G39" s="839"/>
      <x:c r="H39" s="839"/>
      <x:c r="I39" s="839"/>
      <x:c r="J39" s="839"/>
      <x:c r="K39" s="839"/>
      <x:c r="L39" s="839"/>
      <x:c r="M39" s="839"/>
      <x:c r="N39" s="839"/>
    </x:row>
    <x:row r="40" ht="15" hidden="0" customHeight="1">
      <x:c r="A40" s="825"/>
      <x:c r="B40" s="825"/>
      <x:c r="C40" s="825"/>
      <x:c r="D40" s="825"/>
      <x:c r="E40" s="825"/>
      <x:c r="F40" s="825"/>
      <x:c r="G40" s="825"/>
      <x:c r="H40" s="825"/>
      <x:c r="I40" s="825"/>
      <x:c r="J40" s="825"/>
      <x:c r="K40" s="825"/>
      <x:c r="L40" s="825"/>
      <x:c r="M40" s="825"/>
      <x:c r="N40" s="825"/>
    </x:row>
    <x:row r="41" ht="15" hidden="0" customHeight="1">
      <x:c r="A41" s="837" t="str">
        <x:v>5. 예시 — 10:00 엔지니어 구역 Breach</x:v>
      </x:c>
      <x:c r="B41" s="837"/>
      <x:c r="C41" s="837"/>
      <x:c r="D41" s="837"/>
      <x:c r="E41" s="837"/>
      <x:c r="F41" s="837"/>
      <x:c r="G41" s="837"/>
      <x:c r="H41" s="837"/>
      <x:c r="I41" s="837" t="str">
        <x:v>9. 남은 Breach TBD</x:v>
      </x:c>
      <x:c r="J41" s="837"/>
      <x:c r="K41" s="837"/>
      <x:c r="L41" s="837"/>
      <x:c r="M41" s="837"/>
      <x:c r="N41" s="837"/>
    </x:row>
    <x:row r="42" ht="30" hidden="0" customHeight="1">
      <x:c r="A42" s="849" t="str">
        <x:v>선택</x:v>
      </x:c>
      <x:c r="B42" s="849" t="str">
        <x:v>10:00 상태</x:v>
      </x:c>
      <x:c r="C42" s="849" t="str">
        <x:v>완료/다음 시점</x:v>
      </x:c>
      <x:c r="D42" s="849" t="str">
        <x:v>14:00 피해</x:v>
      </x:c>
      <x:c r="E42" s="849" t="str">
        <x:v>최종 상태</x:v>
      </x:c>
      <x:c r="F42" s="849" t="str">
        <x:v>의미</x:v>
      </x:c>
      <x:c r="G42" s="849"/>
      <x:c r="H42" s="849"/>
      <x:c r="I42" s="849" t="str">
        <x:v>항목</x:v>
      </x:c>
      <x:c r="J42" s="849" t="str">
        <x:v>현재 방향</x:v>
      </x:c>
      <x:c r="K42" s="849" t="str">
        <x:v>우선순위</x:v>
      </x:c>
      <x:c r="L42" s="849"/>
      <x:c r="M42" s="849"/>
      <x:c r="N42" s="849"/>
    </x:row>
    <x:row r="43" ht="24" hidden="0" customHeight="1">
      <x:c r="A43" s="825" t="str">
        <x:v>아무것도 안 함</x:v>
      </x:c>
      <x:c r="B43" s="825" t="str">
        <x:v>첫 Tick까지 4h</x:v>
      </x:c>
      <x:c r="C43" s="825" t="str">
        <x:v>14:00 Tick</x:v>
      </x:c>
      <x:c r="D43" s="825" t="str">
        <x:v>엔진-1 / 산소-1 / Hull-1</x:v>
      </x:c>
      <x:c r="E43" s="825" t="str">
        <x:v>Breach 지속, 다음 Tick 18:00</x:v>
      </x:c>
      <x:c r="F43" s="825" t="str">
        <x:v>계획을 무시한 대가</x:v>
      </x:c>
      <x:c r="G43" s="825"/>
      <x:c r="H43" s="825"/>
      <x:c r="I43" s="825" t="str">
        <x:v>혼합 NPC 우선순위</x:v>
      </x:c>
      <x:c r="J43" s="825" t="str">
        <x:v>전문가가 있으면 비전문 희생 루트 미발동</x:v>
      </x:c>
      <x:c r="K43" s="825" t="str">
        <x:v>높음</x:v>
      </x:c>
      <x:c r="L43" s="825"/>
      <x:c r="M43" s="825"/>
      <x:c r="N43" s="825"/>
    </x:row>
    <x:row r="44" ht="24" hidden="0" customHeight="1">
      <x:c r="A44" s="825" t="str">
        <x:v>기본 4h</x:v>
      </x:c>
      <x:c r="B44" s="825" t="str">
        <x:v>즉시 봉합 시작</x:v>
      </x:c>
      <x:c r="C44" s="825" t="str">
        <x:v>14:00 완료</x:v>
      </x:c>
      <x:c r="D44" s="825" t="str">
        <x:v>없음</x:v>
      </x:c>
      <x:c r="E44" s="825" t="str">
        <x:v>Breach 해결</x:v>
      </x:c>
      <x:c r="F44" s="825" t="str">
        <x:v>하루 4h를 지불해 피해 방지</x:v>
      </x:c>
      <x:c r="G44" s="825"/>
      <x:c r="H44" s="825"/>
      <x:c r="I44" s="825" t="str">
        <x:v>Breach 발생 규칙</x:v>
      </x:c>
      <x:c r="J44" s="825" t="str">
        <x:v>조건/확률/하루 최대 횟수 미정</x:v>
      </x:c>
      <x:c r="K44" s="825" t="str">
        <x:v>높음</x:v>
      </x:c>
      <x:c r="L44" s="825"/>
      <x:c r="M44" s="825"/>
      <x:c r="N44" s="825"/>
    </x:row>
    <x:row r="45" ht="36" hidden="0" customHeight="1">
      <x:c r="A45" s="825" t="str">
        <x:v>기술7</x:v>
      </x:c>
      <x:c r="B45" s="825" t="str">
        <x:v>즉시 봉합 시작</x:v>
      </x:c>
      <x:c r="C45" s="825" t="str">
        <x:v>12:00 완료</x:v>
      </x:c>
      <x:c r="D45" s="825" t="str">
        <x:v>없음</x:v>
      </x:c>
      <x:c r="E45" s="825" t="str">
        <x:v>Breach 해결</x:v>
      </x:c>
      <x:c r="F45" s="825" t="str">
        <x:v>전문화로 2h 절약</x:v>
      </x:c>
      <x:c r="G45" s="825"/>
      <x:c r="H45" s="825"/>
      <x:c r="I45" s="825" t="str">
        <x:v>동시 Emergency</x:v>
      </x:c>
      <x:c r="J45" s="825" t="str">
        <x:v>한 구역 Breach와 Oxygen/Panic이 동시에 열릴 수 있는지 미정</x:v>
      </x:c>
      <x:c r="K45" s="825" t="str">
        <x:v>중간</x:v>
      </x:c>
      <x:c r="L45" s="825"/>
      <x:c r="M45" s="825"/>
      <x:c r="N45" s="825"/>
    </x:row>
    <x:row r="46" ht="30" hidden="0" customHeight="1">
      <x:c r="A46" s="839" t="str">
        <x:v>기술6 + 의지3</x:v>
      </x:c>
      <x:c r="B46" s="839" t="str">
        <x:v>기술9 선택, 의지3 소모</x:v>
      </x:c>
      <x:c r="C46" s="839" t="str">
        <x:v>11:00 완료</x:v>
      </x:c>
      <x:c r="D46" s="839" t="str">
        <x:v>없음</x:v>
      </x:c>
      <x:c r="E46" s="839" t="str">
        <x:v>Breach 해결 / Will 크게 감소</x:v>
      </x:c>
      <x:c r="F46" s="839" t="str">
        <x:v>다른 날의 선택을 희생해 3h를 삼</x:v>
      </x:c>
      <x:c r="G46" s="839"/>
      <x:c r="H46" s="839"/>
      <x:c r="I46" s="839" t="str">
        <x:v>강인함 사용처</x:v>
      </x:c>
      <x:c r="J46" s="839" t="str">
        <x:v>기술 작업에는 사용하지 않음. 위험 통과/버티기 성격의 별도 사건에서 사용</x:v>
      </x:c>
      <x:c r="K46" s="839" t="str">
        <x:v>확정방향</x:v>
      </x:c>
      <x:c r="L46" s="839"/>
      <x:c r="M46" s="839"/>
      <x:c r="N46" s="839"/>
    </x:row>
    <x:row r="47" ht="15" hidden="0" customHeight="1">
      <x:c r="A47" s="825" t="str">
        <x:v>기술9</x:v>
      </x:c>
      <x:c r="B47" s="825" t="str">
        <x:v>즉시 우회 봉합</x:v>
      </x:c>
      <x:c r="C47" s="825" t="str">
        <x:v>11:00 완료</x:v>
      </x:c>
      <x:c r="D47" s="825" t="str">
        <x:v>없음</x:v>
      </x:c>
      <x:c r="E47" s="825" t="str">
        <x:v>Breach 해결 / Will 0소모</x:v>
      </x:c>
      <x:c r="F47" s="825" t="str">
        <x:v>극단 전문화 보상</x:v>
      </x:c>
      <x:c r="G47" s="825"/>
      <x:c r="H47" s="825"/>
      <x:c r="I47" s="825"/>
      <x:c r="J47" s="825"/>
      <x:c r="K47" s="825"/>
      <x:c r="L47" s="825"/>
      <x:c r="M47" s="825"/>
      <x:c r="N47" s="825"/>
    </x:row>
    <x:row r="48" ht="24" hidden="0" customHeight="1">
      <x:c r="A48" s="825" t="str">
        <x:v>보리치 혼자 현장</x:v>
      </x:c>
      <x:c r="B48" s="825" t="str">
        <x:v>보리치 4h 희생 수리 시작</x:v>
      </x:c>
      <x:c r="C48" s="825" t="str">
        <x:v>14:00 완료</x:v>
      </x:c>
      <x:c r="D48" s="825" t="str">
        <x:v>없음</x:v>
      </x:c>
      <x:c r="E48" s="825" t="str">
        <x:v>미개입: Breach 해결 + 보리치 사망</x:v>
      </x:c>
      <x:c r="F48" s="825" t="str">
        <x:v>시간상 해결은 되지만 사람을 잃음</x:v>
      </x:c>
      <x:c r="G48" s="825"/>
      <x:c r="H48" s="825"/>
      <x:c r="I48" s="825"/>
      <x:c r="J48" s="825"/>
      <x:c r="K48" s="825"/>
      <x:c r="L48" s="825"/>
      <x:c r="M48" s="825"/>
      <x:c r="N48" s="825"/>
    </x:row>
    <x:row r="49" ht="24" hidden="0" customHeight="1">
      <x:c r="A49" s="825" t="str">
        <x:v>보리치 철수</x:v>
      </x:c>
      <x:c r="B49" s="825" t="str">
        <x:v>[의지1] 1h 사용</x:v>
      </x:c>
      <x:c r="C49" s="825" t="str">
        <x:v>11:00 철수 완료</x:v>
      </x:c>
      <x:c r="D49" s="825" t="str">
        <x:v>14:00까지 3h 남음</x:v>
      </x:c>
      <x:c r="E49" s="825" t="str">
        <x:v>Breach는 아직 미해결</x:v>
      </x:c>
      <x:c r="F49" s="825" t="str">
        <x:v>사람을 살린 뒤 다른 해결법을 찾아야 함</x:v>
      </x:c>
      <x:c r="G49" s="825"/>
      <x:c r="H49" s="825"/>
      <x:c r="I49" s="825"/>
      <x:c r="J49" s="825"/>
      <x:c r="K49" s="825"/>
      <x:c r="L49" s="825"/>
      <x:c r="M49" s="825"/>
      <x:c r="N49" s="825"/>
    </x:row>
    <x:row r="50" ht="15" hidden="0" customHeight="1">
      <x:c r="A50" s="825"/>
      <x:c r="B50" s="825"/>
      <x:c r="C50" s="825"/>
      <x:c r="D50" s="825"/>
      <x:c r="E50" s="825"/>
      <x:c r="F50" s="825"/>
      <x:c r="G50" s="825"/>
      <x:c r="H50" s="825"/>
      <x:c r="I50" s="825"/>
      <x:c r="J50" s="825"/>
      <x:c r="K50" s="825"/>
      <x:c r="L50" s="825"/>
      <x:c r="M50" s="825"/>
      <x:c r="N50" s="825"/>
    </x:row>
    <x:row r="51" ht="15" hidden="0" customHeight="1">
      <x:c r="A51" s="825"/>
      <x:c r="B51" s="825"/>
      <x:c r="C51" s="825"/>
      <x:c r="D51" s="825"/>
      <x:c r="E51" s="825"/>
      <x:c r="F51" s="825"/>
      <x:c r="G51" s="825"/>
      <x:c r="H51" s="825"/>
      <x:c r="I51" s="825"/>
      <x:c r="J51" s="825"/>
      <x:c r="K51" s="825"/>
      <x:c r="L51" s="825"/>
      <x:c r="M51" s="825"/>
      <x:c r="N51" s="825"/>
    </x:row>
    <x:row r="52" ht="26" hidden="0" customHeight="1">
      <x:c r="A52" s="852" t="str">
        <x:v>7. 이 Breach가 W3 전체 Emergency의 기준이 되는 이유</x:v>
      </x:c>
      <x:c r="B52" s="852"/>
      <x:c r="C52" s="852"/>
      <x:c r="D52" s="852"/>
      <x:c r="E52" s="852"/>
      <x:c r="F52" s="852"/>
      <x:c r="G52" s="852"/>
      <x:c r="H52" s="852"/>
      <x:c r="I52" s="852"/>
      <x:c r="J52" s="852"/>
      <x:c r="K52" s="852"/>
      <x:c r="L52" s="852"/>
      <x:c r="M52" s="852"/>
      <x:c r="N52" s="852"/>
    </x:row>
    <x:row r="53" ht="30" hidden="0" customHeight="1">
      <x:c r="A53" s="849" t="str">
        <x:v>문법</x:v>
      </x:c>
      <x:c r="B53" s="849" t="str">
        <x:v>Breach에서의 형태</x:v>
      </x:c>
      <x:c r="C53" s="849" t="str">
        <x:v>다른 Emergency 확장 시</x:v>
      </x:c>
      <x:c r="D53" s="849"/>
      <x:c r="E53" s="849"/>
      <x:c r="F53" s="849"/>
      <x:c r="G53" s="849"/>
      <x:c r="H53" s="849"/>
      <x:c r="I53" s="849"/>
      <x:c r="J53" s="849"/>
      <x:c r="K53" s="849"/>
      <x:c r="L53" s="849"/>
      <x:c r="M53" s="849"/>
      <x:c r="N53" s="849"/>
    </x:row>
    <x:row r="54" ht="24" hidden="0" customHeight="1">
      <x:c r="A54" s="825" t="str">
        <x:v>시간 안전망</x:v>
      </x:c>
      <x:c r="B54" s="825" t="str">
        <x:v>4h, 스탯 없음</x:v>
      </x:c>
      <x:c r="C54" s="825" t="str">
        <x:v>누구나 느리게는 해결 가능</x:v>
      </x:c>
      <x:c r="D54" s="825"/>
      <x:c r="E54" s="825"/>
      <x:c r="F54" s="825"/>
      <x:c r="G54" s="825"/>
      <x:c r="H54" s="825"/>
      <x:c r="I54" s="825"/>
      <x:c r="J54" s="825"/>
      <x:c r="K54" s="825"/>
      <x:c r="L54" s="825"/>
      <x:c r="M54" s="825"/>
      <x:c r="N54" s="825"/>
    </x:row>
    <x:row r="55" ht="24" hidden="0" customHeight="1">
      <x:c r="A55" s="825" t="str">
        <x:v>전문화 보상</x:v>
      </x:c>
      <x:c r="B55" s="825" t="str">
        <x:v>기술7 → 2h</x:v>
      </x:c>
      <x:c r="C55" s="825" t="str">
        <x:v>해당 스탯을 키웠으면 시간 절약</x:v>
      </x:c>
      <x:c r="D55" s="825"/>
      <x:c r="E55" s="825"/>
      <x:c r="F55" s="825"/>
      <x:c r="G55" s="825"/>
      <x:c r="H55" s="825"/>
      <x:c r="I55" s="825"/>
      <x:c r="J55" s="825"/>
      <x:c r="K55" s="825"/>
      <x:c r="L55" s="825"/>
      <x:c r="M55" s="825"/>
      <x:c r="N55" s="825"/>
    </x:row>
    <x:row r="56" ht="24" hidden="0" customHeight="1">
      <x:c r="A56" s="825" t="str">
        <x:v>한계 돌파</x:v>
      </x:c>
      <x:c r="B56" s="825" t="str">
        <x:v>기술9 + 의지 보완 → 1h</x:v>
      </x:c>
      <x:c r="C56" s="825" t="str">
        <x:v>높은 요구치를 의지로 메워 계획을 지킴</x:v>
      </x:c>
      <x:c r="D56" s="825"/>
      <x:c r="E56" s="825"/>
      <x:c r="F56" s="825"/>
      <x:c r="G56" s="825"/>
      <x:c r="H56" s="825"/>
      <x:c r="I56" s="825"/>
      <x:c r="J56" s="825"/>
      <x:c r="K56" s="825"/>
      <x:c r="L56" s="825"/>
      <x:c r="M56" s="825"/>
      <x:c r="N56" s="825"/>
    </x:row>
    <x:row r="57" ht="24" hidden="0" customHeight="1">
      <x:c r="A57" s="825" t="str">
        <x:v>순수 의지</x:v>
      </x:c>
      <x:c r="B57" s="825" t="str">
        <x:v>NPC 희생을 막고 철수</x:v>
      </x:c>
      <x:c r="C57" s="825" t="str">
        <x:v>개인적/도덕적 결단에만 사용</x:v>
      </x:c>
      <x:c r="D57" s="825"/>
      <x:c r="E57" s="825"/>
      <x:c r="F57" s="825"/>
      <x:c r="G57" s="825"/>
      <x:c r="H57" s="825"/>
      <x:c r="I57" s="825"/>
      <x:c r="J57" s="825"/>
      <x:c r="K57" s="825"/>
      <x:c r="L57" s="825"/>
      <x:c r="M57" s="825"/>
      <x:c r="N57" s="825"/>
    </x:row>
    <x:row r="58" ht="24" hidden="0" customHeight="1">
      <x:c r="A58" s="825" t="str">
        <x:v>NPC 역할</x:v>
      </x:c>
      <x:c r="B58" s="825" t="str">
        <x:v>전문가/비전문가/조합별 다른 대응</x:v>
      </x:c>
      <x:c r="C58" s="825" t="str">
        <x:v>NPC 배치가 W3 전략이 됨</x:v>
      </x:c>
      <x:c r="D58" s="825"/>
      <x:c r="E58" s="825"/>
      <x:c r="F58" s="825"/>
      <x:c r="G58" s="825"/>
      <x:c r="H58" s="825"/>
      <x:c r="I58" s="825"/>
      <x:c r="J58" s="825"/>
      <x:c r="K58" s="825"/>
      <x:c r="L58" s="825"/>
      <x:c r="M58" s="825"/>
      <x:c r="N58" s="825"/>
    </x:row>
    <x:row r="59" ht="24" hidden="0" customHeight="1">
      <x:c r="A59" s="825" t="str">
        <x:v>미해결 대가</x:v>
      </x:c>
      <x:c r="B59" s="825" t="str">
        <x:v>4h마다 영구 Integrity 손실</x:v>
      </x:c>
      <x:c r="C59" s="825" t="str">
        <x:v>'시간을 미루면 세계가 변한다'를 보여줌</x:v>
      </x:c>
      <x:c r="D59" s="825"/>
      <x:c r="E59" s="825"/>
      <x:c r="F59" s="825"/>
      <x:c r="G59" s="825"/>
      <x:c r="H59" s="825"/>
      <x:c r="I59" s="825"/>
      <x:c r="J59" s="825"/>
      <x:c r="K59" s="825"/>
      <x:c r="L59" s="825"/>
      <x:c r="M59" s="825"/>
      <x:c r="N59" s="825"/>
    </x:row>
    <x:row r="60" ht="36" hidden="0" customHeight="1">
      <x:c r="A60" s="825" t="str">
        <x:v>해결과 복구 분리</x:v>
      </x:c>
      <x:c r="B60" s="825" t="str">
        <x:v>Breach 종료 ≠ Integrity 회복</x:v>
      </x:c>
      <x:c r="C60" s="825" t="str">
        <x:v>Emergency 대응 후에도 다음 날 수리 부담이 남음</x:v>
      </x:c>
      <x:c r="D60" s="825"/>
      <x:c r="E60" s="825"/>
      <x:c r="F60" s="825"/>
      <x:c r="G60" s="825"/>
      <x:c r="H60" s="825"/>
      <x:c r="I60" s="825"/>
      <x:c r="J60" s="825"/>
      <x:c r="K60" s="825"/>
      <x:c r="L60" s="825"/>
      <x:c r="M60" s="825"/>
      <x:c r="N60" s="825"/>
    </x:row>
    <x:row r="61" ht="15" hidden="0" customHeight="1">
      <x:c r="A61" s="825"/>
      <x:c r="B61" s="825"/>
      <x:c r="C61" s="825"/>
      <x:c r="D61" s="825"/>
      <x:c r="E61" s="825"/>
      <x:c r="F61" s="825"/>
      <x:c r="G61" s="825"/>
      <x:c r="H61" s="825"/>
      <x:c r="I61" s="825"/>
      <x:c r="J61" s="825"/>
      <x:c r="K61" s="825"/>
      <x:c r="L61" s="825"/>
      <x:c r="M61" s="825"/>
      <x:c r="N61" s="825"/>
    </x:row>
    <x:row r="62" ht="30" hidden="0" customHeight="1">
      <x:c r="A62" s="849" t="str">
        <x:v>순서</x:v>
      </x:c>
      <x:c r="B62" s="849" t="str">
        <x:v>다음 설계</x:v>
      </x:c>
      <x:c r="C62" s="849" t="str">
        <x:v>현재까지 닫힌 것</x:v>
      </x:c>
      <x:c r="D62" s="849" t="str">
        <x:v>새로 결정할 핵심</x:v>
      </x:c>
      <x:c r="E62" s="849"/>
      <x:c r="F62" s="849"/>
      <x:c r="G62" s="849"/>
      <x:c r="H62" s="849"/>
      <x:c r="I62" s="849"/>
      <x:c r="J62" s="849"/>
      <x:c r="K62" s="849"/>
      <x:c r="L62" s="849"/>
      <x:c r="M62" s="849"/>
      <x:c r="N62" s="849"/>
    </x:row>
    <x:row r="63" ht="30" hidden="0" customHeight="1">
      <x:c r="A63" s="839" t="n">
        <x:v>1</x:v>
      </x:c>
      <x:c r="B63" s="839" t="str">
        <x:v>Character Final / 보상</x:v>
      </x:c>
      <x:c r="C63" s="839" t="str">
        <x:v>시설별 Crisis / D19 Boss / NPC 배치</x:v>
      </x:c>
      <x:c r="D63" s="839" t="str">
        <x:v>6인 Final의 정확한 Will·Stat·Stance 결과</x:v>
      </x:c>
      <x:c r="E63" s="839"/>
      <x:c r="F63" s="839"/>
      <x:c r="G63" s="839"/>
      <x:c r="H63" s="839"/>
      <x:c r="I63" s="839"/>
      <x:c r="J63" s="839"/>
      <x:c r="K63" s="839"/>
      <x:c r="L63" s="839"/>
      <x:c r="M63" s="839"/>
      <x:c r="N63" s="839"/>
    </x:row>
    <x:row r="64" ht="30" hidden="0" customHeight="1">
      <x:c r="A64" s="839" t="n">
        <x:v>2</x:v>
      </x:c>
      <x:c r="B64" s="839" t="str">
        <x:v>Ending Evaluator</x:v>
      </x:c>
      <x:c r="C64" s="839" t="str">
        <x:v>Normal/True/Hidden 큰 조건</x:v>
      </x:c>
      <x:c r="D64" s="839" t="str">
        <x:v>Bad4 / 우선순위 / 생존·Stance 정확 조건</x:v>
      </x:c>
      <x:c r="E64" s="839"/>
      <x:c r="F64" s="839"/>
      <x:c r="G64" s="839"/>
      <x:c r="H64" s="839"/>
      <x:c r="I64" s="839"/>
      <x:c r="J64" s="839"/>
      <x:c r="K64" s="839"/>
      <x:c r="L64" s="839"/>
      <x:c r="M64" s="839"/>
      <x:c r="N64" s="839"/>
    </x:row>
    <x:row r="65" ht="24" hidden="0" customHeight="1">
      <x:c r="A65" s="825" t="n">
        <x:v>3</x:v>
      </x:c>
      <x:c r="B65" s="825" t="str">
        <x:v>W2 역산 재배치</x:v>
      </x:c>
      <x:c r="C65" s="825" t="str">
        <x:v>D15 준비값 / Route Mastery 필요</x:v>
      </x:c>
      <x:c r="D65" s="825" t="str">
        <x:v>어떤 W2 퀘스트가 W3 Final 선행인지</x:v>
      </x:c>
      <x:c r="E65" s="825"/>
      <x:c r="F65" s="825"/>
      <x:c r="G65" s="825"/>
      <x:c r="H65" s="825"/>
      <x:c r="I65" s="825"/>
      <x:c r="J65" s="825"/>
      <x:c r="K65" s="825"/>
      <x:c r="L65" s="825"/>
      <x:c r="M65" s="825"/>
      <x:c r="N65" s="825"/>
    </x:row>
    <x:row r="66" ht="24" hidden="0" customHeight="1">
      <x:c r="A66" s="825" t="n">
        <x:v>4</x:v>
      </x:c>
      <x:c r="B66" s="825" t="str">
        <x:v>W1 Seed 감사</x:v>
      </x:c>
      <x:c r="C66" s="825" t="str">
        <x:v>W2/W3 핵심 의미</x:v>
      </x:c>
      <x:c r="D66" s="825" t="str">
        <x:v>필요 복선 누락/과잉 제거</x:v>
      </x:c>
      <x:c r="E66" s="825"/>
      <x:c r="F66" s="825"/>
      <x:c r="G66" s="825"/>
      <x:c r="H66" s="825"/>
      <x:c r="I66" s="825"/>
      <x:c r="J66" s="825"/>
      <x:c r="K66" s="825"/>
      <x:c r="L66" s="825"/>
      <x:c r="M66" s="825"/>
      <x:c r="N66" s="825"/>
    </x:row>
    <x:row r="67" ht="36" hidden="0" customHeight="1">
      <x:c r="A67" s="825" t="n">
        <x:v>5</x:v>
      </x:c>
      <x:c r="B67" s="825" t="str">
        <x:v>Runtime 구현 설계</x:v>
      </x:c>
      <x:c r="C67" s="825" t="str">
        <x:v>ShipService/TimelineService 방향</x:v>
      </x:c>
      <x:c r="D67" s="825" t="str">
        <x:v>설계 확정 뒤 CSV/런타임 마이그레이션</x:v>
      </x:c>
      <x:c r="E67" s="825"/>
      <x:c r="F67" s="825"/>
      <x:c r="G67" s="825"/>
      <x:c r="H67" s="825"/>
      <x:c r="I67" s="825"/>
      <x:c r="J67" s="825"/>
      <x:c r="K67" s="825"/>
      <x:c r="L67" s="825"/>
      <x:c r="M67" s="825"/>
      <x:c r="N67" s="825"/>
    </x:row>
    <x:row r="68" ht="15" hidden="0" customHeight="1">
      <x:c r="A68" s="825"/>
      <x:c r="B68" s="825"/>
      <x:c r="C68" s="825"/>
      <x:c r="D68" s="825"/>
      <x:c r="E68" s="825"/>
      <x:c r="F68" s="825"/>
      <x:c r="G68" s="825"/>
      <x:c r="H68" s="825"/>
      <x:c r="I68" s="825"/>
      <x:c r="J68" s="825"/>
      <x:c r="K68" s="825"/>
      <x:c r="L68" s="825"/>
      <x:c r="M68" s="825"/>
      <x:c r="N68" s="825"/>
    </x:row>
    <x:row r="69" ht="15" hidden="0" customHeight="1">
      <x:c r="A69" s="825"/>
      <x:c r="B69" s="825"/>
      <x:c r="C69" s="825"/>
      <x:c r="D69" s="825"/>
      <x:c r="E69" s="825"/>
      <x:c r="F69" s="825"/>
      <x:c r="G69" s="825"/>
      <x:c r="H69" s="825"/>
      <x:c r="I69" s="825"/>
      <x:c r="J69" s="825"/>
      <x:c r="K69" s="825"/>
      <x:c r="L69" s="825"/>
      <x:c r="M69" s="825"/>
      <x:c r="N69" s="825"/>
    </x:row>
    <x:row r="70" ht="15" hidden="0" customHeight="1">
      <x:c r="A70" s="837" t="str">
        <x:v>10. Oxygen Interruption — 사건 정의</x:v>
      </x:c>
      <x:c r="B70" s="837"/>
      <x:c r="C70" s="837"/>
      <x:c r="D70" s="837"/>
      <x:c r="E70" s="837"/>
      <x:c r="F70" s="837"/>
      <x:c r="G70" s="837"/>
      <x:c r="H70" s="837"/>
      <x:c r="I70" s="837" t="str">
        <x:v>Breach vs Oxygen 역할 비교</x:v>
      </x:c>
      <x:c r="J70" s="837"/>
      <x:c r="K70" s="837"/>
      <x:c r="L70" s="837"/>
      <x:c r="M70" s="837"/>
      <x:c r="N70" s="837"/>
    </x:row>
    <x:row r="71" ht="30" hidden="0" customHeight="1">
      <x:c r="A71" s="849" t="str">
        <x:v>항목</x:v>
      </x:c>
      <x:c r="B71" s="849" t="str">
        <x:v>규칙</x:v>
      </x:c>
      <x:c r="C71" s="849" t="str">
        <x:v>Breach와의 차이</x:v>
      </x:c>
      <x:c r="D71" s="849" t="str">
        <x:v>상태</x:v>
      </x:c>
      <x:c r="E71" s="849"/>
      <x:c r="F71" s="849"/>
      <x:c r="G71" s="849"/>
      <x:c r="H71" s="849"/>
      <x:c r="I71" s="849" t="str">
        <x:v>항목</x:v>
      </x:c>
      <x:c r="J71" s="849" t="str">
        <x:v>Breach</x:v>
      </x:c>
      <x:c r="K71" s="849" t="str">
        <x:v>Oxygen Interruption</x:v>
      </x:c>
      <x:c r="L71" s="849"/>
      <x:c r="M71" s="849"/>
      <x:c r="N71" s="849"/>
    </x:row>
    <x:row r="72" ht="48" hidden="0" customHeight="1">
      <x:c r="A72" s="825" t="str">
        <x:v>사건 의미</x:v>
      </x:c>
      <x:c r="B72" s="825" t="str">
        <x:v>폭풍/전력 불안정으로 특정 구역의 산소 순환·압력·생명유지 계통이 멈춘 상태</x:v>
      </x:c>
      <x:c r="C72" s="825" t="str">
        <x:v>외벽이 찢어진 사건이 아니므로 Hull 손상 없음</x:v>
      </x:c>
      <x:c r="D72" s="825" t="str">
        <x:v>TEMP 추천</x:v>
      </x:c>
      <x:c r="E72" s="825"/>
      <x:c r="F72" s="825"/>
      <x:c r="G72" s="825"/>
      <x:c r="H72" s="825"/>
      <x:c r="I72" s="825" t="str">
        <x:v>위협</x:v>
      </x:c>
      <x:c r="J72" s="825" t="str">
        <x:v>구조 손상</x:v>
      </x:c>
      <x:c r="K72" s="825" t="str">
        <x:v>생명유지/구역 기능</x:v>
      </x:c>
      <x:c r="L72" s="825"/>
      <x:c r="M72" s="825"/>
      <x:c r="N72" s="825"/>
    </x:row>
    <x:row r="73" ht="60" hidden="0" customHeight="1">
      <x:c r="A73" s="825" t="str">
        <x:v>TargetZone</x:v>
      </x:c>
      <x:c r="B73" s="825" t="str">
        <x:v>한 사건은 함교/엔지니어/연구/거주 중 열려 있는 구역 1곳을 AffectedZone으로 가짐</x:v>
      </x:c>
      <x:c r="C73" s="825" t="str">
        <x:v>'산소실에서 고장 → 다른 방' 같은 Source/Target 2단 구조를 쓰지 않음</x:v>
      </x:c>
      <x:c r="D73" s="825" t="str">
        <x:v>TEMP 추천</x:v>
      </x:c>
      <x:c r="E73" s="825"/>
      <x:c r="F73" s="825"/>
      <x:c r="G73" s="825"/>
      <x:c r="H73" s="825"/>
      <x:c r="I73" s="825" t="str">
        <x:v>Global Hull</x:v>
      </x:c>
      <x:c r="J73" s="825" t="str">
        <x:v>Tick마다 -1</x:v>
      </x:c>
      <x:c r="K73" s="825" t="str">
        <x:v>피해 없음</x:v>
      </x:c>
      <x:c r="L73" s="825"/>
      <x:c r="M73" s="825"/>
      <x:c r="N73" s="825"/>
    </x:row>
    <x:row r="74" ht="36" hidden="0" customHeight="1">
      <x:c r="A74" s="825" t="str">
        <x:v>중복</x:v>
      </x:c>
      <x:c r="B74" s="825" t="str">
        <x:v>같은 구역에 Oxygen Interruption 2개를 중첩하지 않음</x:v>
      </x:c>
      <x:c r="C74" s="825" t="str">
        <x:v>상태를 단순하게 유지</x:v>
      </x:c>
      <x:c r="D74" s="825" t="str">
        <x:v>TEMP 추천</x:v>
      </x:c>
      <x:c r="E74" s="825"/>
      <x:c r="F74" s="825"/>
      <x:c r="G74" s="825"/>
      <x:c r="H74" s="825"/>
      <x:c r="I74" s="825" t="str">
        <x:v>기본 해결</x:v>
      </x:c>
      <x:c r="J74" s="825" t="str">
        <x:v>4h 응급 봉합</x:v>
      </x:c>
      <x:c r="K74" s="825" t="str">
        <x:v>4h 구역 봉쇄+재가압</x:v>
      </x:c>
      <x:c r="L74" s="825"/>
      <x:c r="M74" s="825"/>
      <x:c r="N74" s="825"/>
    </x:row>
    <x:row r="75" ht="60" hidden="0" customHeight="1">
      <x:c r="A75" s="825" t="str">
        <x:v>발생 위치 선정</x:v>
      </x:c>
      <x:c r="B75" s="825" t="str">
        <x:v>Eligible Zone 중 하나를 선택. 정확한 Random/가중/저자 지정 방식은 발생 규칙 설계 때 확정</x:v>
      </x:c>
      <x:c r="C75" s="825" t="str">
        <x:v>Target 의미만 먼저 고정</x:v>
      </x:c>
      <x:c r="D75" s="825" t="str">
        <x:v>TBD</x:v>
      </x:c>
      <x:c r="E75" s="825"/>
      <x:c r="F75" s="825"/>
      <x:c r="G75" s="825"/>
      <x:c r="H75" s="825"/>
      <x:c r="I75" s="825" t="str">
        <x:v>주 전문 스탯</x:v>
      </x:c>
      <x:c r="J75" s="825" t="str">
        <x:v>기술</x:v>
      </x:c>
      <x:c r="K75" s="825" t="str">
        <x:v>기술 또는 강인함</x:v>
      </x:c>
      <x:c r="L75" s="825"/>
      <x:c r="M75" s="825"/>
      <x:c r="N75" s="825"/>
    </x:row>
    <x:row r="76" ht="72" hidden="0" customHeight="1">
      <x:c r="A76" s="825" t="str">
        <x:v>산소보급실 Integrity</x:v>
      </x:c>
      <x:c r="B76" s="825" t="str">
        <x:v>사건의 Source가 아니라 전체 산소망의 건강도. 낮을수록 발생 위험/해결 불리함을 줄 수 있으나 정확 규칙은 아직 미정</x:v>
      </x:c>
      <x:c r="C76" s="825" t="str">
        <x:v>시설 상태와 Event 발생 규칙을 분리</x:v>
      </x:c>
      <x:c r="D76" s="825" t="str">
        <x:v>TBD</x:v>
      </x:c>
      <x:c r="E76" s="825"/>
      <x:c r="F76" s="825"/>
      <x:c r="G76" s="825"/>
      <x:c r="H76" s="825"/>
      <x:c r="I76" s="825" t="str">
        <x:v>비전문 NPC</x:v>
      </x:c>
      <x:c r="J76" s="825" t="str">
        <x:v>일부 4h 희생 수리 가능</x:v>
      </x:c>
      <x:c r="K76" s="825" t="str">
        <x:v>기본 대피, 자동 희생 없음</x:v>
      </x:c>
      <x:c r="L76" s="825"/>
      <x:c r="M76" s="825"/>
      <x:c r="N76" s="825"/>
    </x:row>
    <x:row r="77" ht="24" hidden="0" customHeight="1">
      <x:c r="A77" s="825"/>
      <x:c r="B77" s="825"/>
      <x:c r="C77" s="825"/>
      <x:c r="D77" s="825"/>
      <x:c r="E77" s="825"/>
      <x:c r="F77" s="825"/>
      <x:c r="G77" s="825"/>
      <x:c r="H77" s="825"/>
      <x:c r="I77" s="825" t="str">
        <x:v>연쇄</x:v>
      </x:c>
      <x:c r="J77" s="825" t="str">
        <x:v>구역 폐쇄/Global Hull 0</x:v>
      </x:c>
      <x:c r="K77" s="825" t="str">
        <x:v>Panic / 냉동·온실 기능상실</x:v>
      </x:c>
      <x:c r="L77" s="825"/>
      <x:c r="M77" s="825"/>
      <x:c r="N77" s="825"/>
    </x:row>
    <x:row r="78" ht="15" hidden="0" customHeight="1">
      <x:c r="A78" s="837" t="str">
        <x:v>11. Oxygen Interruption 발생 → 해결 흐름</x:v>
      </x:c>
      <x:c r="B78" s="837"/>
      <x:c r="C78" s="837"/>
      <x:c r="D78" s="837"/>
      <x:c r="E78" s="837"/>
      <x:c r="F78" s="837"/>
      <x:c r="G78" s="837"/>
      <x:c r="H78" s="837"/>
      <x:c r="I78" s="837" t="str">
        <x:v>플레이 감정</x:v>
      </x:c>
      <x:c r="J78" s="837" t="str">
        <x:v>배가 찢어지고 있다</x:v>
      </x:c>
      <x:c r="K78" s="837" t="str">
        <x:v>사람과 시스템이 숨을 못 쉬고 있다</x:v>
      </x:c>
      <x:c r="L78" s="837"/>
      <x:c r="M78" s="837"/>
      <x:c r="N78" s="837"/>
    </x:row>
    <x:row r="79" ht="30" hidden="0" customHeight="1">
      <x:c r="A79" s="849" t="str">
        <x:v>단계</x:v>
      </x:c>
      <x:c r="B79" s="849" t="str">
        <x:v>시점</x:v>
      </x:c>
      <x:c r="C79" s="849" t="str">
        <x:v>규칙</x:v>
      </x:c>
      <x:c r="D79" s="849" t="str">
        <x:v>구역 사용</x:v>
      </x:c>
      <x:c r="E79" s="849" t="str">
        <x:v>상태</x:v>
      </x:c>
      <x:c r="F79" s="849"/>
      <x:c r="G79" s="849"/>
      <x:c r="H79" s="849"/>
      <x:c r="I79" s="849"/>
      <x:c r="J79" s="849"/>
      <x:c r="K79" s="849"/>
      <x:c r="L79" s="849"/>
      <x:c r="M79" s="849"/>
      <x:c r="N79" s="849"/>
    </x:row>
    <x:row r="80" ht="30" hidden="0" customHeight="1">
      <x:c r="A80" s="839" t="str">
        <x:v>발생</x:v>
      </x:c>
      <x:c r="B80" s="839" t="str">
        <x:v>T+0</x:v>
      </x:c>
      <x:c r="C80" s="839" t="str">
        <x:v>AffectedZone 산소 공급 중단. 즉시 Integrity 피해 없음.</x:v>
      </x:c>
      <x:c r="D80" s="839" t="str">
        <x:v>일반 행동은 가능하되 경고 상태</x:v>
      </x:c>
      <x:c r="E80" s="839" t="str">
        <x:v>TEMP 추천</x:v>
      </x:c>
      <x:c r="F80" s="839"/>
      <x:c r="G80" s="839"/>
      <x:c r="H80" s="839"/>
      <x:c r="I80" s="839" t="str">
        <x:v>Oxygen 선택 가능성 빠른 검증</x:v>
      </x:c>
      <x:c r="J80" s="839"/>
      <x:c r="K80" s="839"/>
      <x:c r="L80" s="839"/>
      <x:c r="M80" s="839"/>
      <x:c r="N80" s="839"/>
    </x:row>
    <x:row r="81" ht="36" hidden="0" customHeight="1">
      <x:c r="A81" s="825" t="str">
        <x:v>대응창</x:v>
      </x:c>
      <x:c r="B81" s="825" t="str">
        <x:v>T+0~4h</x:v>
      </x:c>
      <x:c r="C81" s="825" t="str">
        <x:v>첫 시스템 손상까지 4h. 해결/대피/NPC 이동 가능.</x:v>
      </x:c>
      <x:c r="D81" s="825" t="str">
        <x:v>해결법에 따라 달라짐</x:v>
      </x:c>
      <x:c r="E81" s="825" t="str">
        <x:v>TEMP 추천</x:v>
      </x:c>
      <x:c r="F81" s="825"/>
      <x:c r="G81" s="825"/>
      <x:c r="H81" s="825"/>
      <x:c r="I81" s="837" t="str">
        <x:v>입력/결과</x:v>
      </x:c>
      <x:c r="J81" s="837" t="str">
        <x:v>값</x:v>
      </x:c>
      <x:c r="K81" s="825"/>
      <x:c r="L81" s="825"/>
      <x:c r="M81" s="825"/>
      <x:c r="N81" s="825"/>
    </x:row>
    <x:row r="82" ht="48" hidden="0" customHeight="1">
      <x:c r="A82" s="825" t="str">
        <x:v>첫 Tick</x:v>
      </x:c>
      <x:c r="B82" s="825" t="str">
        <x:v>T+4h</x:v>
      </x:c>
      <x:c r="C82" s="825" t="str">
        <x:v>미해결이면 TargetZone별 Integrity 감소를 원자적 배치로 적용.</x:v>
      </x:c>
      <x:c r="D82" s="825" t="str">
        <x:v>계속 경고 상태</x:v>
      </x:c>
      <x:c r="E82" s="825" t="str">
        <x:v>기존 확정방향</x:v>
      </x:c>
      <x:c r="F82" s="825"/>
      <x:c r="G82" s="825"/>
      <x:c r="H82" s="825"/>
      <x:c r="I82" s="825" t="str">
        <x:v>현재 기술</x:v>
      </x:c>
      <x:c r="J82" s="825" t="n">
        <x:v>6</x:v>
      </x:c>
      <x:c r="K82" s="825"/>
      <x:c r="L82" s="825"/>
      <x:c r="M82" s="825"/>
      <x:c r="N82" s="825"/>
    </x:row>
    <x:row r="83" ht="24" hidden="0" customHeight="1">
      <x:c r="A83" s="825" t="str">
        <x:v>반복</x:v>
      </x:c>
      <x:c r="B83" s="825" t="str">
        <x:v>이후 매 4h</x:v>
      </x:c>
      <x:c r="C83" s="825" t="str">
        <x:v>미해결 동안 같은 피해 반복.</x:v>
      </x:c>
      <x:c r="D83" s="825" t="str">
        <x:v>계속 경고 상태</x:v>
      </x:c>
      <x:c r="E83" s="825" t="str">
        <x:v>기존 확정방향</x:v>
      </x:c>
      <x:c r="F83" s="825"/>
      <x:c r="G83" s="825"/>
      <x:c r="H83" s="825"/>
      <x:c r="I83" s="825" t="str">
        <x:v>현재 강인함</x:v>
      </x:c>
      <x:c r="J83" s="825" t="n">
        <x:v>7</x:v>
      </x:c>
      <x:c r="K83" s="825"/>
      <x:c r="L83" s="825"/>
      <x:c r="M83" s="825"/>
      <x:c r="N83" s="825"/>
    </x:row>
    <x:row r="84" ht="48" hidden="0" customHeight="1">
      <x:c r="A84" s="825" t="str">
        <x:v>해결</x:v>
      </x:c>
      <x:c r="B84" s="825" t="str">
        <x:v>완료 시점</x:v>
      </x:c>
      <x:c r="C84" s="825" t="str">
        <x:v>Oxygen Interruption 제거. 이미 잃은 Integrity는 복구하지 않음.</x:v>
      </x:c>
      <x:c r="D84" s="825" t="str">
        <x:v>정상화</x:v>
      </x:c>
      <x:c r="E84" s="825" t="str">
        <x:v>확정방향</x:v>
      </x:c>
      <x:c r="F84" s="825"/>
      <x:c r="G84" s="825"/>
      <x:c r="H84" s="825"/>
      <x:c r="I84" s="825" t="str">
        <x:v>현재 의지</x:v>
      </x:c>
      <x:c r="J84" s="825" t="n">
        <x:v>3</x:v>
      </x:c>
      <x:c r="K84" s="825"/>
      <x:c r="L84" s="825"/>
      <x:c r="M84" s="825"/>
      <x:c r="N84" s="825"/>
    </x:row>
    <x:row r="85" ht="48" hidden="0" customHeight="1">
      <x:c r="A85" s="825" t="str">
        <x:v>동시시각</x:v>
      </x:c>
      <x:c r="B85" s="825" t="str">
        <x:v>정확히 T+4h</x:v>
      </x:c>
      <x:c r="C85" s="825" t="str">
        <x:v>해결 완료를 Tick보다 먼저 처리 → 즉시 대응한 4h 기본 해결은 첫 피해를 막음.</x:v>
      </x:c>
      <x:c r="D85" s="825" t="str">
        <x:v>정상화</x:v>
      </x:c>
      <x:c r="E85" s="825" t="str">
        <x:v>Breach와 통일 / TEMP 추천</x:v>
      </x:c>
      <x:c r="F85" s="825"/>
      <x:c r="G85" s="825"/>
      <x:c r="H85" s="825"/>
      <x:c r="I85" s="825" t="str">
        <x:v>기술 특수 요구</x:v>
      </x:c>
      <x:c r="J85" s="825" t="n">
        <x:v>9</x:v>
      </x:c>
      <x:c r="K85" s="825"/>
      <x:c r="L85" s="825"/>
      <x:c r="M85" s="825"/>
      <x:c r="N85" s="825"/>
    </x:row>
    <x:row r="86" ht="15" hidden="0" customHeight="1">
      <x:c r="A86" s="825"/>
      <x:c r="B86" s="825"/>
      <x:c r="C86" s="825"/>
      <x:c r="D86" s="825"/>
      <x:c r="E86" s="825"/>
      <x:c r="F86" s="825"/>
      <x:c r="G86" s="825"/>
      <x:c r="H86" s="825"/>
      <x:c r="I86" s="825" t="str">
        <x:v>필요 의지</x:v>
      </x:c>
      <x:c r="J86" s="825" t="n">
        <x:f>MAX(0,J85-J82)</x:f>
        <x:v>3</x:v>
      </x:c>
      <x:c r="K86" s="825"/>
      <x:c r="L86" s="825"/>
      <x:c r="M86" s="825"/>
      <x:c r="N86" s="825"/>
    </x:row>
    <x:row r="87" ht="15" hidden="0" customHeight="1">
      <x:c r="A87" s="837" t="str">
        <x:v>12. 미해결 4h Tick 피해 — Hull 피해 없음</x:v>
      </x:c>
      <x:c r="B87" s="837"/>
      <x:c r="C87" s="837"/>
      <x:c r="D87" s="837"/>
      <x:c r="E87" s="837"/>
      <x:c r="F87" s="837"/>
      <x:c r="G87" s="837"/>
      <x:c r="H87" s="837"/>
      <x:c r="I87" s="837" t="str">
        <x:v>1h 기술 특수</x:v>
      </x:c>
      <x:c r="J87" s="837" t="str">
        <x:f>IF(J86&lt;=J84,"가능","불가")</x:f>
        <x:v>가능</x:v>
      </x:c>
      <x:c r="K87" s="837"/>
      <x:c r="L87" s="837"/>
      <x:c r="M87" s="837"/>
      <x:c r="N87" s="837"/>
    </x:row>
    <x:row r="88" ht="30" hidden="0" customHeight="1">
      <x:c r="A88" s="849" t="str">
        <x:v>AffectedZone</x:v>
      </x:c>
      <x:c r="B88" s="849" t="str">
        <x:v>Tick 피해</x:v>
      </x:c>
      <x:c r="C88" s="849" t="str">
        <x:v>Global Hull</x:v>
      </x:c>
      <x:c r="D88" s="849" t="str">
        <x:v>후속 위험</x:v>
      </x:c>
      <x:c r="E88" s="849" t="str">
        <x:v>상태</x:v>
      </x:c>
      <x:c r="F88" s="849"/>
      <x:c r="G88" s="849"/>
      <x:c r="H88" s="849"/>
      <x:c r="I88" s="849" t="str">
        <x:v>2h 강인함</x:v>
      </x:c>
      <x:c r="J88" s="849" t="str">
        <x:f>IF(J83&gt;=7,"가능","불가")</x:f>
        <x:v>가능</x:v>
      </x:c>
      <x:c r="K88" s="849"/>
      <x:c r="L88" s="849"/>
      <x:c r="M88" s="849"/>
      <x:c r="N88" s="849"/>
    </x:row>
    <x:row r="89" ht="15" hidden="0" customHeight="1">
      <x:c r="A89" s="825" t="str">
        <x:v>함교</x:v>
      </x:c>
      <x:c r="B89" s="825" t="str">
        <x:v>함교 -1</x:v>
      </x:c>
      <x:c r="C89" s="825" t="str">
        <x:v>0</x:v>
      </x:c>
      <x:c r="D89" s="825" t="str">
        <x:v>0이 되면 함교 폐쇄</x:v>
      </x:c>
      <x:c r="E89" s="825" t="str">
        <x:v>기존 확정방향</x:v>
      </x:c>
      <x:c r="F89" s="825"/>
      <x:c r="G89" s="825"/>
      <x:c r="H89" s="825"/>
      <x:c r="I89" s="825"/>
      <x:c r="J89" s="825"/>
      <x:c r="K89" s="825"/>
      <x:c r="L89" s="825"/>
      <x:c r="M89" s="825"/>
      <x:c r="N89" s="825"/>
    </x:row>
    <x:row r="90" ht="24" hidden="0" customHeight="1">
      <x:c r="A90" s="825" t="str">
        <x:v>엔지니어 구역</x:v>
      </x:c>
      <x:c r="B90" s="825" t="str">
        <x:v>엔진실 -1 + 산소보급실 -1</x:v>
      </x:c>
      <x:c r="C90" s="825" t="str">
        <x:v>0</x:v>
      </x:c>
      <x:c r="D90" s="825" t="str">
        <x:v>엔진/산소 저하로 이후 생존·출항 조건 악화</x:v>
      </x:c>
      <x:c r="E90" s="825" t="str">
        <x:v>기존 확정방향</x:v>
      </x:c>
      <x:c r="F90" s="825"/>
      <x:c r="G90" s="825"/>
      <x:c r="H90" s="825"/>
      <x:c r="I90" s="837" t="str">
        <x:v>Oxygen에서 이번에 정리된 것 / 남은 것</x:v>
      </x:c>
      <x:c r="J90" s="837"/>
      <x:c r="K90" s="837"/>
      <x:c r="L90" s="837"/>
      <x:c r="M90" s="837"/>
      <x:c r="N90" s="837"/>
    </x:row>
    <x:row r="91" ht="36" hidden="0" customHeight="1">
      <x:c r="A91" s="825" t="str">
        <x:v>연구 구역</x:v>
      </x:c>
      <x:c r="B91" s="825" t="str">
        <x:v>연구실 -1 + 냉동창고 -1 + 온실 -1</x:v>
      </x:c>
      <x:c r="C91" s="825" t="str">
        <x:v>0</x:v>
      </x:c>
      <x:c r="D91" s="825" t="str">
        <x:v>냉동/온실 0이면 기능상실 복구창으로 연쇄 가능</x:v>
      </x:c>
      <x:c r="E91" s="825" t="str">
        <x:v>기존 확정방향</x:v>
      </x:c>
      <x:c r="F91" s="825"/>
      <x:c r="G91" s="825"/>
      <x:c r="H91" s="825"/>
      <x:c r="I91" s="837" t="str">
        <x:v>구분</x:v>
      </x:c>
      <x:c r="J91" s="837" t="str">
        <x:v>항목</x:v>
      </x:c>
      <x:c r="K91" s="837" t="str">
        <x:v>결정</x:v>
      </x:c>
      <x:c r="L91" s="825"/>
      <x:c r="M91" s="825"/>
      <x:c r="N91" s="825"/>
    </x:row>
    <x:row r="92" ht="36" hidden="0" customHeight="1">
      <x:c r="A92" s="825" t="str">
        <x:v>거주 구역</x:v>
      </x:c>
      <x:c r="B92" s="825" t="str">
        <x:v>거주구역 -1</x:v>
      </x:c>
      <x:c r="C92" s="825" t="str">
        <x:v>0</x:v>
      </x:c>
      <x:c r="D92" s="825" t="str">
        <x:v>&lt;=2가 되면 Living Panic으로 연쇄 가능</x:v>
      </x:c>
      <x:c r="E92" s="825" t="str">
        <x:v>기존 확정방향</x:v>
      </x:c>
      <x:c r="F92" s="825"/>
      <x:c r="G92" s="825"/>
      <x:c r="H92" s="825"/>
      <x:c r="I92" s="825" t="str">
        <x:v>정리</x:v>
      </x:c>
      <x:c r="J92" s="825" t="str">
        <x:v>Source/Target 구조</x:v>
      </x:c>
      <x:c r="K92" s="825" t="str">
        <x:v>별도 SourceZone 없이 AffectedZone 1개만 둔다 — TEMP 추천</x:v>
      </x:c>
      <x:c r="L92" s="825"/>
      <x:c r="M92" s="825"/>
      <x:c r="N92" s="825"/>
    </x:row>
    <x:row r="93" ht="48" hidden="0" customHeight="1">
      <x:c r="A93" s="825" t="str">
        <x:v>적용 방식</x:v>
      </x:c>
      <x:c r="B93" s="825" t="str">
        <x:v>모든 감소를 한 배치로 적용한 뒤 폐쇄/Panic/기능상실 Trigger 평가</x:v>
      </x:c>
      <x:c r="C93" s="825" t="str">
        <x:v>0</x:v>
      </x:c>
      <x:c r="D93" s="825" t="str">
        <x:v>중간 상태에서 Trigger가 여러 번 잘못 발동하지 않게 함</x:v>
      </x:c>
      <x:c r="E93" s="825" t="str">
        <x:v>구현 원칙</x:v>
      </x:c>
      <x:c r="F93" s="825"/>
      <x:c r="G93" s="825"/>
      <x:c r="H93" s="825"/>
      <x:c r="I93" s="825" t="str">
        <x:v>정리</x:v>
      </x:c>
      <x:c r="J93" s="825" t="str">
        <x:v>Hull</x:v>
      </x:c>
      <x:c r="K93" s="825" t="str">
        <x:v>Oxygen 사건은 Global Hull을 깎지 않는다</x:v>
      </x:c>
      <x:c r="L93" s="825"/>
      <x:c r="M93" s="825"/>
      <x:c r="N93" s="825"/>
    </x:row>
    <x:row r="94" ht="24" hidden="0" customHeight="1">
      <x:c r="A94" s="825"/>
      <x:c r="B94" s="825"/>
      <x:c r="C94" s="825"/>
      <x:c r="D94" s="825"/>
      <x:c r="E94" s="825"/>
      <x:c r="F94" s="825"/>
      <x:c r="G94" s="825"/>
      <x:c r="H94" s="825"/>
      <x:c r="I94" s="825" t="str">
        <x:v>정리</x:v>
      </x:c>
      <x:c r="J94" s="825" t="str">
        <x:v>비전문 NPC</x:v>
      </x:c>
      <x:c r="K94" s="825" t="str">
        <x:v>자동 희생 대신 1h 대피가 기본</x:v>
      </x:c>
      <x:c r="L94" s="825"/>
      <x:c r="M94" s="825"/>
      <x:c r="N94" s="825"/>
    </x:row>
    <x:row r="95" ht="15" hidden="0" customHeight="1">
      <x:c r="A95" s="837" t="str">
        <x:v>13. 제이 직접 대응 선택지</x:v>
      </x:c>
      <x:c r="B95" s="837"/>
      <x:c r="C95" s="837"/>
      <x:c r="D95" s="837"/>
      <x:c r="E95" s="837"/>
      <x:c r="F95" s="837"/>
      <x:c r="G95" s="837"/>
      <x:c r="H95" s="837"/>
      <x:c r="I95" s="837" t="str">
        <x:v>정리</x:v>
      </x:c>
      <x:c r="J95" s="837" t="str">
        <x:v>강인함</x:v>
      </x:c>
      <x:c r="K95" s="837" t="str">
        <x:v>저산소 구역 직접 통과라는 2h 대체 해결에 사용</x:v>
      </x:c>
      <x:c r="L95" s="837"/>
      <x:c r="M95" s="837"/>
      <x:c r="N95" s="837"/>
    </x:row>
    <x:row r="96" ht="30" hidden="0" customHeight="1">
      <x:c r="A96" s="849" t="str">
        <x:v>선택지</x:v>
      </x:c>
      <x:c r="B96" s="849" t="str">
        <x:v>시간</x:v>
      </x:c>
      <x:c r="C96" s="849" t="str">
        <x:v>조건</x:v>
      </x:c>
      <x:c r="D96" s="849" t="str">
        <x:v>의지</x:v>
      </x:c>
      <x:c r="E96" s="849" t="str">
        <x:v>구역 상태</x:v>
      </x:c>
      <x:c r="F96" s="849" t="str">
        <x:v>결과</x:v>
      </x:c>
      <x:c r="G96" s="849" t="str">
        <x:v>스탯 역할</x:v>
      </x:c>
      <x:c r="H96" s="849" t="str">
        <x:v>상태</x:v>
      </x:c>
      <x:c r="I96" s="849" t="str">
        <x:v>TBD</x:v>
      </x:c>
      <x:c r="J96" s="849" t="str">
        <x:v>발생 빈도</x:v>
      </x:c>
      <x:c r="K96" s="849" t="str">
        <x:v>하루 최대 횟수 / 조건 / RNG 여부</x:v>
      </x:c>
      <x:c r="L96" s="849"/>
      <x:c r="M96" s="849"/>
      <x:c r="N96" s="849"/>
    </x:row>
    <x:row r="97" ht="36" hidden="0" customHeight="1">
      <x:c r="A97" s="825" t="str">
        <x:v>구역을 봉쇄하고 천천히 재가압한다</x:v>
      </x:c>
      <x:c r="B97" s="825" t="n">
        <x:v>4</x:v>
      </x:c>
      <x:c r="C97" s="825" t="str">
        <x:v>없음</x:v>
      </x:c>
      <x:c r="D97" s="825" t="n">
        <x:v>0</x:v>
      </x:c>
      <x:c r="E97" s="825" t="str">
        <x:v>4h 동안 해당 구역 일반 활동 중지</x:v>
      </x:c>
      <x:c r="F97" s="825" t="str">
        <x:v>Oxygen Interruption 해결</x:v>
      </x:c>
      <x:c r="G97" s="825" t="str">
        <x:v>누구나 가능한 시간 안전망</x:v>
      </x:c>
      <x:c r="H97" s="825" t="str">
        <x:v>TEMP 추천</x:v>
      </x:c>
      <x:c r="I97" s="825" t="str">
        <x:v>TBD</x:v>
      </x:c>
      <x:c r="J97" s="825" t="str">
        <x:v>산소보급실 0</x:v>
      </x:c>
      <x:c r="K97" s="825" t="str">
        <x:v>전역 산소 위기로 이어지는 별도 규칙 필요 여부</x:v>
      </x:c>
      <x:c r="L97" s="825"/>
      <x:c r="M97" s="825"/>
      <x:c r="N97" s="825"/>
    </x:row>
    <x:row r="98" ht="36" hidden="0" customHeight="1">
      <x:c r="A98" s="825" t="str">
        <x:v>[기술 7] 산소 분배를 우회한다</x:v>
      </x:c>
      <x:c r="B98" s="825" t="n">
        <x:v>2</x:v>
      </x:c>
      <x:c r="C98" s="825" t="str">
        <x:v>기술 &gt;=7</x:v>
      </x:c>
      <x:c r="D98" s="825" t="n">
        <x:v>0</x:v>
      </x:c>
      <x:c r="E98" s="825" t="str">
        <x:v>구역 사용 가능</x:v>
      </x:c>
      <x:c r="F98" s="825" t="str">
        <x:v>Oxygen Interruption 해결</x:v>
      </x:c>
      <x:c r="G98" s="825" t="str">
        <x:v>D15~17 기술 전문화 보상</x:v>
      </x:c>
      <x:c r="H98" s="825" t="str">
        <x:v>TEMP 추천</x:v>
      </x:c>
      <x:c r="I98" s="825" t="str">
        <x:v>TBD</x:v>
      </x:c>
      <x:c r="J98" s="825" t="str">
        <x:v>고립 NPC</x:v>
      </x:c>
      <x:c r="K98" s="825" t="str">
        <x:v>어떤 조건에서 순수 의지 구조 선택이 발생하는지</x:v>
      </x:c>
      <x:c r="L98" s="825"/>
      <x:c r="M98" s="825"/>
      <x:c r="N98" s="825"/>
    </x:row>
    <x:row r="99" ht="36" hidden="0" customHeight="1">
      <x:c r="A99" s="825" t="str">
        <x:v>[강인함 7] 저산소 구역을 통과해 수동 밸브를 연다</x:v>
      </x:c>
      <x:c r="B99" s="825" t="n">
        <x:v>2</x:v>
      </x:c>
      <x:c r="C99" s="825" t="str">
        <x:v>강인함 &gt;=7</x:v>
      </x:c>
      <x:c r="D99" s="825" t="n">
        <x:v>0</x:v>
      </x:c>
      <x:c r="E99" s="825" t="str">
        <x:v>제이가 2h 해당 구역에 묶임</x:v>
      </x:c>
      <x:c r="F99" s="825" t="str">
        <x:v>Oxygen Interruption 해결</x:v>
      </x:c>
      <x:c r="G99" s="825" t="str">
        <x:v>기술이 아닌 극한 상황 극복의 대체 해법</x:v>
      </x:c>
      <x:c r="H99" s="825" t="str">
        <x:v>TEMP 추천</x:v>
      </x:c>
      <x:c r="I99" s="825"/>
      <x:c r="J99" s="825"/>
      <x:c r="K99" s="825"/>
      <x:c r="L99" s="825"/>
      <x:c r="M99" s="825"/>
      <x:c r="N99" s="825"/>
    </x:row>
    <x:row r="100" ht="48" hidden="0" customHeight="1">
      <x:c r="A100" s="825" t="str">
        <x:v>[기술 9 / 의지 보완 가능] 안전장치를 우회해 즉시 순환을 복구한다</x:v>
      </x:c>
      <x:c r="B100" s="825" t="n">
        <x:v>1</x:v>
      </x:c>
      <x:c r="C100" s="825" t="str">
        <x:v>기술 + 사용 의지 &gt;=9</x:v>
      </x:c>
      <x:c r="D100" s="825" t="str">
        <x:v>부족분 1:1</x:v>
      </x:c>
      <x:c r="E100" s="825" t="str">
        <x:v>구역 사용 가능</x:v>
      </x:c>
      <x:c r="F100" s="825" t="str">
        <x:v>Oxygen Interruption 해결</x:v>
      </x:c>
      <x:c r="G100" s="825" t="str">
        <x:v>시간을 사기 위한 한계 돌파</x:v>
      </x:c>
      <x:c r="H100" s="825" t="str">
        <x:v>TEMP 추천</x:v>
      </x:c>
      <x:c r="I100" s="825"/>
      <x:c r="J100" s="825"/>
      <x:c r="K100" s="825"/>
      <x:c r="L100" s="825"/>
      <x:c r="M100" s="825"/>
      <x:c r="N100" s="825"/>
    </x:row>
    <x:row r="101" ht="36" hidden="0" customHeight="1">
      <x:c r="A101" s="825" t="str">
        <x:v>[의지 1] 남은 사람부터 데리고 나온다</x:v>
      </x:c>
      <x:c r="B101" s="825" t="n">
        <x:v>1</x:v>
      </x:c>
      <x:c r="C101" s="825" t="str">
        <x:v>AffectedZone에 대피 지연/고립 NPC가 있을 때</x:v>
      </x:c>
      <x:c r="D101" s="825" t="n">
        <x:v>1</x:v>
      </x:c>
      <x:c r="E101" s="825" t="str">
        <x:v>NPC 대피, 사건은 미해결</x:v>
      </x:c>
      <x:c r="F101" s="825" t="str">
        <x:v>NPC 생존/이동</x:v>
      </x:c>
      <x:c r="G101" s="825" t="str">
        <x:v>순수 의지는 사람을 먼저 선택하는 결단</x:v>
      </x:c>
      <x:c r="H101" s="825" t="str">
        <x:v>조건부 문법</x:v>
      </x:c>
      <x:c r="I101" s="825"/>
      <x:c r="J101" s="825"/>
      <x:c r="K101" s="825"/>
      <x:c r="L101" s="825"/>
      <x:c r="M101" s="825"/>
      <x:c r="N101" s="825"/>
    </x:row>
    <x:row r="102" ht="15" hidden="0" customHeight="1">
      <x:c r="A102" s="825" t="str">
        <x:v>Breach와의 핵심 차별화: Oxygen은 '기술만 높은 사람이 정답'이 되지 않게 강인함 7의 2시간 대체 해법을 둔다. 강인함은 산소가 부족하고 공포가 큰 구역을 직접 통과해 수동 장치를 작동시키는 능력으로 사용한다. 단, 강인함으로 회로를 고치는 것은 아니며 실제 선택 문장은 반드시 육체·심리적 극한 상황을 보여줘야 한다.</x:v>
      </x:c>
      <x:c r="B102" s="825"/>
      <x:c r="C102" s="825"/>
      <x:c r="D102" s="825"/>
      <x:c r="E102" s="825"/>
      <x:c r="F102" s="825"/>
      <x:c r="G102" s="825"/>
      <x:c r="H102" s="825"/>
      <x:c r="I102" s="825"/>
      <x:c r="J102" s="825"/>
      <x:c r="K102" s="825"/>
      <x:c r="L102" s="825"/>
      <x:c r="M102" s="825"/>
      <x:c r="N102" s="825"/>
    </x:row>
    <x:row r="103" ht="15" hidden="0" customHeight="1">
      <x:c r="A103" s="825"/>
      <x:c r="B103" s="825"/>
      <x:c r="C103" s="825"/>
      <x:c r="D103" s="825"/>
      <x:c r="E103" s="825"/>
      <x:c r="F103" s="825"/>
      <x:c r="G103" s="825"/>
      <x:c r="H103" s="825"/>
      <x:c r="I103" s="825"/>
      <x:c r="J103" s="825"/>
      <x:c r="K103" s="825"/>
      <x:c r="L103" s="825"/>
      <x:c r="M103" s="825"/>
      <x:c r="N103" s="825"/>
    </x:row>
    <x:row r="104" ht="15" hidden="0" customHeight="1">
      <x:c r="A104" s="825"/>
      <x:c r="B104" s="825"/>
      <x:c r="C104" s="825"/>
      <x:c r="D104" s="825"/>
      <x:c r="E104" s="825"/>
      <x:c r="F104" s="825"/>
      <x:c r="G104" s="825"/>
      <x:c r="H104" s="825"/>
      <x:c r="I104" s="825"/>
      <x:c r="J104" s="825"/>
      <x:c r="K104" s="825"/>
      <x:c r="L104" s="825"/>
      <x:c r="M104" s="825"/>
      <x:c r="N104" s="825"/>
    </x:row>
    <x:row r="105" ht="15" hidden="0" customHeight="1">
      <x:c r="A105" s="825"/>
      <x:c r="B105" s="825"/>
      <x:c r="C105" s="825"/>
      <x:c r="D105" s="825"/>
      <x:c r="E105" s="825"/>
      <x:c r="F105" s="825"/>
      <x:c r="G105" s="825"/>
      <x:c r="H105" s="825"/>
      <x:c r="I105" s="825"/>
      <x:c r="J105" s="825"/>
      <x:c r="K105" s="825"/>
      <x:c r="L105" s="825"/>
      <x:c r="M105" s="825"/>
      <x:c r="N105" s="825"/>
    </x:row>
    <x:row r="106" ht="26" hidden="0" customHeight="1">
      <x:c r="A106" s="852" t="str">
        <x:v>14. NPC 대응 — Breach와 다르게 비전문가 자동 희생 없음</x:v>
      </x:c>
      <x:c r="B106" s="852"/>
      <x:c r="C106" s="852"/>
      <x:c r="D106" s="852"/>
      <x:c r="E106" s="852"/>
      <x:c r="F106" s="852"/>
      <x:c r="G106" s="852"/>
      <x:c r="H106" s="852"/>
      <x:c r="I106" s="852"/>
      <x:c r="J106" s="852"/>
      <x:c r="K106" s="852"/>
      <x:c r="L106" s="852"/>
      <x:c r="M106" s="852"/>
      <x:c r="N106" s="852"/>
    </x:row>
    <x:row r="107" ht="30" hidden="0" customHeight="1">
      <x:c r="A107" s="849" t="str">
        <x:v>상황</x:v>
      </x:c>
      <x:c r="B107" s="849" t="str">
        <x:v>NPC 행동</x:v>
      </x:c>
      <x:c r="C107" s="849" t="str">
        <x:v>소요</x:v>
      </x:c>
      <x:c r="D107" s="849" t="str">
        <x:v>결과</x:v>
      </x:c>
      <x:c r="E107" s="849" t="str">
        <x:v>제이 선택</x:v>
      </x:c>
      <x:c r="F107" s="849" t="str">
        <x:v>상태</x:v>
      </x:c>
      <x:c r="G107" s="849"/>
      <x:c r="H107" s="849"/>
      <x:c r="I107" s="849"/>
      <x:c r="J107" s="849"/>
      <x:c r="K107" s="849"/>
      <x:c r="L107" s="849"/>
      <x:c r="M107" s="849"/>
      <x:c r="N107" s="849"/>
    </x:row>
    <x:row r="108" ht="15" hidden="0" customHeight="1">
      <x:c r="A108" s="825" t="str">
        <x:v>벤자민 또는 페이 1명</x:v>
      </x:c>
      <x:c r="B108" s="825" t="str">
        <x:v>산소망/전력 우회 복구</x:v>
      </x:c>
      <x:c r="C108" s="825" t="n">
        <x:v>2</x:v>
      </x:c>
      <x:c r="D108" s="825" t="str">
        <x:v>사건 해결 / 생존</x:v>
      </x:c>
      <x:c r="E108" s="825" t="str">
        <x:v>제이는 다른 행동 가능</x:v>
      </x:c>
      <x:c r="F108" s="825" t="str">
        <x:v>TEMP 추천</x:v>
      </x:c>
      <x:c r="G108" s="825"/>
      <x:c r="H108" s="825"/>
      <x:c r="I108" s="825"/>
      <x:c r="J108" s="825"/>
      <x:c r="K108" s="825"/>
      <x:c r="L108" s="825"/>
      <x:c r="M108" s="825"/>
      <x:c r="N108" s="825"/>
    </x:row>
    <x:row r="109" ht="15" hidden="0" customHeight="1">
      <x:c r="A109" s="825" t="str">
        <x:v>벤자민 + 페이</x:v>
      </x:c>
      <x:c r="B109" s="825" t="str">
        <x:v>2인 협업 복구</x:v>
      </x:c>
      <x:c r="C109" s="825" t="n">
        <x:v>1</x:v>
      </x:c>
      <x:c r="D109" s="825" t="str">
        <x:v>사건 해결 / 생존</x:v>
      </x:c>
      <x:c r="E109" s="825" t="str">
        <x:v>제이는 다른 행동 가능</x:v>
      </x:c>
      <x:c r="F109" s="825" t="str">
        <x:v>TEMP 추천</x:v>
      </x:c>
      <x:c r="G109" s="825"/>
      <x:c r="H109" s="825"/>
      <x:c r="I109" s="825"/>
      <x:c r="J109" s="825"/>
      <x:c r="K109" s="825"/>
      <x:c r="L109" s="825"/>
      <x:c r="M109" s="825"/>
      <x:c r="N109" s="825"/>
    </x:row>
    <x:row r="110" ht="24" hidden="0" customHeight="1">
      <x:c r="A110" s="825" t="str">
        <x:v>보리치/지나/디야/샘</x:v>
      </x:c>
      <x:c r="B110" s="825" t="str">
        <x:v>기본적으로 1h 내 대피</x:v>
      </x:c>
      <x:c r="C110" s="825" t="n">
        <x:v>1</x:v>
      </x:c>
      <x:c r="D110" s="825" t="str">
        <x:v>NPC가 안전 구역으로 이동 / 사건 미해결</x:v>
      </x:c>
      <x:c r="E110" s="825" t="str">
        <x:v>제이가 직접 해결하거나 전문가 이동 요청</x:v>
      </x:c>
      <x:c r="F110" s="825" t="str">
        <x:v>TEMP 추천</x:v>
      </x:c>
      <x:c r="G110" s="825"/>
      <x:c r="H110" s="825"/>
      <x:c r="I110" s="825"/>
      <x:c r="J110" s="825"/>
      <x:c r="K110" s="825"/>
      <x:c r="L110" s="825"/>
      <x:c r="M110" s="825"/>
      <x:c r="N110" s="825"/>
    </x:row>
    <x:row r="111" ht="24" hidden="0" customHeight="1">
      <x:c r="A111" s="825" t="str">
        <x:v>고립/대피 지연 NPC</x:v>
      </x:c>
      <x:c r="B111" s="825" t="str">
        <x:v>혼자 빠져나오지 못함</x:v>
      </x:c>
      <x:c r="C111" s="825" t="str">
        <x:v>TBD</x:v>
      </x:c>
      <x:c r="D111" s="825" t="str">
        <x:v>다음 Tick 전 구조 필요 가능</x:v>
      </x:c>
      <x:c r="E111" s="825" t="str">
        <x:v>[의지1] 1h 구조 선택이 조건부로 열림</x:v>
      </x:c>
      <x:c r="F111" s="825" t="str">
        <x:v>TBD</x:v>
      </x:c>
      <x:c r="G111" s="825"/>
      <x:c r="H111" s="825"/>
      <x:c r="I111" s="825"/>
      <x:c r="J111" s="825"/>
      <x:c r="K111" s="825"/>
      <x:c r="L111" s="825"/>
      <x:c r="M111" s="825"/>
      <x:c r="N111" s="825"/>
    </x:row>
    <x:row r="112" ht="48" hidden="0" customHeight="1">
      <x:c r="A112" s="825" t="str">
        <x:v>혼합 NPC</x:v>
      </x:c>
      <x:c r="B112" s="825" t="str">
        <x:v>전문가가 있으면 전문가가 복구, 나머지는 현장 유지/필요 시 대피</x:v>
      </x:c>
      <x:c r="C112" s="825" t="str">
        <x:v>1~2</x:v>
      </x:c>
      <x:c r="D112" s="825" t="str">
        <x:v>자동 희생 없음</x:v>
      </x:c>
      <x:c r="E112" s="825" t="str">
        <x:v>NPC 배치가 해결 속도에 영향</x:v>
      </x:c>
      <x:c r="F112" s="825" t="str">
        <x:v>TEMP 추천</x:v>
      </x:c>
      <x:c r="G112" s="825"/>
      <x:c r="H112" s="825"/>
      <x:c r="I112" s="825"/>
      <x:c r="J112" s="825"/>
      <x:c r="K112" s="825"/>
      <x:c r="L112" s="825"/>
      <x:c r="M112" s="825"/>
      <x:c r="N112" s="825"/>
    </x:row>
    <x:row r="113" ht="15" hidden="0" customHeight="1">
      <x:c r="A113" s="825"/>
      <x:c r="B113" s="825"/>
      <x:c r="C113" s="825"/>
      <x:c r="D113" s="825"/>
      <x:c r="E113" s="825"/>
      <x:c r="F113" s="825"/>
      <x:c r="G113" s="825"/>
      <x:c r="H113" s="825"/>
      <x:c r="I113" s="825"/>
      <x:c r="J113" s="825"/>
      <x:c r="K113" s="825"/>
      <x:c r="L113" s="825"/>
      <x:c r="M113" s="825"/>
      <x:c r="N113" s="825"/>
    </x:row>
    <x:row r="114" ht="26" hidden="0" customHeight="1">
      <x:c r="A114" s="852" t="str">
        <x:v>15. 예시 — 10:00 연구 구역 Oxygen Interruption</x:v>
      </x:c>
      <x:c r="B114" s="852"/>
      <x:c r="C114" s="852"/>
      <x:c r="D114" s="852"/>
      <x:c r="E114" s="852"/>
      <x:c r="F114" s="852"/>
      <x:c r="G114" s="852"/>
      <x:c r="H114" s="852"/>
      <x:c r="I114" s="852"/>
      <x:c r="J114" s="852"/>
      <x:c r="K114" s="852"/>
      <x:c r="L114" s="852"/>
      <x:c r="M114" s="852"/>
      <x:c r="N114" s="852"/>
    </x:row>
    <x:row r="115" ht="30" hidden="0" customHeight="1">
      <x:c r="A115" s="849" t="str">
        <x:v>선택</x:v>
      </x:c>
      <x:c r="B115" s="849" t="str">
        <x:v>완료</x:v>
      </x:c>
      <x:c r="C115" s="849" t="str">
        <x:v>14:00 Tick</x:v>
      </x:c>
      <x:c r="D115" s="849" t="str">
        <x:v>최종 상태</x:v>
      </x:c>
      <x:c r="E115" s="849" t="str">
        <x:v>의미</x:v>
      </x:c>
      <x:c r="F115" s="849"/>
      <x:c r="G115" s="849"/>
      <x:c r="H115" s="849"/>
      <x:c r="I115" s="849"/>
      <x:c r="J115" s="849"/>
      <x:c r="K115" s="849"/>
      <x:c r="L115" s="849"/>
      <x:c r="M115" s="849"/>
      <x:c r="N115" s="849"/>
    </x:row>
    <x:row r="116" ht="24" hidden="0" customHeight="1">
      <x:c r="A116" s="825" t="str">
        <x:v>무시</x:v>
      </x:c>
      <x:c r="B116" s="825" t="str">
        <x:v>미해결</x:v>
      </x:c>
      <x:c r="C116" s="825" t="str">
        <x:v>연구실-1 / 냉동-1 / 온실-1 / Hull 변화 없음</x:v>
      </x:c>
      <x:c r="D116" s="825" t="str">
        <x:v>사건 지속, 다음 Tick 18:00</x:v>
      </x:c>
      <x:c r="E116" s="825" t="str">
        <x:v>배 전체가 아니라 '지켜야 할 자산'을 깎음</x:v>
      </x:c>
      <x:c r="F116" s="825"/>
      <x:c r="G116" s="825"/>
      <x:c r="H116" s="825"/>
      <x:c r="I116" s="825"/>
      <x:c r="J116" s="825"/>
      <x:c r="K116" s="825"/>
      <x:c r="L116" s="825"/>
      <x:c r="M116" s="825"/>
      <x:c r="N116" s="825"/>
    </x:row>
    <x:row r="117" ht="36" hidden="0" customHeight="1">
      <x:c r="A117" s="825" t="str">
        <x:v>기본 4h</x:v>
      </x:c>
      <x:c r="B117" s="825" t="str">
        <x:v>14:00</x:v>
      </x:c>
      <x:c r="C117" s="825" t="str">
        <x:v>없음</x:v>
      </x:c>
      <x:c r="D117" s="825" t="str">
        <x:v>사건 해결, 4h 동안 연구 구역 사용 중지</x:v>
      </x:c>
      <x:c r="E117" s="825" t="str">
        <x:v>누구나 피해 없이 막을 수 있지만 하루를 크게 사용</x:v>
      </x:c>
      <x:c r="F117" s="825"/>
      <x:c r="G117" s="825"/>
      <x:c r="H117" s="825"/>
      <x:c r="I117" s="825"/>
      <x:c r="J117" s="825"/>
      <x:c r="K117" s="825"/>
      <x:c r="L117" s="825"/>
      <x:c r="M117" s="825"/>
      <x:c r="N117" s="825"/>
    </x:row>
    <x:row r="118" ht="15" hidden="0" customHeight="1">
      <x:c r="A118" s="825" t="str">
        <x:v>기술7</x:v>
      </x:c>
      <x:c r="B118" s="825" t="str">
        <x:v>12:00</x:v>
      </x:c>
      <x:c r="C118" s="825" t="str">
        <x:v>없음</x:v>
      </x:c>
      <x:c r="D118" s="825" t="str">
        <x:v>사건 해결</x:v>
      </x:c>
      <x:c r="E118" s="825" t="str">
        <x:v>기술 성장으로 2h 절약</x:v>
      </x:c>
      <x:c r="F118" s="825"/>
      <x:c r="G118" s="825"/>
      <x:c r="H118" s="825"/>
      <x:c r="I118" s="825"/>
      <x:c r="J118" s="825"/>
      <x:c r="K118" s="825"/>
      <x:c r="L118" s="825"/>
      <x:c r="M118" s="825"/>
      <x:c r="N118" s="825"/>
    </x:row>
    <x:row r="119" ht="36" hidden="0" customHeight="1">
      <x:c r="A119" s="825" t="str">
        <x:v>강인함7</x:v>
      </x:c>
      <x:c r="B119" s="825" t="str">
        <x:v>12:00</x:v>
      </x:c>
      <x:c r="C119" s="825" t="str">
        <x:v>없음</x:v>
      </x:c>
      <x:c r="D119" s="825" t="str">
        <x:v>사건 해결</x:v>
      </x:c>
      <x:c r="E119" s="825" t="str">
        <x:v>극한 구역을 직접 통과하는 다른 빌드의 해법</x:v>
      </x:c>
      <x:c r="F119" s="825"/>
      <x:c r="G119" s="825"/>
      <x:c r="H119" s="825"/>
      <x:c r="I119" s="825"/>
      <x:c r="J119" s="825"/>
      <x:c r="K119" s="825"/>
      <x:c r="L119" s="825"/>
      <x:c r="M119" s="825"/>
      <x:c r="N119" s="825"/>
    </x:row>
    <x:row r="120" ht="30" hidden="0" customHeight="1">
      <x:c r="A120" s="839" t="str">
        <x:v>기술6 + 의지3</x:v>
      </x:c>
      <x:c r="B120" s="839" t="str">
        <x:v>11:00</x:v>
      </x:c>
      <x:c r="C120" s="839" t="str">
        <x:v>없음</x:v>
      </x:c>
      <x:c r="D120" s="839" t="str">
        <x:v>사건 해결 / Will 3 소모</x:v>
      </x:c>
      <x:c r="E120" s="839" t="str">
        <x:v>오늘의 시간을 지키는 대신 다음 선택의 여유를 소모</x:v>
      </x:c>
      <x:c r="F120" s="839"/>
      <x:c r="G120" s="839"/>
      <x:c r="H120" s="839"/>
      <x:c r="I120" s="839"/>
      <x:c r="J120" s="839"/>
      <x:c r="K120" s="839"/>
      <x:c r="L120" s="839"/>
      <x:c r="M120" s="839"/>
      <x:c r="N120" s="839"/>
    </x:row>
    <x:row r="121" ht="15" hidden="0" customHeight="1">
      <x:c r="A121" s="825" t="str">
        <x:v>페이가 현장</x:v>
      </x:c>
      <x:c r="B121" s="825" t="str">
        <x:v>12:00</x:v>
      </x:c>
      <x:c r="C121" s="825" t="str">
        <x:v>없음</x:v>
      </x:c>
      <x:c r="D121" s="825" t="str">
        <x:v>사건 해결 / 제이는 자유</x:v>
      </x:c>
      <x:c r="E121" s="825" t="str">
        <x:v>NPC 배치 투자 보상</x:v>
      </x:c>
      <x:c r="F121" s="825"/>
      <x:c r="G121" s="825"/>
      <x:c r="H121" s="825"/>
      <x:c r="I121" s="825"/>
      <x:c r="J121" s="825"/>
      <x:c r="K121" s="825"/>
      <x:c r="L121" s="825"/>
      <x:c r="M121" s="825"/>
      <x:c r="N121" s="825"/>
    </x:row>
    <x:row r="122" ht="15" hidden="0" customHeight="1">
      <x:c r="A122" s="825"/>
      <x:c r="B122" s="825"/>
      <x:c r="C122" s="825"/>
      <x:c r="D122" s="825"/>
      <x:c r="E122" s="825"/>
      <x:c r="F122" s="825"/>
      <x:c r="G122" s="825"/>
      <x:c r="H122" s="825"/>
      <x:c r="I122" s="825"/>
      <x:c r="J122" s="825"/>
      <x:c r="K122" s="825"/>
      <x:c r="L122" s="825"/>
      <x:c r="M122" s="825"/>
      <x:c r="N122" s="825"/>
    </x:row>
    <x:row r="123" ht="15" hidden="0" customHeight="1">
      <x:c r="A123" s="825"/>
      <x:c r="B123" s="825"/>
      <x:c r="C123" s="825"/>
      <x:c r="D123" s="825"/>
      <x:c r="E123" s="825"/>
      <x:c r="F123" s="825"/>
      <x:c r="G123" s="825"/>
      <x:c r="H123" s="825"/>
      <x:c r="I123" s="825"/>
      <x:c r="J123" s="825"/>
      <x:c r="K123" s="825"/>
      <x:c r="L123" s="825"/>
      <x:c r="M123" s="825"/>
      <x:c r="N123" s="825"/>
    </x:row>
    <x:row r="124" ht="15" hidden="0" customHeight="1">
      <x:c r="A124" s="837" t="str">
        <x:v>16. Living Panic — 사건 정의</x:v>
      </x:c>
      <x:c r="B124" s="837"/>
      <x:c r="C124" s="837"/>
      <x:c r="D124" s="837"/>
      <x:c r="E124" s="837"/>
      <x:c r="F124" s="837"/>
      <x:c r="G124" s="837"/>
      <x:c r="H124" s="837"/>
      <x:c r="I124" s="837" t="str">
        <x:v>세 Emergency 역할 비교</x:v>
      </x:c>
      <x:c r="J124" s="837"/>
      <x:c r="K124" s="837"/>
      <x:c r="L124" s="837"/>
      <x:c r="M124" s="837"/>
      <x:c r="N124" s="837"/>
    </x:row>
    <x:row r="125" ht="30" hidden="0" customHeight="1">
      <x:c r="A125" s="849" t="str">
        <x:v>항목</x:v>
      </x:c>
      <x:c r="B125" s="849" t="str">
        <x:v>규칙</x:v>
      </x:c>
      <x:c r="C125" s="849" t="str">
        <x:v>설계 의도</x:v>
      </x:c>
      <x:c r="D125" s="849" t="str">
        <x:v>상태</x:v>
      </x:c>
      <x:c r="E125" s="849"/>
      <x:c r="F125" s="849"/>
      <x:c r="G125" s="849"/>
      <x:c r="H125" s="849"/>
      <x:c r="I125" s="849" t="str">
        <x:v>항목</x:v>
      </x:c>
      <x:c r="J125" s="849" t="str">
        <x:v>Breach</x:v>
      </x:c>
      <x:c r="K125" s="849" t="str">
        <x:v>Oxygen</x:v>
      </x:c>
      <x:c r="L125" s="849" t="str">
        <x:v>Living Panic</x:v>
      </x:c>
      <x:c r="M125" s="849"/>
      <x:c r="N125" s="849"/>
    </x:row>
    <x:row r="126" ht="48" hidden="0" customHeight="1">
      <x:c r="A126" s="825" t="str">
        <x:v>Trigger</x:v>
      </x:c>
      <x:c r="B126" s="825" t="str">
        <x:v>W3에서 거주구역 Integrity가 3 이상 → 2 이하로 내려가는 순간 Panic 시작</x:v>
      </x:c>
      <x:c r="C126" s="825" t="str">
        <x:v>숫자 2가 단순 디버프가 아니라 공동체 위기로 바뀜</x:v>
      </x:c>
      <x:c r="D126" s="825" t="str">
        <x:v>TEMP 추천</x:v>
      </x:c>
      <x:c r="E126" s="825"/>
      <x:c r="F126" s="825"/>
      <x:c r="G126" s="825"/>
      <x:c r="H126" s="825"/>
      <x:c r="I126" s="825" t="str">
        <x:v>핵심 위협</x:v>
      </x:c>
      <x:c r="J126" s="825" t="str">
        <x:v>구조</x:v>
      </x:c>
      <x:c r="K126" s="825" t="str">
        <x:v>생명유지</x:v>
      </x:c>
      <x:c r="L126" s="825" t="str">
        <x:v>공동체 질서</x:v>
      </x:c>
      <x:c r="M126" s="825"/>
      <x:c r="N126" s="825"/>
    </x:row>
    <x:row r="127" ht="24" hidden="0" customHeight="1">
      <x:c r="A127" s="825" t="str">
        <x:v>Living 0</x:v>
      </x:c>
      <x:c r="B127" s="825" t="str">
        <x:v>즉시 공동체 대량 사망 Bad Ending</x:v>
      </x:c>
      <x:c r="C127" s="825" t="str">
        <x:v>Panic보다 상위의 치명 실패</x:v>
      </x:c>
      <x:c r="D127" s="825" t="str">
        <x:v>기존 확정방향</x:v>
      </x:c>
      <x:c r="E127" s="825"/>
      <x:c r="F127" s="825"/>
      <x:c r="G127" s="825"/>
      <x:c r="H127" s="825"/>
      <x:c r="I127" s="825" t="str">
        <x:v>Tick</x:v>
      </x:c>
      <x:c r="J127" s="825" t="str">
        <x:v>4h</x:v>
      </x:c>
      <x:c r="K127" s="825" t="str">
        <x:v>4h</x:v>
      </x:c>
      <x:c r="L127" s="825" t="str">
        <x:v>2h</x:v>
      </x:c>
      <x:c r="M127" s="825"/>
      <x:c r="N127" s="825"/>
    </x:row>
    <x:row r="128" ht="24" hidden="0" customHeight="1">
      <x:c r="A128" s="825" t="str">
        <x:v>Panic 중첩</x:v>
      </x:c>
      <x:c r="B128" s="825" t="str">
        <x:v>동시에 Living Panic은 1개만 존재</x:v>
      </x:c>
      <x:c r="C128" s="825" t="str">
        <x:v>중복 Tick 난사 방지</x:v>
      </x:c>
      <x:c r="D128" s="825" t="str">
        <x:v>TEMP 추천</x:v>
      </x:c>
      <x:c r="E128" s="825"/>
      <x:c r="F128" s="825"/>
      <x:c r="G128" s="825"/>
      <x:c r="H128" s="825"/>
      <x:c r="I128" s="825" t="str">
        <x:v>Hull</x:v>
      </x:c>
      <x:c r="J128" s="825" t="str">
        <x:v>-1</x:v>
      </x:c>
      <x:c r="K128" s="825" t="str">
        <x:v>0</x:v>
      </x:c>
      <x:c r="L128" s="825" t="str">
        <x:v>0</x:v>
      </x:c>
      <x:c r="M128" s="825"/>
      <x:c r="N128" s="825"/>
    </x:row>
    <x:row r="129" ht="72" hidden="0" customHeight="1">
      <x:c r="A129" s="825" t="str">
        <x:v>재발</x:v>
      </x:c>
      <x:c r="B129" s="825" t="str">
        <x:v>Panic 해결 후 거주구역이 계속 &lt;=2인 동안에는 재발하지 않음. 거주구역을 &gt;=3으로 복구한 뒤 다시 &lt;=2로 떨어질 때 재발</x:v>
      </x:c>
      <x:c r="C129" s="825" t="str">
        <x:v>진정 버튼 반복 파밍/스팸 방지 + 수리의 의미 부여</x:v>
      </x:c>
      <x:c r="D129" s="825" t="str">
        <x:v>TEMP 추천</x:v>
      </x:c>
      <x:c r="E129" s="825"/>
      <x:c r="F129" s="825"/>
      <x:c r="G129" s="825"/>
      <x:c r="H129" s="825"/>
      <x:c r="I129" s="825" t="str">
        <x:v>주력 스탯</x:v>
      </x:c>
      <x:c r="J129" s="825" t="str">
        <x:v>기술</x:v>
      </x:c>
      <x:c r="K129" s="825" t="str">
        <x:v>기술/강인함</x:v>
      </x:c>
      <x:c r="L129" s="825" t="str">
        <x:v>교감</x:v>
      </x:c>
      <x:c r="M129" s="825"/>
      <x:c r="N129" s="825"/>
    </x:row>
    <x:row r="130" ht="24" hidden="0" customHeight="1">
      <x:c r="A130" s="825" t="str">
        <x:v>첫 군중 손상</x:v>
      </x:c>
      <x:c r="B130" s="825" t="str">
        <x:v>Panic 발생 2h 후</x:v>
      </x:c>
      <x:c r="C130" s="825" t="str">
        <x:v>Breach/Oxygen보다 빠른 사회적 위기 리듬</x:v>
      </x:c>
      <x:c r="D130" s="825" t="str">
        <x:v>기존 방향 정교화</x:v>
      </x:c>
      <x:c r="E130" s="825"/>
      <x:c r="F130" s="825"/>
      <x:c r="G130" s="825"/>
      <x:c r="H130" s="825"/>
      <x:c r="I130" s="825" t="str">
        <x:v>보조 스탯</x:v>
      </x:c>
      <x:c r="J130" s="825" t="str">
        <x:v>—</x:v>
      </x:c>
      <x:c r="K130" s="825" t="str">
        <x:v>강인함</x:v>
      </x:c>
      <x:c r="L130" s="825" t="str">
        <x:v>강인함(해결X, 지연)</x:v>
      </x:c>
      <x:c r="M130" s="825"/>
      <x:c r="N130" s="825"/>
    </x:row>
    <x:row r="131" ht="36" hidden="0" customHeight="1">
      <x:c r="A131" s="825" t="str">
        <x:v>반복</x:v>
      </x:c>
      <x:c r="B131" s="825" t="str">
        <x:v>미해결 동안 2h마다 다음 Target에 군중 손상 -1</x:v>
      </x:c>
      <x:c r="C131" s="825" t="str">
        <x:v>시간 압박을 강하게 만듦</x:v>
      </x:c>
      <x:c r="D131" s="825" t="str">
        <x:v>기존 방향</x:v>
      </x:c>
      <x:c r="E131" s="825"/>
      <x:c r="F131" s="825"/>
      <x:c r="G131" s="825"/>
      <x:c r="H131" s="825"/>
      <x:c r="I131" s="825" t="str">
        <x:v>기본 해결</x:v>
      </x:c>
      <x:c r="J131" s="825" t="str">
        <x:v>4h</x:v>
      </x:c>
      <x:c r="K131" s="825" t="str">
        <x:v>4h</x:v>
      </x:c>
      <x:c r="L131" s="825" t="str">
        <x:v>4h</x:v>
      </x:c>
      <x:c r="M131" s="825"/>
      <x:c r="N131" s="825"/>
    </x:row>
    <x:row r="132" ht="15" hidden="0" customHeight="1">
      <x:c r="A132" s="825"/>
      <x:c r="B132" s="825"/>
      <x:c r="C132" s="825"/>
      <x:c r="D132" s="825"/>
      <x:c r="E132" s="825"/>
      <x:c r="F132" s="825"/>
      <x:c r="G132" s="825"/>
      <x:c r="H132" s="825"/>
      <x:c r="I132" s="825" t="str">
        <x:v>전문화</x:v>
      </x:c>
      <x:c r="J132" s="825" t="str">
        <x:v>기술7=2h</x:v>
      </x:c>
      <x:c r="K132" s="825" t="str">
        <x:v>기술7/강인함7=2h</x:v>
      </x:c>
      <x:c r="L132" s="825" t="str">
        <x:v>교감7=2h</x:v>
      </x:c>
      <x:c r="M132" s="825"/>
      <x:c r="N132" s="825"/>
    </x:row>
    <x:row r="133" ht="30" hidden="0" customHeight="1">
      <x:c r="A133" s="839" t="str">
        <x:v>17. 군중 이동 / Target 선택 — '예고형'</x:v>
      </x:c>
      <x:c r="B133" s="839"/>
      <x:c r="C133" s="839"/>
      <x:c r="D133" s="839"/>
      <x:c r="E133" s="839"/>
      <x:c r="F133" s="839"/>
      <x:c r="G133" s="839"/>
      <x:c r="H133" s="839"/>
      <x:c r="I133" s="839" t="str">
        <x:v>한계돌파</x:v>
      </x:c>
      <x:c r="J133" s="839" t="str">
        <x:v>기술9+Will=1h</x:v>
      </x:c>
      <x:c r="K133" s="839" t="str">
        <x:v>기술9+Will=1h</x:v>
      </x:c>
      <x:c r="L133" s="839" t="str">
        <x:v>교감9+Will=1h</x:v>
      </x:c>
      <x:c r="M133" s="839"/>
      <x:c r="N133" s="839"/>
    </x:row>
    <x:row r="134" ht="30" hidden="0" customHeight="1">
      <x:c r="A134" s="849" t="str">
        <x:v>단계</x:v>
      </x:c>
      <x:c r="B134" s="849" t="str">
        <x:v>규칙</x:v>
      </x:c>
      <x:c r="C134" s="849" t="str">
        <x:v>플레이어 정보</x:v>
      </x:c>
      <x:c r="D134" s="849" t="str">
        <x:v>상태</x:v>
      </x:c>
      <x:c r="E134" s="849"/>
      <x:c r="F134" s="849"/>
      <x:c r="G134" s="849"/>
      <x:c r="H134" s="849"/>
      <x:c r="I134" s="849" t="str">
        <x:v>순수 의지</x:v>
      </x:c>
      <x:c r="J134" s="849" t="str">
        <x:v>NPC 희생 중단</x:v>
      </x:c>
      <x:c r="K134" s="849" t="str">
        <x:v>고립 NPC 구조</x:v>
      </x:c>
      <x:c r="L134" s="849" t="str">
        <x:v>책임을 떠안는 Narrative 해결(조건부)</x:v>
      </x:c>
      <x:c r="M134" s="849"/>
      <x:c r="N134" s="849"/>
    </x:row>
    <x:row r="135" ht="60" hidden="0" customHeight="1">
      <x:c r="A135" s="825" t="str">
        <x:v>Target 선정</x:v>
      </x:c>
      <x:c r="B135" s="825" t="str">
        <x:v>Panic 시작 시 현재 열려 있는 함교/엔지니어/연구 구역 중 1곳을 PanicTarget으로 선택</x:v>
      </x:c>
      <x:c r="C135" s="825" t="str">
        <x:v>'사람들이 엔지니어 구역으로 몰려가고 있다 — 2h' 표시</x:v>
      </x:c>
      <x:c r="D135" s="825" t="str">
        <x:v>TEMP 추천</x:v>
      </x:c>
      <x:c r="E135" s="825"/>
      <x:c r="F135" s="825"/>
      <x:c r="G135" s="825"/>
      <x:c r="H135" s="825"/>
      <x:c r="I135" s="825" t="str">
        <x:v>연쇄</x:v>
      </x:c>
      <x:c r="J135" s="825" t="str">
        <x:v>폐쇄/Hull0</x:v>
      </x:c>
      <x:c r="K135" s="825" t="str">
        <x:v>Panic/기능상실</x:v>
      </x:c>
      <x:c r="L135" s="825" t="str">
        <x:v>타 시설 Integrity 손상</x:v>
      </x:c>
      <x:c r="M135" s="825"/>
      <x:c r="N135" s="825"/>
    </x:row>
    <x:row r="136" ht="30" hidden="0" customHeight="1">
      <x:c r="A136" s="839" t="str">
        <x:v>선정 방식</x:v>
      </x:c>
      <x:c r="B136" s="839" t="str">
        <x:v>정확한 RNG/가중치는 이후 W3 발생 규칙에서 결정. 단, Target은 Tick 전에 반드시 공개</x:v>
      </x:c>
      <x:c r="C136" s="839" t="str">
        <x:v>결과를 미리 보고 대응 가능</x:v>
      </x:c>
      <x:c r="D136" s="839" t="str">
        <x:v>확정방향</x:v>
      </x:c>
      <x:c r="E136" s="839"/>
      <x:c r="F136" s="839"/>
      <x:c r="G136" s="839"/>
      <x:c r="H136" s="839"/>
      <x:c r="I136" s="839"/>
      <x:c r="J136" s="839"/>
      <x:c r="K136" s="839"/>
      <x:c r="L136" s="839"/>
      <x:c r="M136" s="839"/>
      <x:c r="N136" s="839"/>
    </x:row>
    <x:row r="137" ht="30" hidden="0" customHeight="1">
      <x:c r="A137" s="839" t="str">
        <x:v>첫 Tick</x:v>
      </x:c>
      <x:c r="B137" s="839" t="str">
        <x:v>2h 후 Panic 미해결이면 해당 Target의 '대표 시설' -1</x:v>
      </x:c>
      <x:c r="C137" s="839" t="str">
        <x:v>손상 결과와 다음 Target을 동시에 표시</x:v>
      </x:c>
      <x:c r="D137" s="839" t="str">
        <x:v>TEMP 추천</x:v>
      </x:c>
      <x:c r="E137" s="839"/>
      <x:c r="F137" s="839"/>
      <x:c r="G137" s="839"/>
      <x:c r="H137" s="839"/>
      <x:c r="I137" s="839" t="str">
        <x:v>Panic 선택 가능성 빠른 검증</x:v>
      </x:c>
      <x:c r="J137" s="839"/>
      <x:c r="K137" s="839"/>
      <x:c r="L137" s="839"/>
      <x:c r="M137" s="839"/>
      <x:c r="N137" s="839"/>
    </x:row>
    <x:row r="138" ht="30" hidden="0" customHeight="1">
      <x:c r="A138" s="839" t="str">
        <x:v>대표 시설</x:v>
      </x:c>
      <x:c r="B138" s="839" t="str">
        <x:v>함교→함교 / 엔지니어→산소보급실 / 연구→연구실</x:v>
      </x:c>
      <x:c r="C138" s="839" t="str">
        <x:v>군중 과밀·충돌·임시 대피로 직접 손상되기 쉬운 기능을 단순화</x:v>
      </x:c>
      <x:c r="D138" s="839" t="str">
        <x:v>TEMP 추천</x:v>
      </x:c>
      <x:c r="E138" s="839"/>
      <x:c r="F138" s="839"/>
      <x:c r="G138" s="839"/>
      <x:c r="H138" s="839"/>
      <x:c r="I138" s="839" t="str">
        <x:v>입력/결과</x:v>
      </x:c>
      <x:c r="J138" s="839" t="str">
        <x:v>값</x:v>
      </x:c>
      <x:c r="K138" s="839"/>
      <x:c r="L138" s="839"/>
      <x:c r="M138" s="839"/>
      <x:c r="N138" s="839"/>
    </x:row>
    <x:row r="139" ht="36" hidden="0" customHeight="1">
      <x:c r="A139" s="825" t="str">
        <x:v>다음 Target</x:v>
      </x:c>
      <x:c r="B139" s="825" t="str">
        <x:v>각 Tick 직후 다음 2h Target을 새로 선정하고 즉시 예고</x:v>
      </x:c>
      <x:c r="C139" s="825" t="str">
        <x:v>랜덤이어도 플레이어에게는 예측 가능한 위기</x:v>
      </x:c>
      <x:c r="D139" s="825" t="str">
        <x:v>TEMP 추천</x:v>
      </x:c>
      <x:c r="E139" s="825"/>
      <x:c r="F139" s="825"/>
      <x:c r="G139" s="825"/>
      <x:c r="H139" s="825"/>
      <x:c r="I139" s="825" t="str">
        <x:v>현재 교감</x:v>
      </x:c>
      <x:c r="J139" s="825" t="n">
        <x:v>6</x:v>
      </x:c>
      <x:c r="K139" s="825"/>
      <x:c r="L139" s="825"/>
      <x:c r="M139" s="825"/>
      <x:c r="N139" s="825"/>
    </x:row>
    <x:row r="140" ht="36" hidden="0" customHeight="1">
      <x:c r="A140" s="825" t="str">
        <x:v>거주구역</x:v>
      </x:c>
      <x:c r="B140" s="825" t="str">
        <x:v>Panic 자체의 원인이므로 군중 손상 Target에서는 제외</x:v>
      </x:c>
      <x:c r="C140" s="825" t="str">
        <x:v>Living을 자체 Tick으로 0까지 자동 붕괴시키는 눈덩이 방지</x:v>
      </x:c>
      <x:c r="D140" s="825" t="str">
        <x:v>TEMP 추천</x:v>
      </x:c>
      <x:c r="E140" s="825"/>
      <x:c r="F140" s="825"/>
      <x:c r="G140" s="825"/>
      <x:c r="H140" s="825"/>
      <x:c r="I140" s="825" t="str">
        <x:v>현재 강인함</x:v>
      </x:c>
      <x:c r="J140" s="825" t="n">
        <x:v>7</x:v>
      </x:c>
      <x:c r="K140" s="825"/>
      <x:c r="L140" s="825"/>
      <x:c r="M140" s="825"/>
      <x:c r="N140" s="825"/>
    </x:row>
    <x:row r="141" ht="36" hidden="0" customHeight="1">
      <x:c r="A141" s="825" t="str">
        <x:v>폐쇄 구역</x:v>
      </x:c>
      <x:c r="B141" s="825" t="str">
        <x:v>Target 후보에서 제외</x:v>
      </x:c>
      <x:c r="C141" s="825" t="str">
        <x:v>갈 수 없는 곳으로 군중이 이동하는 모순 방지</x:v>
      </x:c>
      <x:c r="D141" s="825" t="str">
        <x:v>확정방향</x:v>
      </x:c>
      <x:c r="E141" s="825"/>
      <x:c r="F141" s="825"/>
      <x:c r="G141" s="825"/>
      <x:c r="H141" s="825"/>
      <x:c r="I141" s="825" t="str">
        <x:v>현재 의지</x:v>
      </x:c>
      <x:c r="J141" s="825" t="n">
        <x:v>3</x:v>
      </x:c>
      <x:c r="K141" s="825"/>
      <x:c r="L141" s="825"/>
      <x:c r="M141" s="825"/>
      <x:c r="N141" s="825"/>
    </x:row>
    <x:row r="142" ht="15" hidden="0" customHeight="1">
      <x:c r="A142" s="825" t="str">
        <x:v>Target을 완전 랜덤 즉시 피해로 만들지 않는 이유: Panic은 2시간 Tick이라 Breach/Oxygen보다 훨씬 빠르다. 따라서 '다음 손상 장소를 사전에 공개'해야 플레이어가 Character Quest를 포기하고 진정하러 갈지, 예고된 시설 -1을 감수하고 다른 일을 할지 실제 선택할 수 있다.</x:v>
      </x:c>
      <x:c r="B142" s="825"/>
      <x:c r="C142" s="825"/>
      <x:c r="D142" s="825"/>
      <x:c r="E142" s="825"/>
      <x:c r="F142" s="825"/>
      <x:c r="G142" s="825"/>
      <x:c r="H142" s="825"/>
      <x:c r="I142" s="825" t="str">
        <x:v>특수 요구</x:v>
      </x:c>
      <x:c r="J142" s="825" t="n">
        <x:v>9</x:v>
      </x:c>
      <x:c r="K142" s="825"/>
      <x:c r="L142" s="825"/>
      <x:c r="M142" s="825"/>
      <x:c r="N142" s="825"/>
    </x:row>
    <x:row r="143" ht="15" hidden="0" customHeight="1">
      <x:c r="A143" s="825"/>
      <x:c r="B143" s="825"/>
      <x:c r="C143" s="825"/>
      <x:c r="D143" s="825"/>
      <x:c r="E143" s="825"/>
      <x:c r="F143" s="825"/>
      <x:c r="G143" s="825"/>
      <x:c r="H143" s="825"/>
      <x:c r="I143" s="825" t="str">
        <x:v>필요 의지</x:v>
      </x:c>
      <x:c r="J143" s="825" t="n">
        <x:f>MAX(0,J142-J139)</x:f>
        <x:v>3</x:v>
      </x:c>
      <x:c r="K143" s="825"/>
      <x:c r="L143" s="825"/>
      <x:c r="M143" s="825"/>
      <x:c r="N143" s="825"/>
    </x:row>
    <x:row r="144" ht="15" hidden="0" customHeight="1">
      <x:c r="A144" s="825"/>
      <x:c r="B144" s="825"/>
      <x:c r="C144" s="825"/>
      <x:c r="D144" s="825"/>
      <x:c r="E144" s="825"/>
      <x:c r="F144" s="825"/>
      <x:c r="G144" s="825"/>
      <x:c r="H144" s="825"/>
      <x:c r="I144" s="825" t="str">
        <x:v>1h 교감 특수</x:v>
      </x:c>
      <x:c r="J144" s="825" t="str">
        <x:f>IF(J143&lt;=J141,"가능","불가")</x:f>
        <x:v>가능</x:v>
      </x:c>
      <x:c r="K144" s="825"/>
      <x:c r="L144" s="825"/>
      <x:c r="M144" s="825"/>
      <x:c r="N144" s="825"/>
    </x:row>
    <x:row r="145" ht="15" hidden="0" customHeight="1">
      <x:c r="A145" s="825"/>
      <x:c r="B145" s="825"/>
      <x:c r="C145" s="825"/>
      <x:c r="D145" s="825"/>
      <x:c r="E145" s="825"/>
      <x:c r="F145" s="825"/>
      <x:c r="G145" s="825"/>
      <x:c r="H145" s="825"/>
      <x:c r="I145" s="825"/>
      <x:c r="J145" s="825"/>
      <x:c r="K145" s="825"/>
      <x:c r="L145" s="825"/>
      <x:c r="M145" s="825"/>
      <x:c r="N145" s="825"/>
    </x:row>
    <x:row r="146" ht="15" hidden="0" customHeight="1">
      <x:c r="A146" s="837" t="str">
        <x:v>18. 제이 직접 대응 선택지</x:v>
      </x:c>
      <x:c r="B146" s="837"/>
      <x:c r="C146" s="837"/>
      <x:c r="D146" s="837"/>
      <x:c r="E146" s="837"/>
      <x:c r="F146" s="837"/>
      <x:c r="G146" s="837"/>
      <x:c r="H146" s="837"/>
      <x:c r="I146" s="837" t="str">
        <x:v>Living Panic 남은 TBD</x:v>
      </x:c>
      <x:c r="J146" s="837"/>
      <x:c r="K146" s="837"/>
      <x:c r="L146" s="837"/>
      <x:c r="M146" s="837"/>
      <x:c r="N146" s="837"/>
    </x:row>
    <x:row r="147" ht="30" hidden="0" customHeight="1">
      <x:c r="A147" s="849" t="str">
        <x:v>선택지</x:v>
      </x:c>
      <x:c r="B147" s="849" t="str">
        <x:v>시간</x:v>
      </x:c>
      <x:c r="C147" s="849" t="str">
        <x:v>조건</x:v>
      </x:c>
      <x:c r="D147" s="849" t="str">
        <x:v>의지</x:v>
      </x:c>
      <x:c r="E147" s="849" t="str">
        <x:v>결과</x:v>
      </x:c>
      <x:c r="F147" s="849" t="str">
        <x:v>질문</x:v>
      </x:c>
      <x:c r="G147" s="849" t="str">
        <x:v>난이도</x:v>
      </x:c>
      <x:c r="H147" s="849" t="str">
        <x:v>상태</x:v>
      </x:c>
      <x:c r="I147" s="849" t="str">
        <x:v>항목</x:v>
      </x:c>
      <x:c r="J147" s="849" t="str">
        <x:v>현재 방향</x:v>
      </x:c>
      <x:c r="K147" s="849" t="str">
        <x:v>우선순위</x:v>
      </x:c>
      <x:c r="L147" s="849"/>
      <x:c r="M147" s="849"/>
      <x:c r="N147" s="849"/>
    </x:row>
    <x:row r="148" ht="48" hidden="0" customHeight="1">
      <x:c r="A148" s="825" t="str">
        <x:v>사람들을 한 명씩 진정시키고 동선을 정리한다</x:v>
      </x:c>
      <x:c r="B148" s="825" t="n">
        <x:v>4</x:v>
      </x:c>
      <x:c r="C148" s="825" t="str">
        <x:v>없음</x:v>
      </x:c>
      <x:c r="D148" s="825" t="n">
        <x:v>0</x:v>
      </x:c>
      <x:c r="E148" s="825" t="str">
        <x:v>Panic 해결</x:v>
      </x:c>
      <x:c r="F148" s="825" t="str">
        <x:v>시간을 써서 공동체를 직접 수습할 것인가</x:v>
      </x:c>
      <x:c r="G148" s="825" t="str">
        <x:v>모든 빌드 안전망</x:v>
      </x:c>
      <x:c r="H148" s="825" t="str">
        <x:v>TEMP 추천</x:v>
      </x:c>
      <x:c r="I148" s="825" t="str">
        <x:v>Target 선정 가중치</x:v>
      </x:c>
      <x:c r="J148" s="825" t="str">
        <x:v>다음 Target은 반드시 예고. 실제 선정은 RNG/가중/저자 지정 중 미정.</x:v>
      </x:c>
      <x:c r="K148" s="825" t="str">
        <x:v>중간</x:v>
      </x:c>
      <x:c r="L148" s="825"/>
      <x:c r="M148" s="825"/>
      <x:c r="N148" s="825"/>
    </x:row>
    <x:row r="149" ht="36" hidden="0" customHeight="1">
      <x:c r="A149" s="825" t="str">
        <x:v>[교감 7] 사람들을 모아 상황을 설명하고 진정시킨다</x:v>
      </x:c>
      <x:c r="B149" s="825" t="n">
        <x:v>2</x:v>
      </x:c>
      <x:c r="C149" s="825" t="str">
        <x:v>교감 &gt;=7</x:v>
      </x:c>
      <x:c r="D149" s="825" t="n">
        <x:v>0</x:v>
      </x:c>
      <x:c r="E149" s="825" t="str">
        <x:v>Panic 해결</x:v>
      </x:c>
      <x:c r="F149" s="825" t="str">
        <x:v>사람을 이해하고 설득하는 능력을 키웠는가</x:v>
      </x:c>
      <x:c r="G149" s="825" t="str">
        <x:v>D15~17 일반 최고</x:v>
      </x:c>
      <x:c r="H149" s="825" t="str">
        <x:v>TEMP 추천</x:v>
      </x:c>
      <x:c r="I149" s="825" t="str">
        <x:v>샘 Panic 해결</x:v>
      </x:c>
      <x:c r="J149" s="825" t="str">
        <x:v>함교 상태에 따라 효율 변화. 정확 조건/대사 필요.</x:v>
      </x:c>
      <x:c r="K149" s="825" t="str">
        <x:v>중간</x:v>
      </x:c>
      <x:c r="L149" s="825"/>
      <x:c r="M149" s="825"/>
      <x:c r="N149" s="825"/>
    </x:row>
    <x:row r="150" ht="36" hidden="0" customHeight="1">
      <x:c r="A150" s="825" t="str">
        <x:v>[교감 9 / 의지 보완 가능] 지금 당장 모두를 멈춰 세운다</x:v>
      </x:c>
      <x:c r="B150" s="825" t="n">
        <x:v>1</x:v>
      </x:c>
      <x:c r="C150" s="825" t="str">
        <x:v>교감 + 사용 의지 &gt;=9</x:v>
      </x:c>
      <x:c r="D150" s="825" t="str">
        <x:v>부족분 1:1</x:v>
      </x:c>
      <x:c r="E150" s="825" t="str">
        <x:v>Panic 해결</x:v>
      </x:c>
      <x:c r="F150" s="825" t="str">
        <x:v>관계 능력 + 한계 돌파로 시간을 살 것인가</x:v>
      </x:c>
      <x:c r="G150" s="825" t="str">
        <x:v>W3 특수 체크</x:v>
      </x:c>
      <x:c r="H150" s="825" t="str">
        <x:v>TEMP 추천</x:v>
      </x:c>
      <x:c r="I150" s="825" t="str">
        <x:v>Panic 재발</x:v>
      </x:c>
      <x:c r="J150" s="825" t="str">
        <x:v>3 이상 복구 후 다시 2 이하 하락할 때만 재발 — TEMP 추천</x:v>
      </x:c>
      <x:c r="K150" s="825" t="str">
        <x:v>높음</x:v>
      </x:c>
      <x:c r="L150" s="825"/>
      <x:c r="M150" s="825"/>
      <x:c r="N150" s="825"/>
    </x:row>
    <x:row r="151" ht="36" hidden="0" customHeight="1">
      <x:c r="A151" s="825" t="str">
        <x:v>[강인함 7] 혼란 한가운데서 직접 통로를 확보한다</x:v>
      </x:c>
      <x:c r="B151" s="825" t="n">
        <x:v>2</x:v>
      </x:c>
      <x:c r="C151" s="825" t="str">
        <x:v>강인함 &gt;=7</x:v>
      </x:c>
      <x:c r="D151" s="825" t="n">
        <x:v>0</x:v>
      </x:c>
      <x:c r="E151" s="825" t="str">
        <x:v>다음 Panic Tick 1회 무효화, Panic은 지속</x:v>
      </x:c>
      <x:c r="F151" s="825" t="str">
        <x:v>Panic을 해결하진 못해도 몸으로 시간을 벌 수 있는가</x:v>
      </x:c>
      <x:c r="G151" s="825" t="str">
        <x:v>대체 방어</x:v>
      </x:c>
      <x:c r="H151" s="825" t="str">
        <x:v>TEMP 추천</x:v>
      </x:c>
      <x:c r="I151" s="825" t="str">
        <x:v>순수 의지 해결</x:v>
      </x:c>
      <x:c r="J151" s="825" t="str">
        <x:v>제이 책임 맥락이 있는 authored 사건에서만 [의지2] 전면 해결 허용</x:v>
      </x:c>
      <x:c r="K151" s="825" t="str">
        <x:v>중간</x:v>
      </x:c>
      <x:c r="L151" s="825"/>
      <x:c r="M151" s="825"/>
      <x:c r="N151" s="825"/>
    </x:row>
    <x:row r="152" ht="30" hidden="0" customHeight="1">
      <x:c r="A152" s="839" t="str">
        <x:v>[의지 2] 내 책임이라고 인정하고 군중 앞에 선다</x:v>
      </x:c>
      <x:c r="B152" s="839" t="n">
        <x:v>1</x:v>
      </x:c>
      <x:c r="C152" s="839" t="str">
        <x:v>특정 Character/공동체 결과로 Panic에 제이 책임 맥락이 있을 때</x:v>
      </x:c>
      <x:c r="D152" s="839" t="n">
        <x:v>2</x:v>
      </x:c>
      <x:c r="E152" s="839" t="str">
        <x:v>Panic 해결 + 별도 Narrative 결과</x:v>
      </x:c>
      <x:c r="F152" s="839" t="str">
        <x:v>능력이 아니라 책임을 떠안을 것인가</x:v>
      </x:c>
      <x:c r="G152" s="839" t="str">
        <x:v>순수 의지 / 희소</x:v>
      </x:c>
      <x:c r="H152" s="839" t="str">
        <x:v>조건부 문법</x:v>
      </x:c>
      <x:c r="I152" s="839"/>
      <x:c r="J152" s="839"/>
      <x:c r="K152" s="839"/>
      <x:c r="L152" s="839"/>
      <x:c r="M152" s="839"/>
      <x:c r="N152" s="839"/>
    </x:row>
    <x:row r="153" ht="15" hidden="0" customHeight="1">
      <x:c r="A153" s="825" t="str">
        <x:v>강인함 대체 해법은 Panic 자체를 '설득해서 해결'하지 않는다. 통로를 확보하고 쓰러진 사람을 일으키며 군중의 충돌을 막아 **다음 2h 시설 피해 1회만 무효화**한다. 그래서 교감은 문제 해결, 강인함은 위기 속 시간 벌기라는 역할 차이가 유지된다.</x:v>
      </x:c>
      <x:c r="B153" s="825"/>
      <x:c r="C153" s="825"/>
      <x:c r="D153" s="825"/>
      <x:c r="E153" s="825"/>
      <x:c r="F153" s="825"/>
      <x:c r="G153" s="825"/>
      <x:c r="H153" s="825"/>
      <x:c r="I153" s="825"/>
      <x:c r="J153" s="825"/>
      <x:c r="K153" s="825"/>
      <x:c r="L153" s="825"/>
      <x:c r="M153" s="825"/>
      <x:c r="N153" s="825"/>
    </x:row>
    <x:row r="154" ht="15" hidden="0" customHeight="1">
      <x:c r="A154" s="825"/>
      <x:c r="B154" s="825"/>
      <x:c r="C154" s="825"/>
      <x:c r="D154" s="825"/>
      <x:c r="E154" s="825"/>
      <x:c r="F154" s="825"/>
      <x:c r="G154" s="825"/>
      <x:c r="H154" s="825"/>
      <x:c r="I154" s="825"/>
      <x:c r="J154" s="825"/>
      <x:c r="K154" s="825"/>
      <x:c r="L154" s="825"/>
      <x:c r="M154" s="825"/>
      <x:c r="N154" s="825"/>
    </x:row>
    <x:row r="155" ht="15" hidden="0" customHeight="1">
      <x:c r="A155" s="825"/>
      <x:c r="B155" s="825"/>
      <x:c r="C155" s="825"/>
      <x:c r="D155" s="825"/>
      <x:c r="E155" s="825"/>
      <x:c r="F155" s="825"/>
      <x:c r="G155" s="825"/>
      <x:c r="H155" s="825"/>
      <x:c r="I155" s="825"/>
      <x:c r="J155" s="825"/>
      <x:c r="K155" s="825"/>
      <x:c r="L155" s="825"/>
      <x:c r="M155" s="825"/>
      <x:c r="N155" s="825"/>
    </x:row>
    <x:row r="156" ht="15" hidden="0" customHeight="1">
      <x:c r="A156" s="825"/>
      <x:c r="B156" s="825"/>
      <x:c r="C156" s="825"/>
      <x:c r="D156" s="825"/>
      <x:c r="E156" s="825"/>
      <x:c r="F156" s="825"/>
      <x:c r="G156" s="825"/>
      <x:c r="H156" s="825"/>
      <x:c r="I156" s="825"/>
      <x:c r="J156" s="825"/>
      <x:c r="K156" s="825"/>
      <x:c r="L156" s="825"/>
      <x:c r="M156" s="825"/>
      <x:c r="N156" s="825"/>
    </x:row>
    <x:row r="157" ht="26" hidden="0" customHeight="1">
      <x:c r="A157" s="852" t="str">
        <x:v>19. NPC 대응 — 사람을 다루는 캐릭터의 차별화</x:v>
      </x:c>
      <x:c r="B157" s="852"/>
      <x:c r="C157" s="852"/>
      <x:c r="D157" s="852"/>
      <x:c r="E157" s="852"/>
      <x:c r="F157" s="852"/>
      <x:c r="G157" s="852"/>
      <x:c r="H157" s="852"/>
      <x:c r="I157" s="852"/>
      <x:c r="J157" s="852"/>
      <x:c r="K157" s="852"/>
      <x:c r="L157" s="852"/>
      <x:c r="M157" s="852"/>
      <x:c r="N157" s="852"/>
    </x:row>
    <x:row r="158" ht="30" hidden="0" customHeight="1">
      <x:c r="A158" s="849" t="str">
        <x:v>NPC/상황</x:v>
      </x:c>
      <x:c r="B158" s="849" t="str">
        <x:v>행동</x:v>
      </x:c>
      <x:c r="C158" s="849" t="str">
        <x:v>소요</x:v>
      </x:c>
      <x:c r="D158" s="849" t="str">
        <x:v>효과</x:v>
      </x:c>
      <x:c r="E158" s="849" t="str">
        <x:v>제이에게 생기는 선택</x:v>
      </x:c>
      <x:c r="F158" s="849" t="str">
        <x:v>상태</x:v>
      </x:c>
      <x:c r="G158" s="849"/>
      <x:c r="H158" s="849"/>
      <x:c r="I158" s="849"/>
      <x:c r="J158" s="849"/>
      <x:c r="K158" s="849"/>
      <x:c r="L158" s="849"/>
      <x:c r="M158" s="849"/>
      <x:c r="N158" s="849"/>
    </x:row>
    <x:row r="159" ht="36" hidden="0" customHeight="1">
      <x:c r="A159" s="825" t="str">
        <x:v>디야</x:v>
      </x:c>
      <x:c r="B159" s="825" t="str">
        <x:v>아이·가족 중심으로 군중을 묶어 안정화</x:v>
      </x:c>
      <x:c r="C159" s="825" t="n">
        <x:v>2</x:v>
      </x:c>
      <x:c r="D159" s="825" t="str">
        <x:v>다음 Tick 무효 + 이후 Tick 간격을 2h→4h로 늘림, Panic은 지속</x:v>
      </x:c>
      <x:c r="E159" s="825" t="str">
        <x:v>제이가 다른 일 후 나중에 마무리 가능</x:v>
      </x:c>
      <x:c r="F159" s="825" t="str">
        <x:v>TEMP 추천</x:v>
      </x:c>
      <x:c r="G159" s="825"/>
      <x:c r="H159" s="825"/>
      <x:c r="I159" s="825"/>
      <x:c r="J159" s="825"/>
      <x:c r="K159" s="825"/>
      <x:c r="L159" s="825"/>
      <x:c r="M159" s="825"/>
      <x:c r="N159" s="825"/>
    </x:row>
    <x:row r="160" ht="24" hidden="0" customHeight="1">
      <x:c r="A160" s="825" t="str">
        <x:v>지나</x:v>
      </x:c>
      <x:c r="B160" s="825" t="str">
        <x:v>돌봄 경험으로 사람들을 직접 진정</x:v>
      </x:c>
      <x:c r="C160" s="825" t="n">
        <x:v>2</x:v>
      </x:c>
      <x:c r="D160" s="825" t="str">
        <x:v>Panic 해결</x:v>
      </x:c>
      <x:c r="E160" s="825" t="str">
        <x:v>제이 시간 절약</x:v>
      </x:c>
      <x:c r="F160" s="825" t="str">
        <x:v>TEMP 추천</x:v>
      </x:c>
      <x:c r="G160" s="825"/>
      <x:c r="H160" s="825"/>
      <x:c r="I160" s="825"/>
      <x:c r="J160" s="825"/>
      <x:c r="K160" s="825"/>
      <x:c r="L160" s="825"/>
      <x:c r="M160" s="825"/>
      <x:c r="N160" s="825"/>
    </x:row>
    <x:row r="161" ht="36" hidden="0" customHeight="1">
      <x:c r="A161" s="825" t="str">
        <x:v>샘</x:v>
      </x:c>
      <x:c r="B161" s="825" t="str">
        <x:v>방송/명령으로 질서 회복 시도</x:v>
      </x:c>
      <x:c r="C161" s="825" t="n">
        <x:v>2</x:v>
      </x:c>
      <x:c r="D161" s="825" t="str">
        <x:v>함교 &gt;=2이면 Panic 해결, 아니면 다음 Tick 1회 무효</x:v>
      </x:c>
      <x:c r="E161" s="825" t="str">
        <x:v>시설 상태와 캐릭터 역할 연결</x:v>
      </x:c>
      <x:c r="F161" s="825" t="str">
        <x:v>TEMP 추천</x:v>
      </x:c>
      <x:c r="G161" s="825"/>
      <x:c r="H161" s="825"/>
      <x:c r="I161" s="825"/>
      <x:c r="J161" s="825"/>
      <x:c r="K161" s="825"/>
      <x:c r="L161" s="825"/>
      <x:c r="M161" s="825"/>
      <x:c r="N161" s="825"/>
    </x:row>
    <x:row r="162" ht="24" hidden="0" customHeight="1">
      <x:c r="A162" s="825" t="str">
        <x:v>벤자민/페이/보리치</x:v>
      </x:c>
      <x:c r="B162" s="825" t="str">
        <x:v>사람들을 돕지만 전체 군중 진정은 못 함</x:v>
      </x:c>
      <x:c r="C162" s="825" t="n">
        <x:v>2</x:v>
      </x:c>
      <x:c r="D162" s="825" t="str">
        <x:v>다음 Tick 1회 무효</x:v>
      </x:c>
      <x:c r="E162" s="825" t="str">
        <x:v>제이가 교감 해결을 준비할 시간 확보</x:v>
      </x:c>
      <x:c r="F162" s="825" t="str">
        <x:v>TEMP 추천</x:v>
      </x:c>
      <x:c r="G162" s="825"/>
      <x:c r="H162" s="825"/>
      <x:c r="I162" s="825"/>
      <x:c r="J162" s="825"/>
      <x:c r="K162" s="825"/>
      <x:c r="L162" s="825"/>
      <x:c r="M162" s="825"/>
      <x:c r="N162" s="825"/>
    </x:row>
    <x:row r="163" ht="15" hidden="0" customHeight="1">
      <x:c r="A163" s="825" t="str">
        <x:v>지나+디야</x:v>
      </x:c>
      <x:c r="B163" s="825" t="str">
        <x:v>돌봄/생활 리더 협업</x:v>
      </x:c>
      <x:c r="C163" s="825" t="n">
        <x:v>1</x:v>
      </x:c>
      <x:c r="D163" s="825" t="str">
        <x:v>Panic 해결</x:v>
      </x:c>
      <x:c r="E163" s="825" t="str">
        <x:v>NPC 배치의 강한 보상</x:v>
      </x:c>
      <x:c r="F163" s="825" t="str">
        <x:v>TEMP 추천</x:v>
      </x:c>
      <x:c r="G163" s="825"/>
      <x:c r="H163" s="825"/>
      <x:c r="I163" s="825"/>
      <x:c r="J163" s="825"/>
      <x:c r="K163" s="825"/>
      <x:c r="L163" s="825"/>
      <x:c r="M163" s="825"/>
      <x:c r="N163" s="825"/>
    </x:row>
    <x:row r="164" ht="24" hidden="0" customHeight="1">
      <x:c r="A164" s="825" t="str">
        <x:v>모든 NPC 부재/이동중</x:v>
      </x:c>
      <x:c r="B164" s="825" t="str">
        <x:v>자동 해결 없음</x:v>
      </x:c>
      <x:c r="C164" s="825" t="str">
        <x:v>—</x:v>
      </x:c>
      <x:c r="D164" s="825" t="str">
        <x:v>Panic 지속</x:v>
      </x:c>
      <x:c r="E164" s="825" t="str">
        <x:v>제이가 직접 개입해야 함</x:v>
      </x:c>
      <x:c r="F164" s="825" t="str">
        <x:v>확정방향</x:v>
      </x:c>
      <x:c r="G164" s="825"/>
      <x:c r="H164" s="825"/>
      <x:c r="I164" s="825"/>
      <x:c r="J164" s="825"/>
      <x:c r="K164" s="825"/>
      <x:c r="L164" s="825"/>
      <x:c r="M164" s="825"/>
      <x:c r="N164" s="825"/>
    </x:row>
    <x:row r="165" ht="15" hidden="0" customHeight="1">
      <x:c r="A165" s="825"/>
      <x:c r="B165" s="825"/>
      <x:c r="C165" s="825"/>
      <x:c r="D165" s="825"/>
      <x:c r="E165" s="825"/>
      <x:c r="F165" s="825"/>
      <x:c r="G165" s="825"/>
      <x:c r="H165" s="825"/>
      <x:c r="I165" s="825"/>
      <x:c r="J165" s="825"/>
      <x:c r="K165" s="825"/>
      <x:c r="L165" s="825"/>
      <x:c r="M165" s="825"/>
      <x:c r="N165" s="825"/>
    </x:row>
    <x:row r="166" ht="26" hidden="0" customHeight="1">
      <x:c r="A166" s="852" t="str">
        <x:v>20. 예시 — 12:00 Living 3→2, Panic 발생</x:v>
      </x:c>
      <x:c r="B166" s="852"/>
      <x:c r="C166" s="852"/>
      <x:c r="D166" s="852"/>
      <x:c r="E166" s="852"/>
      <x:c r="F166" s="852"/>
      <x:c r="G166" s="852"/>
      <x:c r="H166" s="852"/>
      <x:c r="I166" s="852"/>
      <x:c r="J166" s="852"/>
      <x:c r="K166" s="852"/>
      <x:c r="L166" s="852"/>
      <x:c r="M166" s="852"/>
      <x:c r="N166" s="852"/>
    </x:row>
    <x:row r="167" ht="30" hidden="0" customHeight="1">
      <x:c r="A167" s="849" t="str">
        <x:v>선택</x:v>
      </x:c>
      <x:c r="B167" s="849" t="str">
        <x:v>14:00 결과</x:v>
      </x:c>
      <x:c r="C167" s="849" t="str">
        <x:v>16:00 이후</x:v>
      </x:c>
      <x:c r="D167" s="849" t="str">
        <x:v>최종 의미</x:v>
      </x:c>
      <x:c r="E167" s="849"/>
      <x:c r="F167" s="849"/>
      <x:c r="G167" s="849"/>
      <x:c r="H167" s="849"/>
      <x:c r="I167" s="849"/>
      <x:c r="J167" s="849"/>
      <x:c r="K167" s="849"/>
      <x:c r="L167" s="849"/>
      <x:c r="M167" s="849"/>
      <x:c r="N167" s="849"/>
    </x:row>
    <x:row r="168" ht="36" hidden="0" customHeight="1">
      <x:c r="A168" s="825" t="str">
        <x:v>무시</x:v>
      </x:c>
      <x:c r="B168" s="825" t="str">
        <x:v>예고 Target(산소보급실) -1 / 다음 Target 연구실 예고</x:v>
      </x:c>
      <x:c r="C168" s="825" t="str">
        <x:v>16:00에도 미해결이면 연구실 -1</x:v>
      </x:c>
      <x:c r="D168" s="825" t="str">
        <x:v>2h마다 배의 다른 기능을 갉아먹음</x:v>
      </x:c>
      <x:c r="E168" s="825"/>
      <x:c r="F168" s="825"/>
      <x:c r="G168" s="825"/>
      <x:c r="H168" s="825"/>
      <x:c r="I168" s="825"/>
      <x:c r="J168" s="825"/>
      <x:c r="K168" s="825"/>
      <x:c r="L168" s="825"/>
      <x:c r="M168" s="825"/>
      <x:c r="N168" s="825"/>
    </x:row>
    <x:row r="169" ht="36" hidden="0" customHeight="1">
      <x:c r="A169" s="825" t="str">
        <x:v>기본 4h 진정</x:v>
      </x:c>
      <x:c r="B169" s="825" t="str">
        <x:v>16:00 완료</x:v>
      </x:c>
      <x:c r="C169" s="825" t="str">
        <x:v>14:00 첫 Tick은 맞음</x:v>
      </x:c>
      <x:c r="D169" s="825" t="str">
        <x:v>누구나 해결 가능하지만 늦게 시작하면 피해를 감수</x:v>
      </x:c>
      <x:c r="E169" s="825"/>
      <x:c r="F169" s="825"/>
      <x:c r="G169" s="825"/>
      <x:c r="H169" s="825"/>
      <x:c r="I169" s="825"/>
      <x:c r="J169" s="825"/>
      <x:c r="K169" s="825"/>
      <x:c r="L169" s="825"/>
      <x:c r="M169" s="825"/>
      <x:c r="N169" s="825"/>
    </x:row>
    <x:row r="170" ht="36" hidden="0" customHeight="1">
      <x:c r="A170" s="825" t="str">
        <x:v>교감7 2h</x:v>
      </x:c>
      <x:c r="B170" s="825" t="str">
        <x:v>14:00 완료 우선</x:v>
      </x:c>
      <x:c r="C170" s="825" t="str">
        <x:v>첫 Tick 피해 없음</x:v>
      </x:c>
      <x:c r="D170" s="825" t="str">
        <x:v>교감 전문화가 사회적 Emergency 시간을 절반으로 단축</x:v>
      </x:c>
      <x:c r="E170" s="825"/>
      <x:c r="F170" s="825"/>
      <x:c r="G170" s="825"/>
      <x:c r="H170" s="825"/>
      <x:c r="I170" s="825"/>
      <x:c r="J170" s="825"/>
      <x:c r="K170" s="825"/>
      <x:c r="L170" s="825"/>
      <x:c r="M170" s="825"/>
      <x:c r="N170" s="825"/>
    </x:row>
    <x:row r="171" ht="30" hidden="0" customHeight="1">
      <x:c r="A171" s="839" t="str">
        <x:v>교감6 + 의지3</x:v>
      </x:c>
      <x:c r="B171" s="839" t="str">
        <x:v>13:00 완료</x:v>
      </x:c>
      <x:c r="C171" s="839" t="str">
        <x:v>피해 없음 / Will3 소모</x:v>
      </x:c>
      <x:c r="D171" s="839" t="str">
        <x:v>다른 콘텐츠 시간을 지키는 대신 다음 날까지 의지 압박</x:v>
      </x:c>
      <x:c r="E171" s="839"/>
      <x:c r="F171" s="839"/>
      <x:c r="G171" s="839"/>
      <x:c r="H171" s="839"/>
      <x:c r="I171" s="839"/>
      <x:c r="J171" s="839"/>
      <x:c r="K171" s="839"/>
      <x:c r="L171" s="839"/>
      <x:c r="M171" s="839"/>
      <x:c r="N171" s="839"/>
    </x:row>
    <x:row r="172" ht="36" hidden="0" customHeight="1">
      <x:c r="A172" s="825" t="str">
        <x:v>강인함7 2h</x:v>
      </x:c>
      <x:c r="B172" s="825" t="str">
        <x:v>14:00 첫 Tick 무효</x:v>
      </x:c>
      <x:c r="C172" s="825" t="str">
        <x:v>Panic 지속, 다음 Tick 16:00</x:v>
      </x:c>
      <x:c r="D172" s="825" t="str">
        <x:v>몸으로 시간을 벌었지만 사람들의 공포 자체는 해결하지 못함</x:v>
      </x:c>
      <x:c r="E172" s="825"/>
      <x:c r="F172" s="825"/>
      <x:c r="G172" s="825"/>
      <x:c r="H172" s="825"/>
      <x:c r="I172" s="825"/>
      <x:c r="J172" s="825"/>
      <x:c r="K172" s="825"/>
      <x:c r="L172" s="825"/>
      <x:c r="M172" s="825"/>
      <x:c r="N172" s="825"/>
    </x:row>
    <x:row r="173" ht="24" hidden="0" customHeight="1">
      <x:c r="A173" s="825" t="str">
        <x:v>지나가 거주구역에 있음</x:v>
      </x:c>
      <x:c r="B173" s="825" t="str">
        <x:v>14:00 지나가 Panic 해결</x:v>
      </x:c>
      <x:c r="C173" s="825" t="str">
        <x:v>피해 없음 / 제이 자유</x:v>
      </x:c>
      <x:c r="D173" s="825" t="str">
        <x:v>NPC 배치와 생존이 직접 시스템 보상</x:v>
      </x:c>
      <x:c r="E173" s="825"/>
      <x:c r="F173" s="825"/>
      <x:c r="G173" s="825"/>
      <x:c r="H173" s="825"/>
      <x:c r="I173" s="825"/>
      <x:c r="J173" s="825"/>
      <x:c r="K173" s="825"/>
      <x:c r="L173" s="825"/>
      <x:c r="M173" s="825"/>
      <x:c r="N173" s="825"/>
    </x:row>
    <x:row r="174" ht="15" hidden="0" customHeight="1">
      <x:c r="A174" s="825"/>
      <x:c r="B174" s="825"/>
      <x:c r="C174" s="825"/>
      <x:c r="D174" s="825"/>
      <x:c r="E174" s="825"/>
      <x:c r="F174" s="825"/>
      <x:c r="G174" s="825"/>
      <x:c r="H174" s="825"/>
      <x:c r="I174" s="825"/>
      <x:c r="J174" s="825"/>
      <x:c r="K174" s="825"/>
      <x:c r="L174" s="825"/>
      <x:c r="M174" s="825"/>
      <x:c r="N174" s="825"/>
    </x:row>
    <x:row r="175" ht="15" hidden="0" customHeight="1">
      <x:c r="A175" s="825"/>
      <x:c r="B175" s="825"/>
      <x:c r="C175" s="825"/>
      <x:c r="D175" s="825"/>
      <x:c r="E175" s="825"/>
      <x:c r="F175" s="825"/>
      <x:c r="G175" s="825"/>
      <x:c r="H175" s="825"/>
      <x:c r="I175" s="825"/>
      <x:c r="J175" s="825"/>
      <x:c r="K175" s="825"/>
      <x:c r="L175" s="825"/>
      <x:c r="M175" s="825"/>
      <x:c r="N175" s="825"/>
    </x:row>
    <x:row r="176" ht="15" hidden="0" customHeight="1">
      <x:c r="A176" s="837" t="str">
        <x:v>21. Global Hull 0 — v1.1 Forced Phase</x:v>
      </x:c>
      <x:c r="B176" s="837"/>
      <x:c r="C176" s="837"/>
      <x:c r="D176" s="837"/>
      <x:c r="E176" s="837"/>
      <x:c r="F176" s="837"/>
      <x:c r="G176" s="837"/>
      <x:c r="H176" s="837"/>
      <x:c r="I176" s="837" t="str">
        <x:v>Global Hull 0 — 선택지 가치 비교</x:v>
      </x:c>
      <x:c r="J176" s="837"/>
      <x:c r="K176" s="837"/>
      <x:c r="L176" s="837"/>
      <x:c r="M176" s="837"/>
      <x:c r="N176" s="837"/>
    </x:row>
    <x:row r="177" ht="30" hidden="0" customHeight="1">
      <x:c r="A177" s="849" t="str">
        <x:v>항목</x:v>
      </x:c>
      <x:c r="B177" s="849" t="str">
        <x:v>v1.1 규칙</x:v>
      </x:c>
      <x:c r="C177" s="849" t="str">
        <x:v>설계 의도</x:v>
      </x:c>
      <x:c r="D177" s="849" t="str">
        <x:v>상태</x:v>
      </x:c>
      <x:c r="E177" s="849"/>
      <x:c r="F177" s="849"/>
      <x:c r="G177" s="849"/>
      <x:c r="H177" s="849"/>
      <x:c r="I177" s="849" t="str">
        <x:v>해법</x:v>
      </x:c>
      <x:c r="J177" s="849" t="str">
        <x:v>시간</x:v>
      </x:c>
      <x:c r="K177" s="849" t="str">
        <x:v>Will</x:v>
      </x:c>
      <x:c r="L177" s="849" t="str">
        <x:v>사망</x:v>
      </x:c>
      <x:c r="M177" s="849" t="str">
        <x:v>복구 Hull</x:v>
      </x:c>
      <x:c r="N177" s="849" t="str">
        <x:v>의미</x:v>
      </x:c>
    </x:row>
    <x:row r="178" ht="36" hidden="0" customHeight="1">
      <x:c r="A178" s="825" t="str">
        <x:v>Trigger</x:v>
      </x:c>
      <x:c r="B178" s="825" t="str">
        <x:v>Global Hull 1+→0 즉시 Forced Phase. 모든 일반 Root보다 우선.</x:v>
      </x:c>
      <x:c r="C178" s="825" t="str">
        <x:v>보스전의 Phase Change</x:v>
      </x:c>
      <x:c r="D178" s="825" t="str">
        <x:v>v1.1</x:v>
      </x:c>
      <x:c r="E178" s="825"/>
      <x:c r="F178" s="825"/>
      <x:c r="G178" s="825"/>
      <x:c r="H178" s="825"/>
      <x:c r="I178" s="825" t="str">
        <x:v>기술8</x:v>
      </x:c>
      <x:c r="J178" s="825" t="n">
        <x:v>4</x:v>
      </x:c>
      <x:c r="K178" s="825" t="n">
        <x:v>0</x:v>
      </x:c>
      <x:c r="L178" s="825" t="str">
        <x:v>없음</x:v>
      </x:c>
      <x:c r="M178" s="825" t="n">
        <x:v>4</x:v>
      </x:c>
      <x:c r="N178" s="825" t="str">
        <x:v>정석 전문 해결</x:v>
      </x:c>
    </x:row>
    <x:row r="179" ht="30" hidden="0" customHeight="1">
      <x:c r="A179" s="839" t="str">
        <x:v>Collapse Deadline</x:v>
      </x:c>
      <x:c r="B179" s="839" t="str">
        <x:v>4h 안에 양수로 복구 실패 → Bad1</x:v>
      </x:c>
      <x:c r="C179" s="839" t="str">
        <x:v>치명 압박 유지</x:v>
      </x:c>
      <x:c r="D179" s="839" t="str">
        <x:v>v1.1</x:v>
      </x:c>
      <x:c r="E179" s="839"/>
      <x:c r="F179" s="839"/>
      <x:c r="G179" s="839"/>
      <x:c r="H179" s="839"/>
      <x:c r="I179" s="839" t="str">
        <x:v>기술10+Will</x:v>
      </x:c>
      <x:c r="J179" s="839" t="n">
        <x:v>2</x:v>
      </x:c>
      <x:c r="K179" s="839" t="str">
        <x:v>0~5</x:v>
      </x:c>
      <x:c r="L179" s="839" t="str">
        <x:v>없음</x:v>
      </x:c>
      <x:c r="M179" s="839" t="n">
        <x:v>4</x:v>
      </x:c>
      <x:c r="N179" s="839" t="str">
        <x:v>시간 압축</x:v>
      </x:c>
    </x:row>
    <x:row r="180" ht="48" hidden="0" customHeight="1">
      <x:c r="A180" s="825" t="str">
        <x:v>기존 Root Timer</x:v>
      </x:c>
      <x:c r="B180" s="825" t="str">
        <x:v>Forced Phase 동안 남은 Tick 시간을 PAUSE. 해결 후 남은시간 그대로 재개.</x:v>
      </x:c>
      <x:c r="C180" s="825" t="str">
        <x:v>Hull0 발생=자동 연쇄사망 방지</x:v>
      </x:c>
      <x:c r="D180" s="825" t="str">
        <x:v>v1.1</x:v>
      </x:c>
      <x:c r="E180" s="825"/>
      <x:c r="F180" s="825"/>
      <x:c r="G180" s="825"/>
      <x:c r="H180" s="825"/>
      <x:c r="I180" s="825" t="str">
        <x:v>순수 의지</x:v>
      </x:c>
      <x:c r="J180" s="825" t="n">
        <x:v>4</x:v>
      </x:c>
      <x:c r="K180" s="825" t="n">
        <x:v>2</x:v>
      </x:c>
      <x:c r="L180" s="825" t="str">
        <x:v>없음</x:v>
      </x:c>
      <x:c r="M180" s="825" t="n">
        <x:v>1</x:v>
      </x:c>
      <x:c r="N180" s="825" t="str">
        <x:v>전원 생존 안전망</x:v>
      </x:c>
    </x:row>
    <x:row r="181" ht="15" hidden="0" customHeight="1">
      <x:c r="A181" s="825" t="str">
        <x:v>신규 Root</x:v>
      </x:c>
      <x:c r="B181" s="825" t="str">
        <x:v>Hull0 해결 전 생성 금지</x:v>
      </x:c>
      <x:c r="C181" s="825" t="str">
        <x:v>한 위기에 집중</x:v>
      </x:c>
      <x:c r="D181" s="825" t="str">
        <x:v>v1.1</x:v>
      </x:c>
      <x:c r="E181" s="825"/>
      <x:c r="F181" s="825"/>
      <x:c r="G181" s="825"/>
      <x:c r="H181" s="825"/>
      <x:c r="I181" s="825" t="str">
        <x:v>전문가 1명</x:v>
      </x:c>
      <x:c r="J181" s="825" t="n">
        <x:v>4</x:v>
      </x:c>
      <x:c r="K181" s="825" t="n">
        <x:v>0</x:v>
      </x:c>
      <x:c r="L181" s="825" t="str">
        <x:v>없음</x:v>
      </x:c>
      <x:c r="M181" s="825" t="n">
        <x:v>4</x:v>
      </x:c>
      <x:c r="N181" s="825" t="str">
        <x:v>NPC 투자 보상</x:v>
      </x:c>
    </x:row>
    <x:row r="182" ht="36" hidden="0" customHeight="1">
      <x:c r="A182" s="825" t="str">
        <x:v>Jay 기술</x:v>
      </x:c>
      <x:c r="B182" s="825" t="str">
        <x:v>기술8=2h→Hull4 / 기술10 또는 부족분 Will 보완=1h→Hull4</x:v>
      </x:c>
      <x:c r="C182" s="825" t="str">
        <x:v>현재 Crisis 문법에 통일</x:v>
      </x:c>
      <x:c r="D182" s="825" t="str">
        <x:v>v1.1</x:v>
      </x:c>
      <x:c r="E182" s="825"/>
      <x:c r="F182" s="825"/>
      <x:c r="G182" s="825"/>
      <x:c r="H182" s="825"/>
      <x:c r="I182" s="825" t="str">
        <x:v>전문가 2명</x:v>
      </x:c>
      <x:c r="J182" s="825" t="n">
        <x:v>2</x:v>
      </x:c>
      <x:c r="K182" s="825" t="n">
        <x:v>0</x:v>
      </x:c>
      <x:c r="L182" s="825" t="str">
        <x:v>없음</x:v>
      </x:c>
      <x:c r="M182" s="825" t="n">
        <x:v>4</x:v>
      </x:c>
      <x:c r="N182" s="825" t="str">
        <x:v>최상 NPC 보상</x:v>
      </x:c>
    </x:row>
    <x:row r="183" ht="24" hidden="0" customHeight="1">
      <x:c r="A183" s="825" t="str">
        <x:v>Jay 의지</x:v>
      </x:c>
      <x:c r="B183" s="825" t="str">
        <x:v>Will2 +4h → Hull1 / 전원 비상지지</x:v>
      </x:c>
      <x:c r="C183" s="825" t="str">
        <x:v>기술 대체가 아니라 사람을 살리는 안전망</x:v>
      </x:c>
      <x:c r="D183" s="825" t="str">
        <x:v>v1.1</x:v>
      </x:c>
      <x:c r="E183" s="825"/>
      <x:c r="F183" s="825"/>
      <x:c r="G183" s="825"/>
      <x:c r="H183" s="825"/>
      <x:c r="I183" s="825" t="str">
        <x:v>전문가 희생</x:v>
      </x:c>
      <x:c r="J183" s="825" t="n">
        <x:v>2</x:v>
      </x:c>
      <x:c r="K183" s="825" t="n">
        <x:v>0</x:v>
      </x:c>
      <x:c r="L183" s="825" t="str">
        <x:v>1명</x:v>
      </x:c>
      <x:c r="M183" s="825" t="n">
        <x:v>4</x:v>
      </x:c>
      <x:c r="N183" s="825" t="str">
        <x:v>비극적 빠른 해결</x:v>
      </x:c>
    </x:row>
    <x:row r="184" ht="30" hidden="0" customHeight="1">
      <x:c r="A184" s="849" t="str">
        <x:v>NPC</x:v>
      </x:c>
      <x:c r="B184" s="849" t="str">
        <x:v>Benjamin/Faye 1명=2h→Hull4 / 둘=1h→Hull4</x:v>
      </x:c>
      <x:c r="C184" s="849" t="str">
        <x:v>전문가 생존 보상</x:v>
      </x:c>
      <x:c r="D184" s="849" t="str">
        <x:v>v1.1</x:v>
      </x:c>
      <x:c r="E184" s="849"/>
      <x:c r="F184" s="849"/>
      <x:c r="G184" s="849"/>
      <x:c r="H184" s="849"/>
      <x:c r="I184" s="849"/>
      <x:c r="J184" s="849"/>
      <x:c r="K184" s="849"/>
      <x:c r="L184" s="849"/>
      <x:c r="M184" s="849"/>
      <x:c r="N184" s="849"/>
    </x:row>
    <x:row r="185" ht="36" hidden="0" customHeight="1">
      <x:c r="A185" s="825" t="str">
        <x:v>재발</x:v>
      </x:c>
      <x:c r="B185" s="825" t="str">
        <x:v>같은 Day 두 번째 Hull0 → 즉시 Bad1 (Emergency Bracing 소진)</x:v>
      </x:c>
      <x:c r="C185" s="825" t="str">
        <x:v>무한 루프 방지</x:v>
      </x:c>
      <x:c r="D185" s="825" t="str">
        <x:v>v1.1</x:v>
      </x:c>
      <x:c r="E185" s="825"/>
      <x:c r="F185" s="825"/>
      <x:c r="G185" s="825"/>
      <x:c r="H185" s="825"/>
      <x:c r="I185" s="837" t="str">
        <x:v>기술10 + 의지 보완 빠른 검증</x:v>
      </x:c>
      <x:c r="J185" s="837"/>
      <x:c r="K185" s="837"/>
      <x:c r="L185" s="837"/>
      <x:c r="M185" s="837"/>
      <x:c r="N185" s="837"/>
    </x:row>
    <x:row r="186" ht="15" hidden="0" customHeight="1">
      <x:c r="A186" s="825"/>
      <x:c r="B186" s="825"/>
      <x:c r="C186" s="825"/>
      <x:c r="D186" s="825"/>
      <x:c r="E186" s="825"/>
      <x:c r="F186" s="825"/>
      <x:c r="G186" s="825"/>
      <x:c r="H186" s="825"/>
      <x:c r="I186" s="837" t="str">
        <x:v>입력/결과</x:v>
      </x:c>
      <x:c r="J186" s="837" t="str">
        <x:v>값</x:v>
      </x:c>
      <x:c r="K186" s="825"/>
      <x:c r="L186" s="825"/>
      <x:c r="M186" s="825"/>
      <x:c r="N186" s="825"/>
    </x:row>
    <x:row r="187" ht="30" hidden="0" customHeight="1">
      <x:c r="A187" s="849" t="str">
        <x:v>선택지</x:v>
      </x:c>
      <x:c r="B187" s="849" t="str">
        <x:v>시간</x:v>
      </x:c>
      <x:c r="C187" s="849" t="str">
        <x:v>조건</x:v>
      </x:c>
      <x:c r="D187" s="849" t="str">
        <x:v>Will</x:v>
      </x:c>
      <x:c r="E187" s="849" t="str">
        <x:v>결과</x:v>
      </x:c>
      <x:c r="F187" s="849" t="str">
        <x:v>Root Timer</x:v>
      </x:c>
      <x:c r="G187" s="849" t="str">
        <x:v>대가/의미</x:v>
      </x:c>
      <x:c r="H187" s="849" t="str">
        <x:v>상태</x:v>
      </x:c>
      <x:c r="I187" s="849" t="str">
        <x:v>현재 기술</x:v>
      </x:c>
      <x:c r="J187" s="849" t="n">
        <x:v>7</x:v>
      </x:c>
      <x:c r="K187" s="849"/>
      <x:c r="L187" s="849"/>
      <x:c r="M187" s="849"/>
      <x:c r="N187" s="849"/>
    </x:row>
    <x:row r="188" ht="24" hidden="0" customHeight="1">
      <x:c r="A188" s="839" t="str">
        <x:v>[기술8] 비상 프레임을 다시 세운다</x:v>
      </x:c>
      <x:c r="B188" s="839" t="n">
        <x:v>2</x:v>
      </x:c>
      <x:c r="C188" s="839" t="str">
        <x:v>기술&gt;=8</x:v>
      </x:c>
      <x:c r="D188" s="839" t="n">
        <x:v>0</x:v>
      </x:c>
      <x:c r="E188" s="839" t="str">
        <x:v>Hull0→4</x:v>
      </x:c>
      <x:c r="F188" s="839" t="str">
        <x:v>PAUSE</x:v>
      </x:c>
      <x:c r="G188" s="839" t="str">
        <x:v>전문화 보상</x:v>
      </x:c>
      <x:c r="H188" s="839" t="str">
        <x:v>v1.1</x:v>
      </x:c>
      <x:c r="I188" s="825" t="str">
        <x:v>현재 의지</x:v>
      </x:c>
      <x:c r="J188" s="825" t="n">
        <x:v>3</x:v>
      </x:c>
      <x:c r="K188" s="825"/>
      <x:c r="L188" s="825"/>
      <x:c r="M188" s="825"/>
      <x:c r="N188" s="825"/>
    </x:row>
    <x:row r="189" ht="36" hidden="0" customHeight="1">
      <x:c r="A189" s="825" t="str">
        <x:v>[기술10 / 의지 보완] 붕괴 구간을 즉시 격리한다</x:v>
      </x:c>
      <x:c r="B189" s="825" t="n">
        <x:v>1</x:v>
      </x:c>
      <x:c r="C189" s="825" t="str">
        <x:v>기술+Will&gt;=10</x:v>
      </x:c>
      <x:c r="D189" s="825" t="str">
        <x:v>부족분</x:v>
      </x:c>
      <x:c r="E189" s="825" t="str">
        <x:v>Hull0→4</x:v>
      </x:c>
      <x:c r="F189" s="825" t="str">
        <x:v>PAUSE</x:v>
      </x:c>
      <x:c r="G189" s="825" t="str">
        <x:v>클라이맥스 압축</x:v>
      </x:c>
      <x:c r="H189" s="825" t="str">
        <x:v>v1.1</x:v>
      </x:c>
      <x:c r="I189" s="825" t="str">
        <x:v>특수 요구</x:v>
      </x:c>
      <x:c r="J189" s="825" t="n">
        <x:v>10</x:v>
      </x:c>
      <x:c r="K189" s="825"/>
      <x:c r="L189" s="825"/>
      <x:c r="M189" s="825"/>
      <x:c r="N189" s="825"/>
    </x:row>
    <x:row r="190" ht="24" hidden="0" customHeight="1">
      <x:c r="A190" s="825" t="str">
        <x:v>[의지2] 아무도 밖으로 보내지 않는다</x:v>
      </x:c>
      <x:c r="B190" s="825" t="n">
        <x:v>4</x:v>
      </x:c>
      <x:c r="C190" s="825" t="str">
        <x:v>Will&gt;=2</x:v>
      </x:c>
      <x:c r="D190" s="825" t="n">
        <x:v>2</x:v>
      </x:c>
      <x:c r="E190" s="825" t="str">
        <x:v>Hull0→1</x:v>
      </x:c>
      <x:c r="F190" s="825" t="str">
        <x:v>PAUSE</x:v>
      </x:c>
      <x:c r="G190" s="825" t="str">
        <x:v>전원 생존, 이후 매우 취약</x:v>
      </x:c>
      <x:c r="H190" s="825" t="str">
        <x:v>v1.1</x:v>
      </x:c>
      <x:c r="I190" s="825" t="str">
        <x:v>필요 의지</x:v>
      </x:c>
      <x:c r="J190" s="825" t="n">
        <x:f>MAX(0,J189-J187)</x:f>
        <x:v>3</x:v>
      </x:c>
      <x:c r="K190" s="825"/>
      <x:c r="L190" s="825"/>
      <x:c r="M190" s="825"/>
      <x:c r="N190" s="825"/>
    </x:row>
    <x:row r="191" ht="15" hidden="0" customHeight="1">
      <x:c r="A191" s="825" t="str">
        <x:v>벤자민 또는 페이</x:v>
      </x:c>
      <x:c r="B191" s="825" t="n">
        <x:v>2</x:v>
      </x:c>
      <x:c r="C191" s="825" t="str">
        <x:v>Available</x:v>
      </x:c>
      <x:c r="D191" s="825" t="n">
        <x:v>0</x:v>
      </x:c>
      <x:c r="E191" s="825" t="str">
        <x:v>Hull0→4</x:v>
      </x:c>
      <x:c r="F191" s="825" t="str">
        <x:v>PAUSE</x:v>
      </x:c>
      <x:c r="G191" s="825" t="str">
        <x:v>NPC 병렬대응 자산</x:v>
      </x:c>
      <x:c r="H191" s="825" t="str">
        <x:v>v1.1</x:v>
      </x:c>
      <x:c r="I191" s="825" t="str">
        <x:v>2h 특수 사용</x:v>
      </x:c>
      <x:c r="J191" s="825" t="str">
        <x:f>IF(J190&lt;=J188,"가능","불가")</x:f>
        <x:v>가능</x:v>
      </x:c>
      <x:c r="K191" s="825"/>
      <x:c r="L191" s="825"/>
      <x:c r="M191" s="825"/>
      <x:c r="N191" s="825"/>
    </x:row>
    <x:row r="192" ht="15" hidden="0" customHeight="1">
      <x:c r="A192" s="825" t="str">
        <x:v>벤자민+페이</x:v>
      </x:c>
      <x:c r="B192" s="825" t="n">
        <x:v>1</x:v>
      </x:c>
      <x:c r="C192" s="825" t="str">
        <x:v>둘 다 Available</x:v>
      </x:c>
      <x:c r="D192" s="825" t="n">
        <x:v>0</x:v>
      </x:c>
      <x:c r="E192" s="825" t="str">
        <x:v>Hull0→4</x:v>
      </x:c>
      <x:c r="F192" s="825" t="str">
        <x:v>PAUSE</x:v>
      </x:c>
      <x:c r="G192" s="825" t="str">
        <x:v>최상 준비 보상</x:v>
      </x:c>
      <x:c r="H192" s="825" t="str">
        <x:v>v1.1</x:v>
      </x:c>
      <x:c r="I192" s="825" t="str">
        <x:v>사용 후 의지</x:v>
      </x:c>
      <x:c r="J192" s="825" t="n">
        <x:f>IF(J191="가능",J188-J190,J188)</x:f>
        <x:v>0</x:v>
      </x:c>
      <x:c r="K192" s="825"/>
      <x:c r="L192" s="825"/>
      <x:c r="M192" s="825"/>
      <x:c r="N192" s="825"/>
    </x:row>
    <x:row r="193" ht="15" hidden="0" customHeight="1">
      <x:c r="A193" s="825" t="str">
        <x:v>전문가 희생</x:v>
      </x:c>
      <x:c r="B193" s="825" t="str">
        <x:v>—</x:v>
      </x:c>
      <x:c r="C193" s="825" t="str">
        <x:v>—</x:v>
      </x:c>
      <x:c r="D193" s="825" t="str">
        <x:v>—</x:v>
      </x:c>
      <x:c r="E193" s="825" t="str">
        <x:v>폐기</x:v>
      </x:c>
      <x:c r="F193" s="825" t="str">
        <x:v>—</x:v>
      </x:c>
      <x:c r="G193" s="825" t="str">
        <x:v>안전2h 해법과 논리적으로 중복</x:v>
      </x:c>
      <x:c r="H193" s="825" t="str">
        <x:v>폐기</x:v>
      </x:c>
      <x:c r="I193" s="825"/>
      <x:c r="J193" s="825"/>
      <x:c r="K193" s="825"/>
      <x:c r="L193" s="825"/>
      <x:c r="M193" s="825"/>
      <x:c r="N193" s="825"/>
    </x:row>
    <x:row r="194" ht="15" hidden="0" customHeight="1">
      <x:c r="A194" s="825"/>
      <x:c r="B194" s="825"/>
      <x:c r="C194" s="825"/>
      <x:c r="D194" s="825"/>
      <x:c r="E194" s="825"/>
      <x:c r="F194" s="825"/>
      <x:c r="G194" s="825"/>
      <x:c r="H194" s="825"/>
      <x:c r="I194" s="837" t="str">
        <x:v>Global Hull 0 남은 TBD</x:v>
      </x:c>
      <x:c r="J194" s="837"/>
      <x:c r="K194" s="837"/>
      <x:c r="L194" s="837"/>
      <x:c r="M194" s="837"/>
      <x:c r="N194" s="837"/>
    </x:row>
    <x:row r="195" ht="30" hidden="0" customHeight="1">
      <x:c r="A195" s="849"/>
      <x:c r="B195" s="849"/>
      <x:c r="C195" s="849"/>
      <x:c r="D195" s="849"/>
      <x:c r="E195" s="849"/>
      <x:c r="F195" s="849"/>
      <x:c r="G195" s="849"/>
      <x:c r="H195" s="849"/>
      <x:c r="I195" s="849" t="str">
        <x:v>항목</x:v>
      </x:c>
      <x:c r="J195" s="849" t="str">
        <x:v>현재 방향</x:v>
      </x:c>
      <x:c r="K195" s="849" t="str">
        <x:v>우선순위</x:v>
      </x:c>
      <x:c r="L195" s="849"/>
      <x:c r="M195" s="849"/>
      <x:c r="N195" s="849"/>
    </x:row>
    <x:row r="196" ht="36" hidden="0" customHeight="1">
      <x:c r="A196" s="825"/>
      <x:c r="B196" s="825"/>
      <x:c r="C196" s="825"/>
      <x:c r="D196" s="825"/>
      <x:c r="E196" s="825"/>
      <x:c r="F196" s="825"/>
      <x:c r="G196" s="825"/>
      <x:c r="H196" s="825"/>
      <x:c r="I196" s="825" t="str">
        <x:v>하루 재발 횟수</x:v>
      </x:c>
      <x:c r="J196" s="825" t="str">
        <x:v>0→복구→다시0이면 재발 가능. 하루 최대 1회 제한 여부 미정.</x:v>
      </x:c>
      <x:c r="K196" s="825" t="str">
        <x:v>높음</x:v>
      </x:c>
      <x:c r="L196" s="825"/>
      <x:c r="M196" s="825"/>
      <x:c r="N196" s="825"/>
    </x:row>
    <x:row r="197" ht="48" hidden="0" customHeight="1">
      <x:c r="A197" s="825"/>
      <x:c r="B197" s="825"/>
      <x:c r="C197" s="825"/>
      <x:c r="D197" s="825"/>
      <x:c r="E197" s="825"/>
      <x:c r="F197" s="825"/>
      <x:c r="G197" s="825"/>
      <x:c r="H197" s="825"/>
      <x:c r="I197" s="825" t="str">
        <x:v>기존 Emergency 타이머</x:v>
      </x:c>
      <x:c r="J197" s="825" t="str">
        <x:v>Global Hull 해결 중에도 계속 흐르는 방향. 실제 Route 재시뮬레이션 필요.</x:v>
      </x:c>
      <x:c r="K197" s="825" t="str">
        <x:v>높음</x:v>
      </x:c>
      <x:c r="L197" s="825"/>
      <x:c r="M197" s="825"/>
      <x:c r="N197" s="825"/>
    </x:row>
    <x:row r="198" ht="15" hidden="0" customHeight="1">
      <x:c r="A198" s="837" t="str">
        <x:v>23. [HISTORICAL — v1.1에서 폐기] 벤자민 / 페이 희생안</x:v>
      </x:c>
      <x:c r="B198" s="837"/>
      <x:c r="C198" s="837"/>
      <x:c r="D198" s="837"/>
      <x:c r="E198" s="837"/>
      <x:c r="F198" s="837"/>
      <x:c r="G198" s="837"/>
      <x:c r="H198" s="837"/>
      <x:c r="I198" s="837" t="str">
        <x:v>20:00 이후 Trigger</x:v>
      </x:c>
      <x:c r="J198" s="837" t="str">
        <x:v>4h Deadline과 22:00 Day End가 충돌할 수 있으므로 발생 시각 제한 또는 위기 전용 시간 처리 필요.</x:v>
      </x:c>
      <x:c r="K198" s="837" t="str">
        <x:v>높음</x:v>
      </x:c>
      <x:c r="L198" s="837"/>
      <x:c r="M198" s="837"/>
      <x:c r="N198" s="837"/>
    </x:row>
    <x:row r="199" ht="30" hidden="0" customHeight="1">
      <x:c r="A199" s="849" t="str">
        <x:v>상황</x:v>
      </x:c>
      <x:c r="B199" s="849" t="str">
        <x:v>소요</x:v>
      </x:c>
      <x:c r="C199" s="849" t="str">
        <x:v>결과</x:v>
      </x:c>
      <x:c r="D199" s="849" t="str">
        <x:v>플레이어 선택</x:v>
      </x:c>
      <x:c r="E199" s="849" t="str">
        <x:v>상태</x:v>
      </x:c>
      <x:c r="F199" s="849"/>
      <x:c r="G199" s="849"/>
      <x:c r="H199" s="849"/>
      <x:c r="I199" s="849" t="str">
        <x:v>순수 의지 Hull1</x:v>
      </x:c>
      <x:c r="J199" s="849" t="str">
        <x:v>생존 안전망으로 충분한지, 너무 쉽게 Bad1을 회피하는지 Route Simulation에서 검증.</x:v>
      </x:c>
      <x:c r="K199" s="849" t="str">
        <x:v>높음</x:v>
      </x:c>
      <x:c r="L199" s="849"/>
      <x:c r="M199" s="849"/>
      <x:c r="N199" s="849"/>
    </x:row>
    <x:row r="200" ht="36" hidden="0" customHeight="1">
      <x:c r="A200" s="825" t="str">
        <x:v>벤자민 또는 페이 1명만 Available</x:v>
      </x:c>
      <x:c r="B200" s="825" t="n">
        <x:v>4</x:v>
      </x:c>
      <x:c r="C200" s="825" t="str">
        <x:v>안전 수리 / Hull 0→4 / 생존</x:v>
      </x:c>
      <x:c r="D200" s="825" t="str">
        <x:v>v1.1 최신 규칙: 전문가1명 2h→Hull4. 희생 선택 없음.</x:v>
      </x:c>
      <x:c r="E200" s="825" t="str">
        <x:v>HISTORICAL</x:v>
      </x:c>
      <x:c r="F200" s="825"/>
      <x:c r="G200" s="825"/>
      <x:c r="H200" s="825"/>
      <x:c r="I200" s="825"/>
      <x:c r="J200" s="825"/>
      <x:c r="K200" s="825"/>
      <x:c r="L200" s="825"/>
      <x:c r="M200" s="825"/>
      <x:c r="N200" s="825"/>
    </x:row>
    <x:row r="201" ht="24" hidden="0" customHeight="1">
      <x:c r="A201" s="825" t="str">
        <x:v>벤자민 + 페이 둘 다 Available</x:v>
      </x:c>
      <x:c r="B201" s="825" t="n">
        <x:v>2</x:v>
      </x:c>
      <x:c r="C201" s="825" t="str">
        <x:v>협업 수리 / Hull 0→4 / 둘 다 생존</x:v>
      </x:c>
      <x:c r="D201" s="825" t="str">
        <x:v>v1.1 최신 규칙: 두 전문가 1h→Hull4.</x:v>
      </x:c>
      <x:c r="E201" s="825" t="str">
        <x:v>HISTORICAL</x:v>
      </x:c>
      <x:c r="F201" s="825"/>
      <x:c r="G201" s="825"/>
      <x:c r="H201" s="825"/>
      <x:c r="I201" s="825"/>
      <x:c r="J201" s="825"/>
      <x:c r="K201" s="825"/>
      <x:c r="L201" s="825"/>
      <x:c r="M201" s="825"/>
      <x:c r="N201" s="825"/>
    </x:row>
    <x:row r="202" ht="30" hidden="0" customHeight="1">
      <x:c r="A202" s="839" t="str">
        <x:v>전문가 희생 선택</x:v>
      </x:c>
      <x:c r="B202" s="839" t="n">
        <x:v>2</x:v>
      </x:c>
      <x:c r="C202" s="839" t="str">
        <x:v>선택한 벤자민/페이 사망 / Hull 0→4</x:v>
      </x:c>
      <x:c r="D202" s="839" t="str">
        <x:v>v1.1에서 폐기 — 전문가 희생 선택 사용 금지.</x:v>
      </x:c>
      <x:c r="E202" s="839" t="str">
        <x:v>폐기</x:v>
      </x:c>
      <x:c r="F202" s="839"/>
      <x:c r="G202" s="839"/>
      <x:c r="H202" s="839"/>
      <x:c r="I202" s="839"/>
      <x:c r="J202" s="839"/>
      <x:c r="K202" s="839"/>
      <x:c r="L202" s="839"/>
      <x:c r="M202" s="839"/>
      <x:c r="N202" s="839"/>
    </x:row>
    <x:row r="203" ht="24" hidden="0" customHeight="1">
      <x:c r="A203" s="825" t="str">
        <x:v>둘 다 사망/Unavailable</x:v>
      </x:c>
      <x:c r="B203" s="825" t="str">
        <x:v>—</x:v>
      </x:c>
      <x:c r="C203" s="825" t="str">
        <x:v>전문가 해법 없음</x:v>
      </x:c>
      <x:c r="D203" s="825" t="str">
        <x:v>제이 기술/의지 안전망 사용.</x:v>
      </x:c>
      <x:c r="E203" s="825" t="str">
        <x:v>HISTORICAL</x:v>
      </x:c>
      <x:c r="F203" s="825"/>
      <x:c r="G203" s="825"/>
      <x:c r="H203" s="825"/>
      <x:c r="I203" s="825"/>
      <x:c r="J203" s="825"/>
      <x:c r="K203" s="825"/>
      <x:c r="L203" s="825"/>
      <x:c r="M203" s="825"/>
      <x:c r="N203" s="825"/>
    </x:row>
    <x:row r="204" ht="15" hidden="0" customHeight="1">
      <x:c r="A204" s="825"/>
      <x:c r="B204" s="825"/>
      <x:c r="C204" s="825"/>
      <x:c r="D204" s="825"/>
      <x:c r="E204" s="825"/>
      <x:c r="F204" s="825"/>
      <x:c r="G204" s="825"/>
      <x:c r="H204" s="825"/>
      <x:c r="I204" s="825"/>
      <x:c r="J204" s="825"/>
      <x:c r="K204" s="825"/>
      <x:c r="L204" s="825"/>
      <x:c r="M204" s="825"/>
      <x:c r="N204" s="825"/>
    </x:row>
    <x:row r="205" ht="26" hidden="0" customHeight="1">
      <x:c r="A205" s="852" t="str">
        <x:v>24. [HISTORICAL 예시 — 시간 수치 일부 구버전] 18:00 Global Hull 0</x:v>
      </x:c>
      <x:c r="B205" s="852"/>
      <x:c r="C205" s="852"/>
      <x:c r="D205" s="852"/>
      <x:c r="E205" s="852"/>
      <x:c r="F205" s="852"/>
      <x:c r="G205" s="852"/>
      <x:c r="H205" s="852"/>
      <x:c r="I205" s="852"/>
      <x:c r="J205" s="852"/>
      <x:c r="K205" s="852"/>
      <x:c r="L205" s="852"/>
      <x:c r="M205" s="852"/>
      <x:c r="N205" s="852"/>
    </x:row>
    <x:row r="206" ht="30" hidden="0" customHeight="1">
      <x:c r="A206" s="849" t="str">
        <x:v>선택</x:v>
      </x:c>
      <x:c r="B206" s="849" t="str">
        <x:v>완료 시각</x:v>
      </x:c>
      <x:c r="C206" s="849" t="str">
        <x:v>22:00 Deadline</x:v>
      </x:c>
      <x:c r="D206" s="849" t="str">
        <x:v>결과</x:v>
      </x:c>
      <x:c r="E206" s="849" t="str">
        <x:v>후속</x:v>
      </x:c>
      <x:c r="F206" s="849"/>
      <x:c r="G206" s="849"/>
      <x:c r="H206" s="849"/>
      <x:c r="I206" s="849"/>
      <x:c r="J206" s="849"/>
      <x:c r="K206" s="849"/>
      <x:c r="L206" s="849"/>
      <x:c r="M206" s="849"/>
      <x:c r="N206" s="849"/>
    </x:row>
    <x:row r="207" ht="15" hidden="0" customHeight="1">
      <x:c r="A207" s="825" t="str">
        <x:v>아무것도 못 함</x:v>
      </x:c>
      <x:c r="B207" s="825" t="str">
        <x:v>—</x:v>
      </x:c>
      <x:c r="C207" s="825" t="str">
        <x:v>22:00 도달</x:v>
      </x:c>
      <x:c r="D207" s="825" t="str">
        <x:v>Bad Ending 1</x:v>
      </x:c>
      <x:c r="E207" s="825" t="str">
        <x:v>배 전체 구조 붕괴</x:v>
      </x:c>
      <x:c r="F207" s="825"/>
      <x:c r="G207" s="825"/>
      <x:c r="H207" s="825"/>
      <x:c r="I207" s="825"/>
      <x:c r="J207" s="825"/>
      <x:c r="K207" s="825"/>
      <x:c r="L207" s="825"/>
      <x:c r="M207" s="825"/>
      <x:c r="N207" s="825"/>
    </x:row>
    <x:row r="208" ht="24" hidden="0" customHeight="1">
      <x:c r="A208" s="825" t="str">
        <x:v>기술8</x:v>
      </x:c>
      <x:c r="B208" s="825" t="str">
        <x:v>22:00</x:v>
      </x:c>
      <x:c r="C208" s="825" t="str">
        <x:v>완료 우선</x:v>
      </x:c>
      <x:c r="D208" s="825" t="str">
        <x:v>Hull 4</x:v>
      </x:c>
      <x:c r="E208" s="825" t="str">
        <x:v>당일 계획은 사실상 종료되지만 생존</x:v>
      </x:c>
      <x:c r="F208" s="825"/>
      <x:c r="G208" s="825"/>
      <x:c r="H208" s="825"/>
      <x:c r="I208" s="825"/>
      <x:c r="J208" s="825"/>
      <x:c r="K208" s="825"/>
      <x:c r="L208" s="825"/>
      <x:c r="M208" s="825"/>
      <x:c r="N208" s="825"/>
    </x:row>
    <x:row r="209" ht="30" hidden="0" customHeight="1">
      <x:c r="A209" s="839" t="str">
        <x:v>기술7 + 의지3</x:v>
      </x:c>
      <x:c r="B209" s="839" t="str">
        <x:v>20:00</x:v>
      </x:c>
      <x:c r="C209" s="839" t="str">
        <x:v>기술10 특수 성공</x:v>
      </x:c>
      <x:c r="D209" s="839" t="str">
        <x:v>Hull 4 / Will3 소모</x:v>
      </x:c>
      <x:c r="E209" s="839" t="str">
        <x:v>2h를 확보하지만 다음날 Will 압박</x:v>
      </x:c>
      <x:c r="F209" s="839"/>
      <x:c r="G209" s="839"/>
      <x:c r="H209" s="839"/>
      <x:c r="I209" s="839"/>
      <x:c r="J209" s="839"/>
      <x:c r="K209" s="839"/>
      <x:c r="L209" s="839"/>
      <x:c r="M209" s="839"/>
      <x:c r="N209" s="839"/>
    </x:row>
    <x:row r="210" ht="24" hidden="0" customHeight="1">
      <x:c r="A210" s="825" t="str">
        <x:v>기술10</x:v>
      </x:c>
      <x:c r="B210" s="825" t="str">
        <x:v>20:00</x:v>
      </x:c>
      <x:c r="C210" s="825" t="str">
        <x:v>여유 2h</x:v>
      </x:c>
      <x:c r="D210" s="825" t="str">
        <x:v>Hull 4 / Will0</x:v>
      </x:c>
      <x:c r="E210" s="825" t="str">
        <x:v>극단 기술 빌드의 클라이맥스 보상</x:v>
      </x:c>
      <x:c r="F210" s="825"/>
      <x:c r="G210" s="825"/>
      <x:c r="H210" s="825"/>
      <x:c r="I210" s="825"/>
      <x:c r="J210" s="825"/>
      <x:c r="K210" s="825"/>
      <x:c r="L210" s="825"/>
      <x:c r="M210" s="825"/>
      <x:c r="N210" s="825"/>
    </x:row>
    <x:row r="211" ht="36" hidden="0" customHeight="1">
      <x:c r="A211" s="825" t="str">
        <x:v>의지2 안전망</x:v>
      </x:c>
      <x:c r="B211" s="825" t="str">
        <x:v>22:00</x:v>
      </x:c>
      <x:c r="C211" s="825" t="str">
        <x:v>완료 우선</x:v>
      </x:c>
      <x:c r="D211" s="825" t="str">
        <x:v>Hull 1 / 전원 생존</x:v>
      </x:c>
      <x:c r="E211" s="825" t="str">
        <x:v>다음 Breach가 매우 위험, 이후 Hull 보강 필요</x:v>
      </x:c>
      <x:c r="F211" s="825"/>
      <x:c r="G211" s="825"/>
      <x:c r="H211" s="825"/>
      <x:c r="I211" s="825"/>
      <x:c r="J211" s="825"/>
      <x:c r="K211" s="825"/>
      <x:c r="L211" s="825"/>
      <x:c r="M211" s="825"/>
      <x:c r="N211" s="825"/>
    </x:row>
    <x:row r="212" ht="24" hidden="0" customHeight="1">
      <x:c r="A212" s="825" t="str">
        <x:v>벤자민+페이</x:v>
      </x:c>
      <x:c r="B212" s="825" t="str">
        <x:v>20:00</x:v>
      </x:c>
      <x:c r="C212" s="825" t="str">
        <x:v>여유 2h</x:v>
      </x:c>
      <x:c r="D212" s="825" t="str">
        <x:v>Hull 4 / 둘 다 생존</x:v>
      </x:c>
      <x:c r="E212" s="825" t="str">
        <x:v>두 전문가를 끝까지 살린 보상</x:v>
      </x:c>
      <x:c r="F212" s="825"/>
      <x:c r="G212" s="825"/>
      <x:c r="H212" s="825"/>
      <x:c r="I212" s="825"/>
      <x:c r="J212" s="825"/>
      <x:c r="K212" s="825"/>
      <x:c r="L212" s="825"/>
      <x:c r="M212" s="825"/>
      <x:c r="N212" s="825"/>
    </x:row>
    <x:row r="213" ht="24" hidden="0" customHeight="1">
      <x:c r="A213" s="825" t="str">
        <x:v>전문가 희생</x:v>
      </x:c>
      <x:c r="B213" s="825" t="str">
        <x:v>20:00</x:v>
      </x:c>
      <x:c r="C213" s="825" t="str">
        <x:v>여유 2h</x:v>
      </x:c>
      <x:c r="D213" s="825" t="str">
        <x:v>Hull 4 / 1명 사망</x:v>
      </x:c>
      <x:c r="E213" s="825" t="str">
        <x:v>생존을 위해 사람을 지불한 비극적 선택</x:v>
      </x:c>
      <x:c r="F213" s="825"/>
      <x:c r="G213" s="825"/>
      <x:c r="H213" s="825"/>
      <x:c r="I213" s="825"/>
      <x:c r="J213" s="825"/>
      <x:c r="K213" s="825"/>
      <x:c r="L213" s="825"/>
      <x:c r="M213" s="825"/>
      <x:c r="N213" s="825"/>
    </x:row>
    <x:row r="214" ht="15" hidden="0" customHeight="1">
      <x:c r="A214" s="825"/>
      <x:c r="B214" s="825"/>
      <x:c r="C214" s="825"/>
      <x:c r="D214" s="825"/>
      <x:c r="E214" s="825"/>
      <x:c r="F214" s="825"/>
      <x:c r="G214" s="825"/>
      <x:c r="H214" s="825"/>
      <x:c r="I214" s="825"/>
      <x:c r="J214" s="825"/>
      <x:c r="K214" s="825"/>
      <x:c r="L214" s="825"/>
      <x:c r="M214" s="825"/>
      <x:c r="N214" s="825"/>
    </x:row>
    <x:row r="215" ht="15" hidden="0" customHeight="1">
      <x:c r="A215" s="825"/>
      <x:c r="B215" s="825"/>
      <x:c r="C215" s="825"/>
      <x:c r="D215" s="825"/>
      <x:c r="E215" s="825"/>
      <x:c r="F215" s="825"/>
      <x:c r="G215" s="825"/>
      <x:c r="H215" s="825"/>
      <x:c r="I215" s="825"/>
      <x:c r="J215" s="825"/>
      <x:c r="K215" s="825"/>
      <x:c r="L215" s="825"/>
      <x:c r="M215" s="825"/>
      <x:c r="N215" s="825"/>
    </x:row>
    <x:row r="216" ht="15" hidden="0" customHeight="1">
      <x:c r="A216" s="837" t="str">
        <x:v>25. 냉동창고 / 온실 0 — Critical Function Loss 공통 규칙</x:v>
      </x:c>
      <x:c r="B216" s="837"/>
      <x:c r="C216" s="837"/>
      <x:c r="D216" s="837"/>
      <x:c r="E216" s="837"/>
      <x:c r="F216" s="837"/>
      <x:c r="G216" s="837"/>
      <x:c r="H216" s="837"/>
      <x:c r="I216" s="837" t="str">
        <x:v>냉동창고 vs 온실 복구 비교</x:v>
      </x:c>
      <x:c r="J216" s="837"/>
      <x:c r="K216" s="837"/>
      <x:c r="L216" s="837"/>
      <x:c r="M216" s="837"/>
      <x:c r="N216" s="837"/>
    </x:row>
    <x:row r="217" ht="30" hidden="0" customHeight="1">
      <x:c r="A217" s="849" t="str">
        <x:v>항목</x:v>
      </x:c>
      <x:c r="B217" s="849" t="str">
        <x:v>규칙</x:v>
      </x:c>
      <x:c r="C217" s="849" t="str">
        <x:v>설계 의도</x:v>
      </x:c>
      <x:c r="D217" s="849" t="str">
        <x:v>상태</x:v>
      </x:c>
      <x:c r="E217" s="849"/>
      <x:c r="F217" s="849"/>
      <x:c r="G217" s="849"/>
      <x:c r="H217" s="849"/>
      <x:c r="I217" s="849" t="str">
        <x:v>항목</x:v>
      </x:c>
      <x:c r="J217" s="849" t="str">
        <x:v>냉동창고</x:v>
      </x:c>
      <x:c r="K217" s="849" t="str">
        <x:v>온실</x:v>
      </x:c>
      <x:c r="L217" s="849"/>
      <x:c r="M217" s="849"/>
      <x:c r="N217" s="849"/>
    </x:row>
    <x:row r="218" ht="48" hidden="0" customHeight="1">
      <x:c r="A218" s="825" t="str">
        <x:v>Trigger</x:v>
      </x:c>
      <x:c r="B218" s="825" t="str">
        <x:v>냉동창고 또는 온실 Integrity가 1 이상 → 0으로 내려가는 순간 Recovery Window 시작</x:v>
      </x:c>
      <x:c r="C218" s="825" t="str">
        <x:v>0을 즉시 영구 실패가 아니라 '마지막 복구 기회'로 사용</x:v>
      </x:c>
      <x:c r="D218" s="825" t="str">
        <x:v>확정방향</x:v>
      </x:c>
      <x:c r="E218" s="825"/>
      <x:c r="F218" s="825"/>
      <x:c r="G218" s="825"/>
      <x:c r="H218" s="825"/>
      <x:c r="I218" s="825" t="str">
        <x:v>Recovery Window</x:v>
      </x:c>
      <x:c r="J218" s="825" t="str">
        <x:v>6h</x:v>
      </x:c>
      <x:c r="K218" s="825" t="str">
        <x:v>24h</x:v>
      </x:c>
      <x:c r="L218" s="825"/>
      <x:c r="M218" s="825"/>
      <x:c r="N218" s="825"/>
    </x:row>
    <x:row r="219" ht="36" hidden="0" customHeight="1">
      <x:c r="A219" s="825" t="str">
        <x:v>0 상태</x:v>
      </x:c>
      <x:c r="B219" s="825" t="str">
        <x:v>시설 기능은 즉시 중단. 단, 영구 기능정지는 아직 아님</x:v>
      </x:c>
      <x:c r="C219" s="825" t="str">
        <x:v>복구창 동안은 '살릴 수 있는 고장'</x:v>
      </x:c>
      <x:c r="D219" s="825" t="str">
        <x:v>확정방향</x:v>
      </x:c>
      <x:c r="E219" s="825"/>
      <x:c r="F219" s="825"/>
      <x:c r="G219" s="825"/>
      <x:c r="H219" s="825"/>
      <x:c r="I219" s="825" t="str">
        <x:v>기본 안전망</x:v>
      </x:c>
      <x:c r="J219" s="825" t="str">
        <x:v>4h → Integrity1</x:v>
      </x:c>
      <x:c r="K219" s="825" t="str">
        <x:v>6h → Integrity1</x:v>
      </x:c>
      <x:c r="L219" s="825"/>
      <x:c r="M219" s="825"/>
      <x:c r="N219" s="825"/>
    </x:row>
    <x:row r="220" ht="60" hidden="0" customHeight="1">
      <x:c r="A220" s="825" t="str">
        <x:v>일반 수리</x:v>
      </x:c>
      <x:c r="B220" s="825" t="str">
        <x:v>Recovery Active 동안 기존 일반 +1 수리는 사용할 수 없음. 전용 복구 행동으로 먼저 0→양수 전환해야 함</x:v>
      </x:c>
      <x:c r="C220" s="825" t="str">
        <x:v>2h 일반 수리 한 번으로 6h/24h Emergency가 무의미해지는 것 방지</x:v>
      </x:c>
      <x:c r="D220" s="825" t="str">
        <x:v>TEMP 추천</x:v>
      </x:c>
      <x:c r="E220" s="825"/>
      <x:c r="F220" s="825"/>
      <x:c r="G220" s="825"/>
      <x:c r="H220" s="825"/>
      <x:c r="I220" s="825" t="str">
        <x:v>기술8</x:v>
      </x:c>
      <x:c r="J220" s="825" t="str">
        <x:v>2h → Integrity2</x:v>
      </x:c>
      <x:c r="K220" s="825" t="str">
        <x:v>4h → Integrity2</x:v>
      </x:c>
      <x:c r="L220" s="825"/>
      <x:c r="M220" s="825"/>
      <x:c r="N220" s="825"/>
    </x:row>
    <x:row r="221" ht="48" hidden="0" customHeight="1">
      <x:c r="A221" s="825" t="str">
        <x:v>복구 성공</x:v>
      </x:c>
      <x:c r="B221" s="825" t="str">
        <x:v>전용 행동 완료 시 Integrity 1 또는 2로 복구 + Recovery Timer 제거 + 일반 수리 재개</x:v>
      </x:c>
      <x:c r="C221" s="825" t="str">
        <x:v>Emergency 해결과 이후 보강을 분리</x:v>
      </x:c>
      <x:c r="D221" s="825" t="str">
        <x:v>TEMP 추천</x:v>
      </x:c>
      <x:c r="E221" s="825"/>
      <x:c r="F221" s="825"/>
      <x:c r="G221" s="825"/>
      <x:c r="H221" s="825"/>
      <x:c r="I221" s="825" t="str">
        <x:v>기술10+Will</x:v>
      </x:c>
      <x:c r="J221" s="825" t="str">
        <x:v>1h → Integrity2</x:v>
      </x:c>
      <x:c r="K221" s="825" t="str">
        <x:v>2h → Integrity2</x:v>
      </x:c>
      <x:c r="L221" s="825"/>
      <x:c r="M221" s="825"/>
      <x:c r="N221" s="825"/>
    </x:row>
    <x:row r="222" ht="60" hidden="0" customHeight="1">
      <x:c r="A222" s="825" t="str">
        <x:v>Deadline 실패</x:v>
      </x:c>
      <x:c r="B222" s="825" t="str">
        <x:v>남은 시간이 0이 되면 `기능 정지(PERMANENT)` 확정, Integrity 0 고정, 이후 복구 불가</x:v>
      </x:c>
      <x:c r="C222" s="825" t="str">
        <x:v>실패의 장기적 의미를 분명하게 함</x:v>
      </x:c>
      <x:c r="D222" s="825" t="str">
        <x:v>기존 확정방향</x:v>
      </x:c>
      <x:c r="E222" s="825"/>
      <x:c r="F222" s="825"/>
      <x:c r="G222" s="825"/>
      <x:c r="H222" s="825"/>
      <x:c r="I222" s="825" t="str">
        <x:v>전문가 1명</x:v>
      </x:c>
      <x:c r="J222" s="825" t="str">
        <x:v>2h</x:v>
      </x:c>
      <x:c r="K222" s="825" t="str">
        <x:v>4h</x:v>
      </x:c>
      <x:c r="L222" s="825"/>
      <x:c r="M222" s="825"/>
      <x:c r="N222" s="825"/>
    </x:row>
    <x:row r="223" ht="48" hidden="0" customHeight="1">
      <x:c r="A223" s="825" t="str">
        <x:v>출항 영향</x:v>
      </x:c>
      <x:c r="B223" s="825" t="str">
        <x:v>냉동창고 또는 온실이 PERMANENT 기능정지면 ShipCondition은 영구 `항해 불가`</x:v>
      </x:c>
      <x:c r="C223" s="825" t="str">
        <x:v>장거리 출항의 핵심 Hard Gate</x:v>
      </x:c>
      <x:c r="D223" s="825" t="str">
        <x:v>확정</x:v>
      </x:c>
      <x:c r="E223" s="825"/>
      <x:c r="F223" s="825"/>
      <x:c r="G223" s="825"/>
      <x:c r="H223" s="825"/>
      <x:c r="I223" s="825" t="str">
        <x:v>전문가 2명</x:v>
      </x:c>
      <x:c r="J223" s="825" t="str">
        <x:v>1h</x:v>
      </x:c>
      <x:c r="K223" s="825" t="str">
        <x:v>2h</x:v>
      </x:c>
      <x:c r="L223" s="825"/>
      <x:c r="M223" s="825"/>
      <x:c r="N223" s="825"/>
    </x:row>
    <x:row r="224" ht="30" hidden="0" customHeight="1">
      <x:c r="A224" s="839" t="str">
        <x:v>Active Recovery와 Ending</x:v>
      </x:c>
      <x:c r="B224" s="839" t="str">
        <x:v>Recovery Active 자체는 아직 영구 항해불가가 아니지만 D21 최종 판정은 보류. 복구하거나 명시적으로 포기해야 Ending 결정 가능</x:v>
      </x:c>
      <x:c r="C224" s="839" t="str">
        <x:v>회복 가능한 배를 '어쩔 수 없이 정착'으로 판정하는 모순 방지</x:v>
      </x:c>
      <x:c r="D224" s="839" t="str">
        <x:v>TEMP 추천</x:v>
      </x:c>
      <x:c r="E224" s="839"/>
      <x:c r="F224" s="839"/>
      <x:c r="G224" s="839"/>
      <x:c r="H224" s="839"/>
      <x:c r="I224" s="839" t="str">
        <x:v>특수 NPC</x:v>
      </x:c>
      <x:c r="J224" s="839" t="str">
        <x:v>없음</x:v>
      </x:c>
      <x:c r="K224" s="839" t="str">
        <x:v>보리치 2h → Deadline +6h (1회)</x:v>
      </x:c>
      <x:c r="L224" s="839"/>
      <x:c r="M224" s="839"/>
      <x:c r="N224" s="839"/>
    </x:row>
    <x:row r="225" ht="60" hidden="0" customHeight="1">
      <x:c r="A225" s="825" t="str">
        <x:v>재진입</x:v>
      </x:c>
      <x:c r="B225" s="825" t="str">
        <x:v>복구 후 다시 0이 되면 새 Recovery Window 시작. 0인 채로 추가 Tick을 맞는 동안에는 Timer를 리셋하지 않음</x:v>
      </x:c>
      <x:c r="C225" s="825" t="str">
        <x:v>상태 재진입은 허용하되 무한 시간 연장 방지</x:v>
      </x:c>
      <x:c r="D225" s="825" t="str">
        <x:v>TEMP 추천</x:v>
      </x:c>
      <x:c r="E225" s="825"/>
      <x:c r="F225" s="825"/>
      <x:c r="G225" s="825"/>
      <x:c r="H225" s="825"/>
      <x:c r="I225" s="825" t="str">
        <x:v>Overnight 성격</x:v>
      </x:c>
      <x:c r="J225" s="825" t="str">
        <x:v>사실상 당일 결단</x:v>
      </x:c>
      <x:c r="K225" s="825" t="str">
        <x:v>다음 날까지 이어질 수 있는 장기 압박</x:v>
      </x:c>
      <x:c r="L225" s="825"/>
      <x:c r="M225" s="825"/>
      <x:c r="N225" s="825"/>
    </x:row>
    <x:row r="226" ht="24" hidden="0" customHeight="1">
      <x:c r="A226" s="825"/>
      <x:c r="B226" s="825"/>
      <x:c r="C226" s="825"/>
      <x:c r="D226" s="825"/>
      <x:c r="E226" s="825"/>
      <x:c r="F226" s="825"/>
      <x:c r="G226" s="825"/>
      <x:c r="H226" s="825"/>
      <x:c r="I226" s="825" t="str">
        <x:v>실패 결과</x:v>
      </x:c>
      <x:c r="J226" s="825" t="str">
        <x:v>PERMANENT → 항해불가</x:v>
      </x:c>
      <x:c r="K226" s="825" t="str">
        <x:v>PERMANENT → 항해불가</x:v>
      </x:c>
      <x:c r="L226" s="825"/>
      <x:c r="M226" s="825"/>
      <x:c r="N226" s="825"/>
    </x:row>
    <x:row r="227" ht="26" hidden="0" customHeight="1">
      <x:c r="A227" s="852" t="str">
        <x:v>26. 냉동창고 기능상실 — 6시간 Recovery Window</x:v>
      </x:c>
      <x:c r="B227" s="852"/>
      <x:c r="C227" s="852"/>
      <x:c r="D227" s="852"/>
      <x:c r="E227" s="852"/>
      <x:c r="F227" s="852"/>
      <x:c r="G227" s="852"/>
      <x:c r="H227" s="852"/>
      <x:c r="I227" s="852"/>
      <x:c r="J227" s="852"/>
      <x:c r="K227" s="852"/>
      <x:c r="L227" s="852"/>
      <x:c r="M227" s="852"/>
      <x:c r="N227" s="852"/>
    </x:row>
    <x:row r="228" ht="30" hidden="0" customHeight="1">
      <x:c r="A228" s="849" t="str">
        <x:v>항목</x:v>
      </x:c>
      <x:c r="B228" s="849" t="str">
        <x:v>규칙</x:v>
      </x:c>
      <x:c r="C228" s="849" t="str">
        <x:v>의미</x:v>
      </x:c>
      <x:c r="D228" s="849" t="str">
        <x:v>상태</x:v>
      </x:c>
      <x:c r="E228" s="849"/>
      <x:c r="F228" s="849"/>
      <x:c r="G228" s="849"/>
      <x:c r="H228" s="849"/>
      <x:c r="I228" s="849" t="str">
        <x:v>예시 — 온실 0 at D18 16:00</x:v>
      </x:c>
      <x:c r="J228" s="849"/>
      <x:c r="K228" s="849"/>
      <x:c r="L228" s="849"/>
      <x:c r="M228" s="849"/>
      <x:c r="N228" s="849"/>
    </x:row>
    <x:row r="229" ht="30" hidden="0" customHeight="1">
      <x:c r="A229" s="849" t="str">
        <x:v>Deadline</x:v>
      </x:c>
      <x:c r="B229" s="849" t="str">
        <x:v>0 도달 시 정확히 +6h</x:v>
      </x:c>
      <x:c r="C229" s="849" t="str">
        <x:v>짧고 강한 기술적 위기</x:v>
      </x:c>
      <x:c r="D229" s="849" t="str">
        <x:v>확정</x:v>
      </x:c>
      <x:c r="E229" s="849"/>
      <x:c r="F229" s="849"/>
      <x:c r="G229" s="849"/>
      <x:c r="H229" s="849"/>
      <x:c r="I229" s="849" t="str">
        <x:v>시점/선택</x:v>
      </x:c>
      <x:c r="J229" s="849" t="str">
        <x:v>남은 시간</x:v>
      </x:c>
      <x:c r="K229" s="849" t="str">
        <x:v>결과</x:v>
      </x:c>
      <x:c r="L229" s="849"/>
      <x:c r="M229" s="849"/>
      <x:c r="N229" s="849"/>
    </x:row>
    <x:row r="230" ht="36" hidden="0" customHeight="1">
      <x:c r="A230" s="825" t="str">
        <x:v>위험</x:v>
      </x:c>
      <x:c r="B230" s="825" t="str">
        <x:v>냉각이 끊겨 장거리 항해용 보존 자산이 빠르게 손상</x:v>
      </x:c>
      <x:c r="C230" s="825" t="str">
        <x:v>사람이 즉사하는 사건은 아니지만 출항 기반을 잃음</x:v>
      </x:c>
      <x:c r="D230" s="825" t="str">
        <x:v>확정방향</x:v>
      </x:c>
      <x:c r="E230" s="825"/>
      <x:c r="F230" s="825"/>
      <x:c r="G230" s="825"/>
      <x:c r="H230" s="825"/>
      <x:c r="I230" s="825" t="str">
        <x:v>D18 16:00 발생</x:v>
      </x:c>
      <x:c r="J230" s="825" t="str">
        <x:v>24h</x:v>
      </x:c>
      <x:c r="K230" s="825" t="str">
        <x:v>D19 16:00까지 복구 가능</x:v>
      </x:c>
      <x:c r="L230" s="825"/>
      <x:c r="M230" s="825"/>
      <x:c r="N230" s="825"/>
    </x:row>
    <x:row r="231" ht="30" hidden="0" customHeight="1">
      <x:c r="A231" s="839" t="str">
        <x:v>Overnight</x:v>
      </x:c>
      <x:c r="B231" s="839" t="str">
        <x:v>남은 시간이 10h보다 짧으므로 Active 상태에서 End Day를 누르면 반드시 Deadline이 지나감</x:v>
      </x:c>
      <x:c r="C231" s="839" t="str">
        <x:v>수면 전 결과를 명확히 경고해야 함</x:v>
      </x:c>
      <x:c r="D231" s="839" t="str">
        <x:v>확정방향</x:v>
      </x:c>
      <x:c r="E231" s="839"/>
      <x:c r="F231" s="839"/>
      <x:c r="G231" s="839"/>
      <x:c r="H231" s="839"/>
      <x:c r="I231" s="839" t="str">
        <x:v>D18 22:00 End Day</x:v>
      </x:c>
      <x:c r="J231" s="839" t="str">
        <x:v>18h</x:v>
      </x:c>
      <x:c r="K231" s="839" t="str">
        <x:v>Overnight 진행</x:v>
      </x:c>
      <x:c r="L231" s="839"/>
      <x:c r="M231" s="839"/>
      <x:c r="N231" s="839"/>
    </x:row>
    <x:row r="232" ht="30" hidden="0" customHeight="1">
      <x:c r="A232" s="839" t="str">
        <x:v>End Day 처리</x:v>
      </x:c>
      <x:c r="B232" s="839" t="str">
        <x:v>강한 확인창 후 '복구 포기하고 잠든다' 선택 가능. 선택 시 Overnight 중 PERMANENT 기능정지</x:v>
      </x:c>
      <x:c r="C232" s="839" t="str">
        <x:v>플레이어가 Hidden/정착 등을 위해 의도적으로 출항 자산을 포기할 자유는 유지</x:v>
      </x:c>
      <x:c r="D232" s="839" t="str">
        <x:v>TEMP 추천</x:v>
      </x:c>
      <x:c r="E232" s="839"/>
      <x:c r="F232" s="839"/>
      <x:c r="G232" s="839"/>
      <x:c r="H232" s="839"/>
      <x:c r="I232" s="839" t="str">
        <x:v>D19 08:00 Day Start</x:v>
      </x:c>
      <x:c r="J232" s="839" t="str">
        <x:v>8h</x:v>
      </x:c>
      <x:c r="K232" s="839" t="str">
        <x:v>상태 보고 최우선 경고</x:v>
      </x:c>
      <x:c r="L232" s="839"/>
      <x:c r="M232" s="839"/>
      <x:c r="N232" s="839"/>
    </x:row>
    <x:row r="233" ht="24" hidden="0" customHeight="1">
      <x:c r="A233" s="825"/>
      <x:c r="B233" s="825"/>
      <x:c r="C233" s="825"/>
      <x:c r="D233" s="825"/>
      <x:c r="E233" s="825"/>
      <x:c r="F233" s="825"/>
      <x:c r="G233" s="825"/>
      <x:c r="H233" s="825"/>
      <x:c r="I233" s="825" t="str">
        <x:v>보리치 2h 보존</x:v>
      </x:c>
      <x:c r="J233" s="825" t="str">
        <x:v>14h</x:v>
      </x:c>
      <x:c r="K233" s="825" t="str">
        <x:v>+6h 연장되어 D19 22:00까지</x:v>
      </x:c>
      <x:c r="L233" s="825"/>
      <x:c r="M233" s="825"/>
      <x:c r="N233" s="825"/>
    </x:row>
    <x:row r="234" ht="30" hidden="0" customHeight="1">
      <x:c r="A234" s="849" t="str">
        <x:v>선택지</x:v>
      </x:c>
      <x:c r="B234" s="849" t="str">
        <x:v>시간</x:v>
      </x:c>
      <x:c r="C234" s="849" t="str">
        <x:v>조건</x:v>
      </x:c>
      <x:c r="D234" s="849" t="str">
        <x:v>의지</x:v>
      </x:c>
      <x:c r="E234" s="849" t="str">
        <x:v>복구 결과</x:v>
      </x:c>
      <x:c r="F234" s="849" t="str">
        <x:v>의미</x:v>
      </x:c>
      <x:c r="G234" s="849" t="str">
        <x:v>상태</x:v>
      </x:c>
      <x:c r="H234" s="849"/>
      <x:c r="I234" s="849" t="str">
        <x:v>기술8 4h 복구</x:v>
      </x:c>
      <x:c r="J234" s="849" t="str">
        <x:v>—</x:v>
      </x:c>
      <x:c r="K234" s="849" t="str">
        <x:v>Greenhouse 2, Timer 종료</x:v>
      </x:c>
      <x:c r="L234" s="849"/>
      <x:c r="M234" s="849"/>
      <x:c r="N234" s="849"/>
    </x:row>
    <x:row r="235" ht="24" hidden="0" customHeight="1">
      <x:c r="A235" s="825" t="str">
        <x:v>냉각 회로를 차근차근 재구성한다</x:v>
      </x:c>
      <x:c r="B235" s="825" t="n">
        <x:v>4</x:v>
      </x:c>
      <x:c r="C235" s="825" t="str">
        <x:v>없음</x:v>
      </x:c>
      <x:c r="D235" s="825" t="n">
        <x:v>0</x:v>
      </x:c>
      <x:c r="E235" s="825" t="str">
        <x:v>Freezer 0→1 / Timer 종료</x:v>
      </x:c>
      <x:c r="F235" s="825" t="str">
        <x:v>누구나 가능한 안전망. 6h 중 4h를 사용</x:v>
      </x:c>
      <x:c r="G235" s="825" t="str">
        <x:v>TEMP 추천</x:v>
      </x:c>
      <x:c r="H235" s="825"/>
      <x:c r="I235" s="825"/>
      <x:c r="J235" s="825"/>
      <x:c r="K235" s="825"/>
      <x:c r="L235" s="825"/>
      <x:c r="M235" s="825"/>
      <x:c r="N235" s="825"/>
    </x:row>
    <x:row r="236" ht="24" hidden="0" customHeight="1">
      <x:c r="A236" s="825" t="str">
        <x:v>[기술 8] 예비 냉각 라인을 재연결한다</x:v>
      </x:c>
      <x:c r="B236" s="825" t="n">
        <x:v>2</x:v>
      </x:c>
      <x:c r="C236" s="825" t="str">
        <x:v>기술 &gt;=8</x:v>
      </x:c>
      <x:c r="D236" s="825" t="n">
        <x:v>0</x:v>
      </x:c>
      <x:c r="E236" s="825" t="str">
        <x:v>Freezer 0→2 / Timer 종료</x:v>
      </x:c>
      <x:c r="F236" s="825" t="str">
        <x:v>후반 기술 전문화 보상</x:v>
      </x:c>
      <x:c r="G236" s="825" t="str">
        <x:v>TEMP 추천</x:v>
      </x:c>
      <x:c r="H236" s="825"/>
      <x:c r="I236" s="825" t="str">
        <x:v>설계 의도: 두 시설 모두 0이면 출항 기반을 잃을 위험이 있지만 플레이 감정은 달라야 한다. 냉동창고는 '지금 6시간 안에 손을 대야 하는 짧은 기술 레이스', 온실은 '오늘 다른 일을 포기할지, 밤을 넘겨 내일 해결할지'를 묻는 장기 Deadline이다. 따라서 같은 0→기능정지 규칙을 공유해도 시간 구조가 다르다.</x:v>
      </x:c>
      <x:c r="J236" s="825"/>
      <x:c r="K236" s="825"/>
      <x:c r="L236" s="825"/>
      <x:c r="M236" s="825"/>
      <x:c r="N236" s="825"/>
    </x:row>
    <x:row r="237" ht="36" hidden="0" customHeight="1">
      <x:c r="A237" s="825" t="str">
        <x:v>[기술 10 / 의지 보완 가능] 보호회로를 강제 우회한다</x:v>
      </x:c>
      <x:c r="B237" s="825" t="n">
        <x:v>1</x:v>
      </x:c>
      <x:c r="C237" s="825" t="str">
        <x:v>기술 + 사용 의지 &gt;=10</x:v>
      </x:c>
      <x:c r="D237" s="825" t="str">
        <x:v>부족분 1:1</x:v>
      </x:c>
      <x:c r="E237" s="825" t="str">
        <x:v>Freezer 0→2 / Timer 종료</x:v>
      </x:c>
      <x:c r="F237" s="825" t="str">
        <x:v>시간을 사기 위한 클라이맥스급 압축</x:v>
      </x:c>
      <x:c r="G237" s="825" t="str">
        <x:v>TEMP 추천</x:v>
      </x:c>
      <x:c r="H237" s="825"/>
      <x:c r="I237" s="825"/>
      <x:c r="J237" s="825"/>
      <x:c r="K237" s="825"/>
      <x:c r="L237" s="825"/>
      <x:c r="M237" s="825"/>
      <x:c r="N237" s="825"/>
    </x:row>
    <x:row r="238" ht="24" hidden="0" customHeight="1">
      <x:c r="A238" s="825" t="str">
        <x:v>벤자민 또는 페이에게 맡긴다</x:v>
      </x:c>
      <x:c r="B238" s="825" t="n">
        <x:v>2</x:v>
      </x:c>
      <x:c r="C238" s="825" t="str">
        <x:v>해당 전문가 Available</x:v>
      </x:c>
      <x:c r="D238" s="825" t="n">
        <x:v>0</x:v>
      </x:c>
      <x:c r="E238" s="825" t="str">
        <x:v>Freezer 0→2 / Timer 종료</x:v>
      </x:c>
      <x:c r="F238" s="825" t="str">
        <x:v>전문가 생존·배치 보상</x:v>
      </x:c>
      <x:c r="G238" s="825" t="str">
        <x:v>TEMP 추천</x:v>
      </x:c>
      <x:c r="H238" s="825"/>
      <x:c r="I238" s="825"/>
      <x:c r="J238" s="825"/>
      <x:c r="K238" s="825"/>
      <x:c r="L238" s="825"/>
      <x:c r="M238" s="825"/>
      <x:c r="N238" s="825"/>
    </x:row>
    <x:row r="239" ht="24" hidden="0" customHeight="1">
      <x:c r="A239" s="825" t="str">
        <x:v>벤자민 + 페이 협업</x:v>
      </x:c>
      <x:c r="B239" s="825" t="n">
        <x:v>1</x:v>
      </x:c>
      <x:c r="C239" s="825" t="str">
        <x:v>둘 다 Available</x:v>
      </x:c>
      <x:c r="D239" s="825" t="n">
        <x:v>0</x:v>
      </x:c>
      <x:c r="E239" s="825" t="str">
        <x:v>Freezer 0→2 / Timer 종료</x:v>
      </x:c>
      <x:c r="F239" s="825" t="str">
        <x:v>최상 NPC 보상</x:v>
      </x:c>
      <x:c r="G239" s="825" t="str">
        <x:v>TEMP 추천</x:v>
      </x:c>
      <x:c r="H239" s="825"/>
      <x:c r="I239" s="825"/>
      <x:c r="J239" s="825"/>
      <x:c r="K239" s="825"/>
      <x:c r="L239" s="825"/>
      <x:c r="M239" s="825"/>
      <x:c r="N239" s="825"/>
    </x:row>
    <x:row r="240" ht="15" hidden="0" customHeight="1">
      <x:c r="A240" s="825" t="str">
        <x:v>냉동창고에는 순수 의지 해결을 넣지 않는다. '의지가 세서 냉각장치를 살린다'는 의미가 되기 쉽기 때문. 의지는 오직 기술10 부족분 보완에만 쓰고, 기본 4h라는 비스탯 안전망으로 모든 빌드의 생존 가능성을 보장한다.</x:v>
      </x:c>
      <x:c r="B240" s="825"/>
      <x:c r="C240" s="825"/>
      <x:c r="D240" s="825"/>
      <x:c r="E240" s="825"/>
      <x:c r="F240" s="825"/>
      <x:c r="G240" s="825"/>
      <x:c r="H240" s="825"/>
      <x:c r="I240" s="825"/>
      <x:c r="J240" s="825"/>
      <x:c r="K240" s="825"/>
      <x:c r="L240" s="825"/>
      <x:c r="M240" s="825"/>
      <x:c r="N240" s="825"/>
    </x:row>
    <x:row r="241" ht="15" hidden="0" customHeight="1">
      <x:c r="A241" s="825"/>
      <x:c r="B241" s="825"/>
      <x:c r="C241" s="825"/>
      <x:c r="D241" s="825"/>
      <x:c r="E241" s="825"/>
      <x:c r="F241" s="825"/>
      <x:c r="G241" s="825"/>
      <x:c r="H241" s="825"/>
      <x:c r="I241" s="825"/>
      <x:c r="J241" s="825"/>
      <x:c r="K241" s="825"/>
      <x:c r="L241" s="825"/>
      <x:c r="M241" s="825"/>
      <x:c r="N241" s="825"/>
    </x:row>
    <x:row r="242" ht="15" hidden="0" customHeight="1">
      <x:c r="A242" s="825"/>
      <x:c r="B242" s="825"/>
      <x:c r="C242" s="825"/>
      <x:c r="D242" s="825"/>
      <x:c r="E242" s="825"/>
      <x:c r="F242" s="825"/>
      <x:c r="G242" s="825"/>
      <x:c r="H242" s="825"/>
      <x:c r="I242" s="825"/>
      <x:c r="J242" s="825"/>
      <x:c r="K242" s="825"/>
      <x:c r="L242" s="825"/>
      <x:c r="M242" s="825"/>
      <x:c r="N242" s="825"/>
    </x:row>
    <x:row r="243" ht="15" hidden="0" customHeight="1">
      <x:c r="A243" s="825"/>
      <x:c r="B243" s="825"/>
      <x:c r="C243" s="825"/>
      <x:c r="D243" s="825"/>
      <x:c r="E243" s="825"/>
      <x:c r="F243" s="825"/>
      <x:c r="G243" s="825"/>
      <x:c r="H243" s="825"/>
      <x:c r="I243" s="837" t="str">
        <x:v>Critical Function Loss 남은 TBD</x:v>
      </x:c>
      <x:c r="J243" s="837"/>
      <x:c r="K243" s="837"/>
      <x:c r="L243" s="837"/>
      <x:c r="M243" s="837"/>
      <x:c r="N243" s="837"/>
    </x:row>
    <x:row r="244" ht="30" hidden="0" customHeight="1">
      <x:c r="A244" s="839" t="str">
        <x:v>27. 온실 기능상실 — 24시간 Recovery Window</x:v>
      </x:c>
      <x:c r="B244" s="839"/>
      <x:c r="C244" s="839"/>
      <x:c r="D244" s="839"/>
      <x:c r="E244" s="839"/>
      <x:c r="F244" s="839"/>
      <x:c r="G244" s="839"/>
      <x:c r="H244" s="839"/>
      <x:c r="I244" s="839" t="str">
        <x:v>항목</x:v>
      </x:c>
      <x:c r="J244" s="839" t="str">
        <x:v>현재 방향</x:v>
      </x:c>
      <x:c r="K244" s="839" t="str">
        <x:v>우선순위</x:v>
      </x:c>
      <x:c r="L244" s="839"/>
      <x:c r="M244" s="839"/>
      <x:c r="N244" s="839"/>
    </x:row>
    <x:row r="245" ht="30" hidden="0" customHeight="1">
      <x:c r="A245" s="849" t="str">
        <x:v>항목</x:v>
      </x:c>
      <x:c r="B245" s="849" t="str">
        <x:v>규칙</x:v>
      </x:c>
      <x:c r="C245" s="849" t="str">
        <x:v>의미</x:v>
      </x:c>
      <x:c r="D245" s="849" t="str">
        <x:v>상태</x:v>
      </x:c>
      <x:c r="E245" s="849"/>
      <x:c r="F245" s="849"/>
      <x:c r="G245" s="849"/>
      <x:c r="H245" s="849"/>
      <x:c r="I245" s="849" t="str">
        <x:v>End Day 포기 UX</x:v>
      </x:c>
      <x:c r="J245" s="849" t="str">
        <x:v>Deadline이 Overnight 중 끝날 경우 강한 확인창 후 의도적 포기 허용</x:v>
      </x:c>
      <x:c r="K245" s="849" t="str">
        <x:v>높음</x:v>
      </x:c>
      <x:c r="L245" s="849"/>
      <x:c r="M245" s="849"/>
      <x:c r="N245" s="849"/>
    </x:row>
    <x:row r="246" ht="36" hidden="0" customHeight="1">
      <x:c r="A246" s="825" t="str">
        <x:v>Deadline</x:v>
      </x:c>
      <x:c r="B246" s="825" t="str">
        <x:v>0 도달 시 정확히 +24h</x:v>
      </x:c>
      <x:c r="C246" s="825" t="str">
        <x:v>즉시 해결보다 '오늘 무엇을 미룰지'를 묻는 장기 위기</x:v>
      </x:c>
      <x:c r="D246" s="825" t="str">
        <x:v>확정</x:v>
      </x:c>
      <x:c r="E246" s="825"/>
      <x:c r="F246" s="825"/>
      <x:c r="G246" s="825"/>
      <x:c r="H246" s="825"/>
      <x:c r="I246" s="825" t="str">
        <x:v>D21 Active Recovery</x:v>
      </x:c>
      <x:c r="J246" s="825" t="str">
        <x:v>엔딩 판정 보류 후 복구/포기 선택을 요구</x:v>
      </x:c>
      <x:c r="K246" s="825" t="str">
        <x:v>높음</x:v>
      </x:c>
      <x:c r="L246" s="825"/>
      <x:c r="M246" s="825"/>
      <x:c r="N246" s="825"/>
    </x:row>
    <x:row r="247" ht="48" hidden="0" customHeight="1">
      <x:c r="A247" s="825" t="str">
        <x:v>위험</x:v>
      </x:c>
      <x:c r="B247" s="825" t="str">
        <x:v>순환계가 멈추고 식생·재배 기반이 서서히 회복 불가능 상태로 감</x:v>
      </x:c>
      <x:c r="C247" s="825" t="str">
        <x:v>샘 W2에서 지켜낸 온실의 가치를 W3에서 다시 시험</x:v>
      </x:c>
      <x:c r="D247" s="825" t="str">
        <x:v>확정방향</x:v>
      </x:c>
      <x:c r="E247" s="825"/>
      <x:c r="F247" s="825"/>
      <x:c r="G247" s="825"/>
      <x:c r="H247" s="825"/>
      <x:c r="I247" s="825" t="str">
        <x:v>보리치 +6h</x:v>
      </x:c>
      <x:c r="J247" s="825" t="str">
        <x:v>온실 한 Cycle당 1회. 실제 시간압력 과도 여부 Route Simulation 필요</x:v>
      </x:c>
      <x:c r="K247" s="825" t="str">
        <x:v>중간</x:v>
      </x:c>
      <x:c r="L247" s="825"/>
      <x:c r="M247" s="825"/>
      <x:c r="N247" s="825"/>
    </x:row>
    <x:row r="248" ht="36" hidden="0" customHeight="1">
      <x:c r="A248" s="825" t="str">
        <x:v>Overnight</x:v>
      </x:c>
      <x:c r="B248" s="825" t="str">
        <x:v>Timer는 22→08의 10h 동안 계속 감소</x:v>
      </x:c>
      <x:c r="C248" s="825" t="str">
        <x:v>밤에도 세계가 진행된다는 기존 원칙 유지</x:v>
      </x:c>
      <x:c r="D248" s="825" t="str">
        <x:v>확정</x:v>
      </x:c>
      <x:c r="E248" s="825"/>
      <x:c r="F248" s="825"/>
      <x:c r="G248" s="825"/>
      <x:c r="H248" s="825"/>
      <x:c r="I248" s="825" t="str">
        <x:v>일반 수리 잠금</x:v>
      </x:c>
      <x:c r="J248" s="825" t="str">
        <x:v>0 Recovery Active 동안 generic +1 수리를 막는 방향</x:v>
      </x:c>
      <x:c r="K248" s="825" t="str">
        <x:v>높음</x:v>
      </x:c>
      <x:c r="L248" s="825"/>
      <x:c r="M248" s="825"/>
      <x:c r="N248" s="825"/>
    </x:row>
    <x:row r="249" ht="30" hidden="0" customHeight="1">
      <x:c r="A249" s="839" t="str">
        <x:v>End Day</x:v>
      </x:c>
      <x:c r="B249" s="839" t="str">
        <x:v>남은 시간이 Overnight 10h보다 적으면 '자면 복구 불가가 된다'는 강한 경고. 그래도 포기하고 End Day 가능</x:v>
      </x:c>
      <x:c r="C249" s="839" t="str">
        <x:v>결과를 알면서 자원을 포기하는 선택은 허용</x:v>
      </x:c>
      <x:c r="D249" s="839" t="str">
        <x:v>TEMP 추천</x:v>
      </x:c>
      <x:c r="E249" s="839"/>
      <x:c r="F249" s="839"/>
      <x:c r="G249" s="839"/>
      <x:c r="H249" s="839"/>
      <x:c r="I249" s="839"/>
      <x:c r="J249" s="839"/>
      <x:c r="K249" s="839"/>
      <x:c r="L249" s="839"/>
      <x:c r="M249" s="839"/>
      <x:c r="N249" s="839"/>
    </x:row>
    <x:row r="250" ht="30" hidden="0" customHeight="1">
      <x:c r="A250" s="839" t="str">
        <x:v>Day Start</x:v>
      </x:c>
      <x:c r="B250" s="839" t="str">
        <x:v>Overnight 후 남은 Recovery Time을 상태 보고에서 최우선 노출</x:v>
      </x:c>
      <x:c r="C250" s="839" t="str">
        <x:v>장기 Deadline을 잊지 않게 함</x:v>
      </x:c>
      <x:c r="D250" s="839" t="str">
        <x:v>TEMP 추천</x:v>
      </x:c>
      <x:c r="E250" s="839"/>
      <x:c r="F250" s="839"/>
      <x:c r="G250" s="839"/>
      <x:c r="H250" s="839"/>
      <x:c r="I250" s="839"/>
      <x:c r="J250" s="839"/>
      <x:c r="K250" s="839"/>
      <x:c r="L250" s="839"/>
      <x:c r="M250" s="839"/>
      <x:c r="N250" s="839"/>
    </x:row>
    <x:row r="251" ht="15" hidden="0" customHeight="1">
      <x:c r="A251" s="825"/>
      <x:c r="B251" s="825"/>
      <x:c r="C251" s="825"/>
      <x:c r="D251" s="825"/>
      <x:c r="E251" s="825"/>
      <x:c r="F251" s="825"/>
      <x:c r="G251" s="825"/>
      <x:c r="H251" s="825"/>
      <x:c r="I251" s="825"/>
      <x:c r="J251" s="825"/>
      <x:c r="K251" s="825"/>
      <x:c r="L251" s="825"/>
      <x:c r="M251" s="825"/>
      <x:c r="N251" s="825"/>
    </x:row>
    <x:row r="252" ht="30" hidden="0" customHeight="1">
      <x:c r="A252" s="849" t="str">
        <x:v>선택지</x:v>
      </x:c>
      <x:c r="B252" s="849" t="str">
        <x:v>시간</x:v>
      </x:c>
      <x:c r="C252" s="849" t="str">
        <x:v>조건</x:v>
      </x:c>
      <x:c r="D252" s="849" t="str">
        <x:v>의지</x:v>
      </x:c>
      <x:c r="E252" s="849" t="str">
        <x:v>복구 결과</x:v>
      </x:c>
      <x:c r="F252" s="849" t="str">
        <x:v>의미</x:v>
      </x:c>
      <x:c r="G252" s="849" t="str">
        <x:v>상태</x:v>
      </x:c>
      <x:c r="H252" s="849"/>
      <x:c r="I252" s="849"/>
      <x:c r="J252" s="849"/>
      <x:c r="K252" s="849"/>
      <x:c r="L252" s="849"/>
      <x:c r="M252" s="849"/>
      <x:c r="N252" s="849"/>
    </x:row>
    <x:row r="253" ht="36" hidden="0" customHeight="1">
      <x:c r="A253" s="825" t="str">
        <x:v>생태 순환계를 처음부터 다시 맞춘다</x:v>
      </x:c>
      <x:c r="B253" s="825" t="n">
        <x:v>6</x:v>
      </x:c>
      <x:c r="C253" s="825" t="str">
        <x:v>없음</x:v>
      </x:c>
      <x:c r="D253" s="825" t="n">
        <x:v>0</x:v>
      </x:c>
      <x:c r="E253" s="825" t="str">
        <x:v>Greenhouse 0→1 / Timer 종료</x:v>
      </x:c>
      <x:c r="F253" s="825" t="str">
        <x:v>모든 빌드의 느린 안전망. 하루 절반 가까이를 요구</x:v>
      </x:c>
      <x:c r="G253" s="825" t="str">
        <x:v>TEMP 추천</x:v>
      </x:c>
      <x:c r="H253" s="825"/>
      <x:c r="I253" s="825"/>
      <x:c r="J253" s="825"/>
      <x:c r="K253" s="825"/>
      <x:c r="L253" s="825"/>
      <x:c r="M253" s="825"/>
      <x:c r="N253" s="825"/>
    </x:row>
    <x:row r="254" ht="24" hidden="0" customHeight="1">
      <x:c r="A254" s="825" t="str">
        <x:v>[기술 8] 급수·전력·공기 순환을 우선 복구한다</x:v>
      </x:c>
      <x:c r="B254" s="825" t="n">
        <x:v>4</x:v>
      </x:c>
      <x:c r="C254" s="825" t="str">
        <x:v>기술 &gt;=8</x:v>
      </x:c>
      <x:c r="D254" s="825" t="n">
        <x:v>0</x:v>
      </x:c>
      <x:c r="E254" s="825" t="str">
        <x:v>Greenhouse 0→2 / Timer 종료</x:v>
      </x:c>
      <x:c r="F254" s="825" t="str">
        <x:v>기술 전문화로 2h 절약</x:v>
      </x:c>
      <x:c r="G254" s="825" t="str">
        <x:v>TEMP 추천</x:v>
      </x:c>
      <x:c r="H254" s="825"/>
      <x:c r="I254" s="825"/>
      <x:c r="J254" s="825"/>
      <x:c r="K254" s="825"/>
      <x:c r="L254" s="825"/>
      <x:c r="M254" s="825"/>
      <x:c r="N254" s="825"/>
    </x:row>
    <x:row r="255" ht="36" hidden="0" customHeight="1">
      <x:c r="A255" s="825" t="str">
        <x:v>[기술 10 / 의지 보완 가능] 최소 생태 루프를 강제로 재기동한다</x:v>
      </x:c>
      <x:c r="B255" s="825" t="n">
        <x:v>2</x:v>
      </x:c>
      <x:c r="C255" s="825" t="str">
        <x:v>기술 + 사용 의지 &gt;=10</x:v>
      </x:c>
      <x:c r="D255" s="825" t="str">
        <x:v>부족분 1:1</x:v>
      </x:c>
      <x:c r="E255" s="825" t="str">
        <x:v>Greenhouse 0→2 / Timer 종료</x:v>
      </x:c>
      <x:c r="F255" s="825" t="str">
        <x:v>극단 전문화/Will로 큰 시간을 확보</x:v>
      </x:c>
      <x:c r="G255" s="825" t="str">
        <x:v>TEMP 추천</x:v>
      </x:c>
      <x:c r="H255" s="825"/>
      <x:c r="I255" s="825"/>
      <x:c r="J255" s="825"/>
      <x:c r="K255" s="825"/>
      <x:c r="L255" s="825"/>
      <x:c r="M255" s="825"/>
      <x:c r="N255" s="825"/>
    </x:row>
    <x:row r="256" ht="24" hidden="0" customHeight="1">
      <x:c r="A256" s="825" t="str">
        <x:v>벤자민 또는 페이에게 맡긴다</x:v>
      </x:c>
      <x:c r="B256" s="825" t="n">
        <x:v>4</x:v>
      </x:c>
      <x:c r="C256" s="825" t="str">
        <x:v>해당 전문가 Available</x:v>
      </x:c>
      <x:c r="D256" s="825" t="n">
        <x:v>0</x:v>
      </x:c>
      <x:c r="E256" s="825" t="str">
        <x:v>Greenhouse 0→2 / Timer 종료</x:v>
      </x:c>
      <x:c r="F256" s="825" t="str">
        <x:v>전문가가 장기 작업을 대신 수행</x:v>
      </x:c>
      <x:c r="G256" s="825" t="str">
        <x:v>TEMP 추천</x:v>
      </x:c>
      <x:c r="H256" s="825"/>
      <x:c r="I256" s="825"/>
      <x:c r="J256" s="825"/>
      <x:c r="K256" s="825"/>
      <x:c r="L256" s="825"/>
      <x:c r="M256" s="825"/>
      <x:c r="N256" s="825"/>
    </x:row>
    <x:row r="257" ht="24" hidden="0" customHeight="1">
      <x:c r="A257" s="825" t="str">
        <x:v>벤자민 + 페이 협업</x:v>
      </x:c>
      <x:c r="B257" s="825" t="n">
        <x:v>2</x:v>
      </x:c>
      <x:c r="C257" s="825" t="str">
        <x:v>둘 다 Available</x:v>
      </x:c>
      <x:c r="D257" s="825" t="n">
        <x:v>0</x:v>
      </x:c>
      <x:c r="E257" s="825" t="str">
        <x:v>Greenhouse 0→2 / Timer 종료</x:v>
      </x:c>
      <x:c r="F257" s="825" t="str">
        <x:v>두 전문가 생존 보상</x:v>
      </x:c>
      <x:c r="G257" s="825" t="str">
        <x:v>TEMP 추천</x:v>
      </x:c>
      <x:c r="H257" s="825"/>
      <x:c r="I257" s="825"/>
      <x:c r="J257" s="825"/>
      <x:c r="K257" s="825"/>
      <x:c r="L257" s="825"/>
      <x:c r="M257" s="825"/>
      <x:c r="N257" s="825"/>
    </x:row>
    <x:row r="258" ht="36" hidden="0" customHeight="1">
      <x:c r="A258" s="825" t="str">
        <x:v>보리치가 생물 자산을 임시 보존한다</x:v>
      </x:c>
      <x:c r="B258" s="825" t="n">
        <x:v>2</x:v>
      </x:c>
      <x:c r="C258" s="825" t="str">
        <x:v>보리치 생존·Available / 1회만</x:v>
      </x:c>
      <x:c r="D258" s="825" t="n">
        <x:v>0</x:v>
      </x:c>
      <x:c r="E258" s="825" t="str">
        <x:v>Deadline +6h, Integrity는 0 유지</x:v>
      </x:c>
      <x:c r="F258" s="825" t="str">
        <x:v>수리가 아니라 '연구자로서 시간을 번다'</x:v>
      </x:c>
      <x:c r="G258" s="825" t="str">
        <x:v>TEMP 추천</x:v>
      </x:c>
      <x:c r="H258" s="825"/>
      <x:c r="I258" s="825"/>
      <x:c r="J258" s="825"/>
      <x:c r="K258" s="825"/>
      <x:c r="L258" s="825"/>
      <x:c r="M258" s="825"/>
      <x:c r="N258" s="825"/>
    </x:row>
    <x:row r="259" ht="15" hidden="0" customHeight="1">
      <x:c r="A259" s="825"/>
      <x:c r="B259" s="825"/>
      <x:c r="C259" s="825"/>
      <x:c r="D259" s="825"/>
      <x:c r="E259" s="825"/>
      <x:c r="F259" s="825"/>
      <x:c r="G259" s="825"/>
      <x:c r="H259" s="825"/>
      <x:c r="I259" s="825"/>
      <x:c r="J259" s="825"/>
      <x:c r="K259" s="825"/>
      <x:c r="L259" s="825"/>
      <x:c r="M259" s="825"/>
      <x:c r="N259" s="825"/>
    </x:row>
    <x:row r="260" ht="26" hidden="0" customHeight="1">
      <x:c r="A260" s="852" t="str">
        <x:v>28. Recovery Window × Overnight × Day21</x:v>
      </x:c>
      <x:c r="B260" s="852"/>
      <x:c r="C260" s="852"/>
      <x:c r="D260" s="852"/>
      <x:c r="E260" s="852"/>
      <x:c r="F260" s="852"/>
      <x:c r="G260" s="852"/>
      <x:c r="H260" s="852"/>
      <x:c r="I260" s="852"/>
      <x:c r="J260" s="852"/>
      <x:c r="K260" s="852"/>
      <x:c r="L260" s="852"/>
      <x:c r="M260" s="852"/>
      <x:c r="N260" s="852"/>
    </x:row>
    <x:row r="261" ht="30" hidden="0" customHeight="1">
      <x:c r="A261" s="849" t="str">
        <x:v>상황</x:v>
      </x:c>
      <x:c r="B261" s="849" t="str">
        <x:v>처리</x:v>
      </x:c>
      <x:c r="C261" s="849" t="str">
        <x:v>플레이어 피드백</x:v>
      </x:c>
      <x:c r="D261" s="849" t="str">
        <x:v>상태</x:v>
      </x:c>
      <x:c r="E261" s="849"/>
      <x:c r="F261" s="849"/>
      <x:c r="G261" s="849"/>
      <x:c r="H261" s="849"/>
      <x:c r="I261" s="849"/>
      <x:c r="J261" s="849"/>
      <x:c r="K261" s="849"/>
      <x:c r="L261" s="849"/>
      <x:c r="M261" s="849"/>
      <x:c r="N261" s="849"/>
    </x:row>
    <x:row r="262" ht="30" hidden="0" customHeight="1">
      <x:c r="A262" s="839" t="str">
        <x:v>Freezer 남은 6h, 18:00에 발생</x:v>
      </x:c>
      <x:c r="B262" s="839" t="str">
        <x:v>22:00 End Day 시 2h 남음 → 수면하면 00:00에 PERMANENT 실패</x:v>
      </x:c>
      <x:c r="C262" s="839" t="str">
        <x:v>End Day 확인창에 실패 시각/항해불가 명시</x:v>
      </x:c>
      <x:c r="D262" s="839" t="str">
        <x:v>TEMP 추천</x:v>
      </x:c>
      <x:c r="E262" s="839"/>
      <x:c r="F262" s="839"/>
      <x:c r="G262" s="839"/>
      <x:c r="H262" s="839"/>
      <x:c r="I262" s="839"/>
      <x:c r="J262" s="839"/>
      <x:c r="K262" s="839"/>
      <x:c r="L262" s="839"/>
      <x:c r="M262" s="839"/>
      <x:c r="N262" s="839"/>
    </x:row>
    <x:row r="263" ht="30" hidden="0" customHeight="1">
      <x:c r="A263" s="839" t="str">
        <x:v>Greenhouse 남은 18h, 20:00 End Day</x:v>
      </x:c>
      <x:c r="B263" s="839" t="str">
        <x:v>Overnight 10h 경과 → D+1 08:00에 8h 남음</x:v>
      </x:c>
      <x:c r="C263" s="839" t="str">
        <x:v>Day Start 최상단에 '온실 복구까지 8h'</x:v>
      </x:c>
      <x:c r="D263" s="839" t="str">
        <x:v>TEMP 추천</x:v>
      </x:c>
      <x:c r="E263" s="839"/>
      <x:c r="F263" s="839"/>
      <x:c r="G263" s="839"/>
      <x:c r="H263" s="839"/>
      <x:c r="I263" s="839"/>
      <x:c r="J263" s="839"/>
      <x:c r="K263" s="839"/>
      <x:c r="L263" s="839"/>
      <x:c r="M263" s="839"/>
      <x:c r="N263" s="839"/>
    </x:row>
    <x:row r="264" ht="30" hidden="0" customHeight="1">
      <x:c r="A264" s="839" t="str">
        <x:v>Greenhouse 남은 8h, End Day</x:v>
      </x:c>
      <x:c r="B264" s="839" t="str">
        <x:v>수면 중 Deadline 만료</x:v>
      </x:c>
      <x:c r="C264" s="839" t="str">
        <x:v>'자면 온실을 잃는다' 확인 후 포기 가능</x:v>
      </x:c>
      <x:c r="D264" s="839" t="str">
        <x:v>TEMP 추천</x:v>
      </x:c>
      <x:c r="E264" s="839"/>
      <x:c r="F264" s="839"/>
      <x:c r="G264" s="839"/>
      <x:c r="H264" s="839"/>
      <x:c r="I264" s="839"/>
      <x:c r="J264" s="839"/>
      <x:c r="K264" s="839"/>
      <x:c r="L264" s="839"/>
      <x:c r="M264" s="839"/>
      <x:c r="N264" s="839"/>
    </x:row>
    <x:row r="265" ht="24" hidden="0" customHeight="1">
      <x:c r="A265" s="825" t="str">
        <x:v>Global Hull 0 / 치명 Breach</x:v>
      </x:c>
      <x:c r="B265" s="825" t="str">
        <x:v>End Day 자체 차단</x:v>
      </x:c>
      <x:c r="C265" s="825" t="str">
        <x:v>사망 가능 Emergency는 수면으로 넘기지 않음</x:v>
      </x:c>
      <x:c r="D265" s="825" t="str">
        <x:v>기존 원칙</x:v>
      </x:c>
      <x:c r="E265" s="825"/>
      <x:c r="F265" s="825"/>
      <x:c r="G265" s="825"/>
      <x:c r="H265" s="825"/>
      <x:c r="I265" s="825"/>
      <x:c r="J265" s="825"/>
      <x:c r="K265" s="825"/>
      <x:c r="L265" s="825"/>
      <x:c r="M265" s="825"/>
      <x:c r="N265" s="825"/>
    </x:row>
    <x:row r="266" ht="30" hidden="0" customHeight="1">
      <x:c r="A266" s="839" t="str">
        <x:v>D21 Critical Recovery Active</x:v>
      </x:c>
      <x:c r="B266" s="839" t="str">
        <x:v>Ending 버튼/최종 결론 보류</x:v>
      </x:c>
      <x:c r="C266" s="839" t="str">
        <x:v>복구 완료 또는 '복구를 포기한다' 명시 선택 후 엔딩 판정</x:v>
      </x:c>
      <x:c r="D266" s="839" t="str">
        <x:v>TEMP 추천</x:v>
      </x:c>
      <x:c r="E266" s="839"/>
      <x:c r="F266" s="839"/>
      <x:c r="G266" s="839"/>
      <x:c r="H266" s="839"/>
      <x:c r="I266" s="839"/>
      <x:c r="J266" s="839"/>
      <x:c r="K266" s="839"/>
      <x:c r="L266" s="839"/>
      <x:c r="M266" s="839"/>
      <x:c r="N266" s="839"/>
    </x:row>
    <x:row r="267" ht="15" hidden="0" customHeight="1">
      <x:c r="A267" s="825"/>
      <x:c r="B267" s="825"/>
      <x:c r="C267" s="825"/>
      <x:c r="D267" s="825"/>
      <x:c r="E267" s="825"/>
      <x:c r="F267" s="825"/>
      <x:c r="G267" s="825"/>
      <x:c r="H267" s="825"/>
      <x:c r="I267" s="825"/>
      <x:c r="J267" s="825"/>
      <x:c r="K267" s="825"/>
      <x:c r="L267" s="825"/>
      <x:c r="M267" s="825"/>
      <x:c r="N267" s="825"/>
    </x:row>
    <x:row r="268" ht="26" hidden="0" customHeight="1">
      <x:c r="A268" s="852" t="str">
        <x:v>29. 다른 Emergency와의 충돌 규칙</x:v>
      </x:c>
      <x:c r="B268" s="852"/>
      <x:c r="C268" s="852"/>
      <x:c r="D268" s="852"/>
      <x:c r="E268" s="852"/>
      <x:c r="F268" s="852"/>
      <x:c r="G268" s="852"/>
      <x:c r="H268" s="852"/>
      <x:c r="I268" s="852"/>
      <x:c r="J268" s="852"/>
      <x:c r="K268" s="852"/>
      <x:c r="L268" s="852"/>
      <x:c r="M268" s="852"/>
      <x:c r="N268" s="852"/>
    </x:row>
    <x:row r="269" ht="30" hidden="0" customHeight="1">
      <x:c r="A269" s="849" t="str">
        <x:v>상황</x:v>
      </x:c>
      <x:c r="B269" s="849" t="str">
        <x:v>규칙</x:v>
      </x:c>
      <x:c r="C269" s="849" t="str">
        <x:v>이유</x:v>
      </x:c>
      <x:c r="D269" s="849" t="str">
        <x:v>상태</x:v>
      </x:c>
      <x:c r="E269" s="849"/>
      <x:c r="F269" s="849"/>
      <x:c r="G269" s="849"/>
      <x:c r="H269" s="849"/>
      <x:c r="I269" s="849"/>
      <x:c r="J269" s="849"/>
      <x:c r="K269" s="849"/>
      <x:c r="L269" s="849"/>
      <x:c r="M269" s="849"/>
      <x:c r="N269" s="849"/>
    </x:row>
    <x:row r="270" ht="30" hidden="0" customHeight="1">
      <x:c r="A270" s="839" t="str">
        <x:v>Recovery Active 상태에서 같은 시설이 또 -1</x:v>
      </x:c>
      <x:c r="B270" s="839" t="str">
        <x:v>0에서 Clamp. Recovery Timer는 리셋/연장되지 않음</x:v>
      </x:c>
      <x:c r="C270" s="839" t="str">
        <x:v>미해결 상태를 맞는 것이 시간을 벌어주는 역전 방지</x:v>
      </x:c>
      <x:c r="D270" s="839" t="str">
        <x:v>TEMP 추천</x:v>
      </x:c>
      <x:c r="E270" s="839"/>
      <x:c r="F270" s="839"/>
      <x:c r="G270" s="839"/>
      <x:c r="H270" s="839"/>
      <x:c r="I270" s="839"/>
      <x:c r="J270" s="839"/>
      <x:c r="K270" s="839"/>
      <x:c r="L270" s="839"/>
      <x:c r="M270" s="839"/>
      <x:c r="N270" s="839"/>
    </x:row>
    <x:row r="271" ht="36" hidden="0" customHeight="1">
      <x:c r="A271" s="825" t="str">
        <x:v>Recovery 성공 후 같은 구역 Breach/Oxygen가 미해결</x:v>
      </x:c>
      <x:c r="B271" s="825" t="str">
        <x:v>다음 Tick에서 다시 0이 되면 새 Recovery Window 생성 가능</x:v>
      </x:c>
      <x:c r="C271" s="825" t="str">
        <x:v>원인 Emergency를 해결하지 않으면 재고장 가능</x:v>
      </x:c>
      <x:c r="D271" s="825" t="str">
        <x:v>TEMP 추천</x:v>
      </x:c>
      <x:c r="E271" s="825"/>
      <x:c r="F271" s="825"/>
      <x:c r="G271" s="825"/>
      <x:c r="H271" s="825"/>
      <x:c r="I271" s="825"/>
      <x:c r="J271" s="825"/>
      <x:c r="K271" s="825"/>
      <x:c r="L271" s="825"/>
      <x:c r="M271" s="825"/>
      <x:c r="N271" s="825"/>
    </x:row>
    <x:row r="272" ht="48" hidden="0" customHeight="1">
      <x:c r="A272" s="825" t="str">
        <x:v>Freezer/Greenhouse PERMANENT 후 추가 피해</x:v>
      </x:c>
      <x:c r="B272" s="825" t="str">
        <x:v>Integrity 0 고정, 추가 시설 피해는 무시. 같은 구역의 다른 시설/Hull 피해는 정상 적용</x:v>
      </x:c>
      <x:c r="C272" s="825" t="str">
        <x:v>이미 잃은 기능에서 중복 페널티 방지</x:v>
      </x:c>
      <x:c r="D272" s="825" t="str">
        <x:v>TEMP 추천</x:v>
      </x:c>
      <x:c r="E272" s="825"/>
      <x:c r="F272" s="825"/>
      <x:c r="G272" s="825"/>
      <x:c r="H272" s="825"/>
      <x:c r="I272" s="825"/>
      <x:c r="J272" s="825"/>
      <x:c r="K272" s="825"/>
      <x:c r="L272" s="825"/>
      <x:c r="M272" s="825"/>
      <x:c r="N272" s="825"/>
    </x:row>
    <x:row r="273" ht="24" hidden="0" customHeight="1">
      <x:c r="A273" s="825" t="str">
        <x:v>Greenhouse Deadline 연장</x:v>
      </x:c>
      <x:c r="B273" s="825" t="str">
        <x:v>보리치 +6h는 한 Recovery Cycle당 1회</x:v>
      </x:c>
      <x:c r="C273" s="825" t="str">
        <x:v>무한 연장 방지</x:v>
      </x:c>
      <x:c r="D273" s="825" t="str">
        <x:v>TEMP 추천</x:v>
      </x:c>
      <x:c r="E273" s="825"/>
      <x:c r="F273" s="825"/>
      <x:c r="G273" s="825"/>
      <x:c r="H273" s="825"/>
      <x:c r="I273" s="825"/>
      <x:c r="J273" s="825"/>
      <x:c r="K273" s="825"/>
      <x:c r="L273" s="825"/>
      <x:c r="M273" s="825"/>
      <x:c r="N273" s="825"/>
    </x:row>
  </x:sheetData>
  <x:mergeCells>
    <x:mergeCell ref="A1:N1"/>
    <x:mergeCell ref="A2:N2"/>
    <x:mergeCell ref="A4:N4"/>
    <x:mergeCell ref="A14:N14"/>
    <x:mergeCell ref="A22:N22"/>
    <x:mergeCell ref="A29:H30"/>
    <x:mergeCell ref="A32:N32"/>
    <x:mergeCell ref="A41:N41"/>
    <x:mergeCell ref="I22:N22"/>
    <x:mergeCell ref="I31:N34"/>
    <x:mergeCell ref="A52:N52"/>
    <x:mergeCell ref="A62:N62"/>
    <x:mergeCell ref="I41:N41"/>
    <x:mergeCell ref="A70:N70"/>
    <x:mergeCell ref="A78:N78"/>
    <x:mergeCell ref="A87:N87"/>
    <x:mergeCell ref="A95:N95"/>
    <x:mergeCell ref="A102:H104"/>
    <x:mergeCell ref="A106:N106"/>
    <x:mergeCell ref="A114:N114"/>
    <x:mergeCell ref="I70:N70"/>
    <x:mergeCell ref="I80:N80"/>
    <x:mergeCell ref="I90:N90"/>
    <x:mergeCell ref="A124:N124"/>
    <x:mergeCell ref="A133:N133"/>
    <x:mergeCell ref="A142:H144"/>
    <x:mergeCell ref="A146:N146"/>
    <x:mergeCell ref="A153:H155"/>
    <x:mergeCell ref="A157:N157"/>
    <x:mergeCell ref="A166:N166"/>
    <x:mergeCell ref="I124:N124"/>
    <x:mergeCell ref="I137:N137"/>
    <x:mergeCell ref="I146:N146"/>
    <x:mergeCell ref="A176:N176"/>
    <x:mergeCell ref="A187:N187"/>
    <x:mergeCell ref="A193:H196"/>
    <x:mergeCell ref="A198:N198"/>
    <x:mergeCell ref="A205:N205"/>
    <x:mergeCell ref="I176:N176"/>
    <x:mergeCell ref="I185:N185"/>
    <x:mergeCell ref="I194:N194"/>
    <x:mergeCell ref="A216:N216"/>
    <x:mergeCell ref="A227:N227"/>
    <x:mergeCell ref="A240:G242"/>
    <x:mergeCell ref="A244:N244"/>
    <x:mergeCell ref="A260:N260"/>
    <x:mergeCell ref="A268:N268"/>
    <x:mergeCell ref="I216:N216"/>
    <x:mergeCell ref="I228:N228"/>
    <x:mergeCell ref="I236:N241"/>
    <x:mergeCell ref="I243:N243"/>
  </x:mergeCells>
  <x:conditionalFormatting sqref="J28:J28">
    <x:cfRule type="expression" dxfId="33" priority="1">
      <x:formula>J28="가능"</x:formula>
    </x:cfRule>
    <x:cfRule type="expression" dxfId="34" priority="2">
      <x:formula>J28="불가"</x:formula>
    </x:cfRule>
  </x:conditionalFormatting>
  <x:conditionalFormatting sqref="J87:J87">
    <x:cfRule type="expression" dxfId="35" priority="3">
      <x:formula>J87="가능"</x:formula>
    </x:cfRule>
    <x:cfRule type="expression" dxfId="36" priority="4">
      <x:formula>J87="불가"</x:formula>
    </x:cfRule>
  </x:conditionalFormatting>
  <x:conditionalFormatting sqref="J88:J88">
    <x:cfRule type="expression" dxfId="37" priority="5">
      <x:formula>J88="가능"</x:formula>
    </x:cfRule>
    <x:cfRule type="expression" dxfId="38" priority="6">
      <x:formula>J88="불가"</x:formula>
    </x:cfRule>
  </x:conditionalFormatting>
  <x:conditionalFormatting sqref="J144:J144">
    <x:cfRule type="expression" dxfId="39" priority="7">
      <x:formula>J144="가능"</x:formula>
    </x:cfRule>
    <x:cfRule type="expression" dxfId="40" priority="8">
      <x:formula>J144="불가"</x:formula>
    </x:cfRule>
  </x:conditionalFormatting>
  <x:conditionalFormatting sqref="J191:J191">
    <x:cfRule type="expression" dxfId="41" priority="9">
      <x:formula>J191="가능"</x:formula>
    </x:cfRule>
    <x:cfRule type="expression" dxfId="42" priority="10">
      <x:formula>J191="불가"</x:formula>
    </x:cfRule>
  </x:conditionalFormatting>
  <x:conditionalFormatting sqref="G253:G273">
    <x:cfRule type="expression" dxfId="76" priority="11">
      <x:formula>OR(G253="완료",G253="확정",G253="확정방향",G253="방향 확정",LEFT(G253,2)="확정")</x:formula>
    </x:cfRule>
    <x:cfRule type="expression" dxfId="77" priority="12">
      <x:formula>OR(G253="TBD",G253="대기",ISNUMBER(SEARCH("TEMP",G253)))</x:formula>
    </x:cfRule>
    <x:cfRule type="expression" dxfId="78" priority="13">
      <x:formula>OR(G253="폐기",G253="HISTORICAL",ISNUMBER(SEARCH("폐기",G253)))</x:formula>
    </x:cfRule>
    <x:cfRule type="expression" dxfId="79" priority="14">
      <x:formula>OR(G253="NEXT",G253="진행")</x:formula>
    </x:cfRule>
  </x:conditionalFormatting>
  <x:conditionalFormatting sqref="D126:D273">
    <x:cfRule type="expression" dxfId="80" priority="15">
      <x:formula>OR(D126="완료",D126="확정",D126="확정방향",D126="방향 확정",LEFT(D126,2)="확정")</x:formula>
    </x:cfRule>
    <x:cfRule type="expression" dxfId="81" priority="16">
      <x:formula>OR(D126="TBD",D126="대기",ISNUMBER(SEARCH("TEMP",D126)))</x:formula>
    </x:cfRule>
    <x:cfRule type="expression" dxfId="82" priority="17">
      <x:formula>OR(D126="폐기",D126="HISTORICAL",ISNUMBER(SEARCH("폐기",D126)))</x:formula>
    </x:cfRule>
    <x:cfRule type="expression" dxfId="83" priority="18">
      <x:formula>OR(D126="NEXT",D126="진행")</x:formula>
    </x:cfRule>
  </x:conditionalFormatting>
  <x:conditionalFormatting sqref="D178:D273">
    <x:cfRule type="expression" dxfId="84" priority="19">
      <x:formula>OR(D178="완료",D178="확정",D178="확정방향",D178="방향 확정",LEFT(D178,2)="확정")</x:formula>
    </x:cfRule>
    <x:cfRule type="expression" dxfId="85" priority="20">
      <x:formula>OR(D178="TBD",D178="대기",ISNUMBER(SEARCH("TEMP",D178)))</x:formula>
    </x:cfRule>
    <x:cfRule type="expression" dxfId="86" priority="21">
      <x:formula>OR(D178="폐기",D178="HISTORICAL",ISNUMBER(SEARCH("폐기",D178)))</x:formula>
    </x:cfRule>
    <x:cfRule type="expression" dxfId="87" priority="22">
      <x:formula>OR(D178="NEXT",D178="진행")</x:formula>
    </x:cfRule>
  </x:conditionalFormatting>
  <x:conditionalFormatting sqref="F34:F273">
    <x:cfRule type="expression" dxfId="88" priority="23">
      <x:formula>OR(F34="완료",F34="확정",F34="확정방향",F34="방향 확정",LEFT(F34,2)="확정")</x:formula>
    </x:cfRule>
    <x:cfRule type="expression" dxfId="89" priority="24">
      <x:formula>OR(F34="TBD",F34="대기",ISNUMBER(SEARCH("TEMP",F34)))</x:formula>
    </x:cfRule>
    <x:cfRule type="expression" dxfId="90" priority="25">
      <x:formula>OR(F34="폐기",F34="HISTORICAL",ISNUMBER(SEARCH("폐기",F34)))</x:formula>
    </x:cfRule>
    <x:cfRule type="expression" dxfId="91" priority="26">
      <x:formula>OR(F34="NEXT",F34="진행")</x:formula>
    </x:cfRule>
  </x:conditionalFormatting>
  <x:conditionalFormatting sqref="F159:F273">
    <x:cfRule type="expression" dxfId="92" priority="27">
      <x:formula>OR(F159="완료",F159="확정",F159="확정방향",F159="방향 확정",LEFT(F159,2)="확정")</x:formula>
    </x:cfRule>
    <x:cfRule type="expression" dxfId="93" priority="28">
      <x:formula>OR(F159="TBD",F159="대기",ISNUMBER(SEARCH("TEMP",F159)))</x:formula>
    </x:cfRule>
    <x:cfRule type="expression" dxfId="94" priority="29">
      <x:formula>OR(F159="폐기",F159="HISTORICAL",ISNUMBER(SEARCH("폐기",F159)))</x:formula>
    </x:cfRule>
    <x:cfRule type="expression" dxfId="95" priority="30">
      <x:formula>OR(F159="NEXT",F159="진행")</x:formula>
    </x:cfRule>
  </x:conditionalFormatting>
  <x:conditionalFormatting sqref="D135:D273">
    <x:cfRule type="expression" dxfId="96" priority="31">
      <x:formula>OR(D135="완료",D135="확정",D135="확정방향",D135="방향 확정",LEFT(D135,2)="확정")</x:formula>
    </x:cfRule>
    <x:cfRule type="expression" dxfId="97" priority="32">
      <x:formula>OR(D135="TBD",D135="대기",ISNUMBER(SEARCH("TEMP",D135)))</x:formula>
    </x:cfRule>
    <x:cfRule type="expression" dxfId="98" priority="33">
      <x:formula>OR(D135="폐기",D135="HISTORICAL",ISNUMBER(SEARCH("폐기",D135)))</x:formula>
    </x:cfRule>
    <x:cfRule type="expression" dxfId="99" priority="34">
      <x:formula>OR(D135="NEXT",D135="진행")</x:formula>
    </x:cfRule>
  </x:conditionalFormatting>
  <x:conditionalFormatting sqref="E200:E273">
    <x:cfRule type="expression" dxfId="100" priority="35">
      <x:formula>OR(E200="완료",E200="확정",E200="확정방향",E200="방향 확정",LEFT(E200,2)="확정")</x:formula>
    </x:cfRule>
    <x:cfRule type="expression" dxfId="101" priority="36">
      <x:formula>OR(E200="TBD",E200="대기",ISNUMBER(SEARCH("TEMP",E200)))</x:formula>
    </x:cfRule>
    <x:cfRule type="expression" dxfId="102" priority="37">
      <x:formula>OR(E200="폐기",E200="HISTORICAL",ISNUMBER(SEARCH("폐기",E200)))</x:formula>
    </x:cfRule>
    <x:cfRule type="expression" dxfId="103" priority="38">
      <x:formula>OR(E200="NEXT",E200="진행")</x:formula>
    </x:cfRule>
  </x:conditionalFormatting>
  <x:conditionalFormatting sqref="D229:D273">
    <x:cfRule type="expression" dxfId="104" priority="39">
      <x:formula>OR(D229="완료",D229="확정",D229="확정방향",D229="방향 확정",LEFT(D229,2)="확정")</x:formula>
    </x:cfRule>
    <x:cfRule type="expression" dxfId="105" priority="40">
      <x:formula>OR(D229="TBD",D229="대기",ISNUMBER(SEARCH("TEMP",D229)))</x:formula>
    </x:cfRule>
    <x:cfRule type="expression" dxfId="106" priority="41">
      <x:formula>OR(D229="폐기",D229="HISTORICAL",ISNUMBER(SEARCH("폐기",D229)))</x:formula>
    </x:cfRule>
    <x:cfRule type="expression" dxfId="107" priority="42">
      <x:formula>OR(D229="NEXT",D229="진행")</x:formula>
    </x:cfRule>
  </x:conditionalFormatting>
  <x:conditionalFormatting sqref="D262:D273">
    <x:cfRule type="expression" dxfId="108" priority="43">
      <x:formula>OR(D262="완료",D262="확정",D262="확정방향",D262="방향 확정",LEFT(D262,2)="확정")</x:formula>
    </x:cfRule>
    <x:cfRule type="expression" dxfId="109" priority="44">
      <x:formula>OR(D262="TBD",D262="대기",ISNUMBER(SEARCH("TEMP",D262)))</x:formula>
    </x:cfRule>
    <x:cfRule type="expression" dxfId="110" priority="45">
      <x:formula>OR(D262="폐기",D262="HISTORICAL",ISNUMBER(SEARCH("폐기",D262)))</x:formula>
    </x:cfRule>
    <x:cfRule type="expression" dxfId="111" priority="46">
      <x:formula>OR(D262="NEXT",D262="진행")</x:formula>
    </x:cfRule>
  </x:conditionalFormatting>
  <x:conditionalFormatting sqref="E16:E273">
    <x:cfRule type="expression" dxfId="112" priority="47">
      <x:formula>OR(E16="완료",E16="확정",E16="확정방향",E16="방향 확정",LEFT(E16,2)="확정")</x:formula>
    </x:cfRule>
    <x:cfRule type="expression" dxfId="113" priority="48">
      <x:formula>OR(E16="TBD",E16="대기",ISNUMBER(SEARCH("TEMP",E16)))</x:formula>
    </x:cfRule>
    <x:cfRule type="expression" dxfId="114" priority="49">
      <x:formula>OR(E16="폐기",E16="HISTORICAL",ISNUMBER(SEARCH("폐기",E16)))</x:formula>
    </x:cfRule>
    <x:cfRule type="expression" dxfId="115" priority="50">
      <x:formula>OR(E16="NEXT",E16="진행")</x:formula>
    </x:cfRule>
  </x:conditionalFormatting>
  <x:conditionalFormatting sqref="E80:E273">
    <x:cfRule type="expression" dxfId="116" priority="51">
      <x:formula>OR(E80="완료",E80="확정",E80="확정방향",E80="방향 확정",LEFT(E80,2)="확정")</x:formula>
    </x:cfRule>
    <x:cfRule type="expression" dxfId="117" priority="52">
      <x:formula>OR(E80="TBD",E80="대기",ISNUMBER(SEARCH("TEMP",E80)))</x:formula>
    </x:cfRule>
    <x:cfRule type="expression" dxfId="118" priority="53">
      <x:formula>OR(E80="폐기",E80="HISTORICAL",ISNUMBER(SEARCH("폐기",E80)))</x:formula>
    </x:cfRule>
    <x:cfRule type="expression" dxfId="119" priority="54">
      <x:formula>OR(E80="NEXT",E80="진행")</x:formula>
    </x:cfRule>
  </x:conditionalFormatting>
  <x:conditionalFormatting sqref="H24:H273">
    <x:cfRule type="expression" dxfId="120" priority="55">
      <x:formula>OR(H24="완료",H24="확정",H24="확정방향",H24="방향 확정",LEFT(H24,2)="확정")</x:formula>
    </x:cfRule>
    <x:cfRule type="expression" dxfId="121" priority="56">
      <x:formula>OR(H24="TBD",H24="대기",ISNUMBER(SEARCH("TEMP",H24)))</x:formula>
    </x:cfRule>
    <x:cfRule type="expression" dxfId="122" priority="57">
      <x:formula>OR(H24="폐기",H24="HISTORICAL",ISNUMBER(SEARCH("폐기",H24)))</x:formula>
    </x:cfRule>
    <x:cfRule type="expression" dxfId="123" priority="58">
      <x:formula>OR(H24="NEXT",H24="진행")</x:formula>
    </x:cfRule>
  </x:conditionalFormatting>
  <x:conditionalFormatting sqref="E89:E273">
    <x:cfRule type="expression" dxfId="124" priority="59">
      <x:formula>OR(E89="완료",E89="확정",E89="확정방향",E89="방향 확정",LEFT(E89,2)="확정")</x:formula>
    </x:cfRule>
    <x:cfRule type="expression" dxfId="125" priority="60">
      <x:formula>OR(E89="TBD",E89="대기",ISNUMBER(SEARCH("TEMP",E89)))</x:formula>
    </x:cfRule>
    <x:cfRule type="expression" dxfId="126" priority="61">
      <x:formula>OR(E89="폐기",E89="HISTORICAL",ISNUMBER(SEARCH("폐기",E89)))</x:formula>
    </x:cfRule>
    <x:cfRule type="expression" dxfId="127" priority="62">
      <x:formula>OR(E89="NEXT",E89="진행")</x:formula>
    </x:cfRule>
  </x:conditionalFormatting>
  <x:conditionalFormatting sqref="H97:H273">
    <x:cfRule type="expression" dxfId="128" priority="63">
      <x:formula>OR(H97="완료",H97="확정",H97="확정방향",H97="방향 확정",LEFT(H97,2)="확정")</x:formula>
    </x:cfRule>
    <x:cfRule type="expression" dxfId="129" priority="64">
      <x:formula>OR(H97="TBD",H97="대기",ISNUMBER(SEARCH("TEMP",H97)))</x:formula>
    </x:cfRule>
    <x:cfRule type="expression" dxfId="130" priority="65">
      <x:formula>OR(H97="폐기",H97="HISTORICAL",ISNUMBER(SEARCH("폐기",H97)))</x:formula>
    </x:cfRule>
    <x:cfRule type="expression" dxfId="131" priority="66">
      <x:formula>OR(H97="NEXT",H97="진행")</x:formula>
    </x:cfRule>
  </x:conditionalFormatting>
  <x:conditionalFormatting sqref="D246:D273">
    <x:cfRule type="expression" dxfId="132" priority="67">
      <x:formula>OR(D246="완료",D246="확정",D246="확정방향",D246="방향 확정",LEFT(D246,2)="확정")</x:formula>
    </x:cfRule>
    <x:cfRule type="expression" dxfId="133" priority="68">
      <x:formula>OR(D246="TBD",D246="대기",ISNUMBER(SEARCH("TEMP",D246)))</x:formula>
    </x:cfRule>
    <x:cfRule type="expression" dxfId="134" priority="69">
      <x:formula>OR(D246="폐기",D246="HISTORICAL",ISNUMBER(SEARCH("폐기",D246)))</x:formula>
    </x:cfRule>
    <x:cfRule type="expression" dxfId="135" priority="70">
      <x:formula>OR(D246="NEXT",D246="진행")</x:formula>
    </x:cfRule>
  </x:conditionalFormatting>
  <x:conditionalFormatting sqref="D72:D273">
    <x:cfRule type="expression" dxfId="136" priority="71">
      <x:formula>OR(D72="완료",D72="확정",D72="확정방향",D72="방향 확정",LEFT(D72,2)="확정")</x:formula>
    </x:cfRule>
    <x:cfRule type="expression" dxfId="137" priority="72">
      <x:formula>OR(D72="TBD",D72="대기",ISNUMBER(SEARCH("TEMP",D72)))</x:formula>
    </x:cfRule>
    <x:cfRule type="expression" dxfId="138" priority="73">
      <x:formula>OR(D72="폐기",D72="HISTORICAL",ISNUMBER(SEARCH("폐기",D72)))</x:formula>
    </x:cfRule>
    <x:cfRule type="expression" dxfId="139" priority="74">
      <x:formula>OR(D72="NEXT",D72="진행")</x:formula>
    </x:cfRule>
  </x:conditionalFormatting>
  <x:conditionalFormatting sqref="E6:E273">
    <x:cfRule type="expression" dxfId="140" priority="75">
      <x:formula>OR(E6="완료",E6="확정",E6="확정방향",E6="방향 확정",LEFT(E6,2)="확정")</x:formula>
    </x:cfRule>
    <x:cfRule type="expression" dxfId="141" priority="76">
      <x:formula>OR(E6="TBD",E6="대기",ISNUMBER(SEARCH("TEMP",E6)))</x:formula>
    </x:cfRule>
    <x:cfRule type="expression" dxfId="142" priority="77">
      <x:formula>OR(E6="폐기",E6="HISTORICAL",ISNUMBER(SEARCH("폐기",E6)))</x:formula>
    </x:cfRule>
    <x:cfRule type="expression" dxfId="143" priority="78">
      <x:formula>OR(E6="NEXT",E6="진행")</x:formula>
    </x:cfRule>
  </x:conditionalFormatting>
  <x:conditionalFormatting sqref="H188:H273">
    <x:cfRule type="expression" dxfId="144" priority="79">
      <x:formula>OR(H188="완료",H188="확정",H188="확정방향",H188="방향 확정",LEFT(H188,2)="확정")</x:formula>
    </x:cfRule>
    <x:cfRule type="expression" dxfId="145" priority="80">
      <x:formula>OR(H188="TBD",H188="대기",ISNUMBER(SEARCH("TEMP",H188)))</x:formula>
    </x:cfRule>
    <x:cfRule type="expression" dxfId="146" priority="81">
      <x:formula>OR(H188="폐기",H188="HISTORICAL",ISNUMBER(SEARCH("폐기",H188)))</x:formula>
    </x:cfRule>
    <x:cfRule type="expression" dxfId="147" priority="82">
      <x:formula>OR(H188="NEXT",H188="진행")</x:formula>
    </x:cfRule>
  </x:conditionalFormatting>
  <x:conditionalFormatting sqref="F108:F273">
    <x:cfRule type="expression" dxfId="148" priority="83">
      <x:formula>OR(F108="완료",F108="확정",F108="확정방향",F108="방향 확정",LEFT(F108,2)="확정")</x:formula>
    </x:cfRule>
    <x:cfRule type="expression" dxfId="149" priority="84">
      <x:formula>OR(F108="TBD",F108="대기",ISNUMBER(SEARCH("TEMP",F108)))</x:formula>
    </x:cfRule>
    <x:cfRule type="expression" dxfId="150" priority="85">
      <x:formula>OR(F108="폐기",F108="HISTORICAL",ISNUMBER(SEARCH("폐기",F108)))</x:formula>
    </x:cfRule>
    <x:cfRule type="expression" dxfId="151" priority="86">
      <x:formula>OR(F108="NEXT",F108="진행")</x:formula>
    </x:cfRule>
  </x:conditionalFormatting>
  <x:conditionalFormatting sqref="G235:G273">
    <x:cfRule type="expression" dxfId="152" priority="87">
      <x:formula>OR(G235="완료",G235="확정",G235="확정방향",G235="방향 확정",LEFT(G235,2)="확정")</x:formula>
    </x:cfRule>
    <x:cfRule type="expression" dxfId="153" priority="88">
      <x:formula>OR(G235="TBD",G235="대기",ISNUMBER(SEARCH("TEMP",G235)))</x:formula>
    </x:cfRule>
    <x:cfRule type="expression" dxfId="154" priority="89">
      <x:formula>OR(G235="폐기",G235="HISTORICAL",ISNUMBER(SEARCH("폐기",G235)))</x:formula>
    </x:cfRule>
    <x:cfRule type="expression" dxfId="155" priority="90">
      <x:formula>OR(G235="NEXT",G235="진행")</x:formula>
    </x:cfRule>
  </x:conditionalFormatting>
  <x:conditionalFormatting sqref="H148:H273">
    <x:cfRule type="expression" dxfId="156" priority="91">
      <x:formula>OR(H148="완료",H148="확정",H148="확정방향",H148="방향 확정",LEFT(H148,2)="확정")</x:formula>
    </x:cfRule>
    <x:cfRule type="expression" dxfId="157" priority="92">
      <x:formula>OR(H148="TBD",H148="대기",ISNUMBER(SEARCH("TEMP",H148)))</x:formula>
    </x:cfRule>
    <x:cfRule type="expression" dxfId="158" priority="93">
      <x:formula>OR(H148="폐기",H148="HISTORICAL",ISNUMBER(SEARCH("폐기",H148)))</x:formula>
    </x:cfRule>
    <x:cfRule type="expression" dxfId="159" priority="94">
      <x:formula>OR(H148="NEXT",H148="진행")</x:formula>
    </x:cfRule>
  </x:conditionalFormatting>
  <x:conditionalFormatting sqref="D270:D273">
    <x:cfRule type="expression" dxfId="160" priority="95">
      <x:formula>OR(D270="완료",D270="확정",D270="확정방향",D270="방향 확정",LEFT(D270,2)="확정")</x:formula>
    </x:cfRule>
    <x:cfRule type="expression" dxfId="161" priority="96">
      <x:formula>OR(D270="TBD",D270="대기",ISNUMBER(SEARCH("TEMP",D270)))</x:formula>
    </x:cfRule>
    <x:cfRule type="expression" dxfId="162" priority="97">
      <x:formula>OR(D270="폐기",D270="HISTORICAL",ISNUMBER(SEARCH("폐기",D270)))</x:formula>
    </x:cfRule>
    <x:cfRule type="expression" dxfId="163" priority="98">
      <x:formula>OR(D270="NEXT",D270="진행")</x:formula>
    </x:cfRule>
  </x:conditionalFormatting>
  <x:conditionalFormatting sqref="D218:D273">
    <x:cfRule type="expression" dxfId="164" priority="99">
      <x:formula>OR(D218="완료",D218="확정",D218="확정방향",D218="방향 확정",LEFT(D218,2)="확정")</x:formula>
    </x:cfRule>
    <x:cfRule type="expression" dxfId="165" priority="100">
      <x:formula>OR(D218="TBD",D218="대기",ISNUMBER(SEARCH("TEMP",D218)))</x:formula>
    </x:cfRule>
    <x:cfRule type="expression" dxfId="166" priority="101">
      <x:formula>OR(D218="폐기",D218="HISTORICAL",ISNUMBER(SEARCH("폐기",D218)))</x:formula>
    </x:cfRule>
    <x:cfRule type="expression" dxfId="167" priority="102">
      <x:formula>OR(D218="NEXT",D218="진행")</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30" hidden="0" customHeight="1">
      <x:c r="A1" s="905" t="str">
        <x:v>W3 Emergency Schedule v0.3 — D15/D17 Waves + D19 Boss</x:v>
      </x:c>
      <x:c r="B1" s="905"/>
      <x:c r="C1" s="905"/>
      <x:c r="D1" s="905"/>
      <x:c r="E1" s="905"/>
      <x:c r="F1" s="905"/>
      <x:c r="G1" s="905"/>
      <x:c r="H1" s="905"/>
      <x:c r="I1" s="905"/>
      <x:c r="J1" s="905"/>
      <x:c r="K1" s="905"/>
      <x:c r="L1" s="905"/>
      <x:c r="M1" s="905"/>
      <x:c r="N1" s="905"/>
    </x:row>
    <x:row r="2" ht="42" hidden="0" customHeight="1">
      <x:c r="A2" s="908" t="str">
        <x:v>핵심 구조: D15 동시2 / D16 회복·퀘스트 / D17 동시2 / D18 회복·피날레 / D19 보스전 동시3 / D20 후유증 정리 / D21 엔딩. 전용 표적 Pool은 Bridge·Engine·Oxygen·Research·Greenhouse·Living 6개이며, Freezer는 D15/D17에서 제외하고 D19 보스전에 고정한다.</x:v>
      </x:c>
      <x:c r="B2" s="908"/>
      <x:c r="C2" s="908"/>
      <x:c r="D2" s="908"/>
      <x:c r="E2" s="908"/>
      <x:c r="F2" s="908"/>
      <x:c r="G2" s="908"/>
      <x:c r="H2" s="908"/>
      <x:c r="I2" s="908"/>
      <x:c r="J2" s="908"/>
      <x:c r="K2" s="908"/>
      <x:c r="L2" s="908"/>
      <x:c r="M2" s="908"/>
      <x:c r="N2" s="908"/>
    </x:row>
    <x:row r="3" ht="15" hidden="0" customHeight="1">
      <x:c r="A3" s="890"/>
      <x:c r="B3" s="890"/>
      <x:c r="C3" s="890"/>
      <x:c r="D3" s="890"/>
      <x:c r="E3" s="890"/>
      <x:c r="F3" s="890"/>
      <x:c r="G3" s="890"/>
      <x:c r="H3" s="890"/>
      <x:c r="I3" s="890"/>
      <x:c r="J3" s="890"/>
      <x:c r="K3" s="890"/>
      <x:c r="L3" s="890"/>
      <x:c r="M3" s="890"/>
      <x:c r="N3" s="890"/>
    </x:row>
    <x:row r="4" ht="26" hidden="0" customHeight="1">
      <x:c r="A4" s="911" t="str">
        <x:v>1. Emergency 계층</x:v>
      </x:c>
      <x:c r="B4" s="911"/>
      <x:c r="C4" s="911"/>
      <x:c r="D4" s="911"/>
      <x:c r="E4" s="911"/>
      <x:c r="F4" s="911"/>
      <x:c r="G4" s="911"/>
      <x:c r="H4" s="911"/>
      <x:c r="I4" s="911"/>
      <x:c r="J4" s="911"/>
      <x:c r="K4" s="911"/>
      <x:c r="L4" s="911"/>
      <x:c r="M4" s="911"/>
      <x:c r="N4" s="911"/>
    </x:row>
    <x:row r="5" ht="30" hidden="0" customHeight="1">
      <x:c r="A5" s="916" t="str">
        <x:v>계층</x:v>
      </x:c>
      <x:c r="B5" s="916" t="str">
        <x:v>종류</x:v>
      </x:c>
      <x:c r="C5" s="916" t="str">
        <x:v>생성 방식</x:v>
      </x:c>
      <x:c r="D5" s="916" t="str">
        <x:v>동시성</x:v>
      </x:c>
      <x:c r="E5" s="916" t="str">
        <x:v>예시</x:v>
      </x:c>
      <x:c r="F5" s="916" t="str">
        <x:v>설계 원칙</x:v>
      </x:c>
      <x:c r="G5" s="916" t="str">
        <x:v>상태</x:v>
      </x:c>
      <x:c r="H5" s="916"/>
      <x:c r="I5" s="916"/>
      <x:c r="J5" s="916"/>
      <x:c r="K5" s="916"/>
      <x:c r="L5" s="916"/>
      <x:c r="M5" s="916"/>
      <x:c r="N5" s="916"/>
    </x:row>
    <x:row r="6" ht="30" hidden="0" customHeight="1">
      <x:c r="A6" s="892" t="str">
        <x:v>ROOT_WAVE</x:v>
      </x:c>
      <x:c r="B6" s="892" t="str">
        <x:v>폭풍 시설 위기</x:v>
      </x:c>
      <x:c r="C6" s="892" t="str">
        <x:v>D15/D17 Director가 Target 2개를 동시에 선택</x:v>
      </x:c>
      <x:c r="D6" s="892" t="str">
        <x:v>동시2</x:v>
      </x:c>
      <x:c r="E6" s="892" t="str">
        <x:v>시설별 Crisis Template</x:v>
      </x:c>
      <x:c r="F6" s="892" t="str">
        <x:v>초반/중반은 강한 시설을 먼저 시험</x:v>
      </x:c>
      <x:c r="G6" s="892" t="str">
        <x:v>TEMP 추천</x:v>
      </x:c>
      <x:c r="H6" s="892"/>
      <x:c r="I6" s="892"/>
      <x:c r="J6" s="892"/>
      <x:c r="K6" s="892"/>
      <x:c r="L6" s="892"/>
      <x:c r="M6" s="892"/>
      <x:c r="N6" s="892"/>
    </x:row>
    <x:row r="7" ht="24" hidden="0" customHeight="1">
      <x:c r="A7" s="890" t="str">
        <x:v>BOSS_WAVE</x:v>
      </x:c>
      <x:c r="B7" s="890" t="str">
        <x:v>D19 보스전</x:v>
      </x:c>
      <x:c r="C7" s="890" t="str">
        <x:v>Freezer 고정 + 남은 Target 2개</x:v>
      </x:c>
      <x:c r="D7" s="890" t="str">
        <x:v>동시3</x:v>
      </x:c>
      <x:c r="E7" s="890" t="str">
        <x:v>Freezer Critical + 시설 Crisis×2</x:v>
      </x:c>
      <x:c r="F7" s="890" t="str">
        <x:v>세 응급을 병렬/방치/Will로 Triage</x:v>
      </x:c>
      <x:c r="G7" s="890" t="str">
        <x:v>TEMP 추천</x:v>
      </x:c>
      <x:c r="H7" s="890"/>
      <x:c r="I7" s="890"/>
      <x:c r="J7" s="890"/>
      <x:c r="K7" s="890"/>
      <x:c r="L7" s="890"/>
      <x:c r="M7" s="890"/>
      <x:c r="N7" s="890"/>
    </x:row>
    <x:row r="8" ht="24" hidden="0" customHeight="1">
      <x:c r="A8" s="890" t="str">
        <x:v>DERIVED</x:v>
      </x:c>
      <x:c r="B8" s="890" t="str">
        <x:v>상태 파생</x:v>
      </x:c>
      <x:c r="C8" s="890" t="str">
        <x:v>Integrity 임계치 즉시</x:v>
      </x:c>
      <x:c r="D8" s="890" t="str">
        <x:v>Wave와 공존</x:v>
      </x:c>
      <x:c r="E8" s="890" t="str">
        <x:v>Panic / Greenhouse Recovery / Hull0</x:v>
      </x:c>
      <x:c r="F8" s="890" t="str">
        <x:v>이전 선택의 후유증</x:v>
      </x:c>
      <x:c r="G8" s="890" t="str">
        <x:v>확정방향</x:v>
      </x:c>
      <x:c r="H8" s="890"/>
      <x:c r="I8" s="890"/>
      <x:c r="J8" s="890"/>
      <x:c r="K8" s="890"/>
      <x:c r="L8" s="890"/>
      <x:c r="M8" s="890"/>
      <x:c r="N8" s="890"/>
    </x:row>
    <x:row r="9" ht="24" hidden="0" customHeight="1">
      <x:c r="A9" s="890" t="str">
        <x:v>AUTHORED</x:v>
      </x:c>
      <x:c r="B9" s="890" t="str">
        <x:v>서사 Emergency</x:v>
      </x:c>
      <x:c r="C9" s="890" t="str">
        <x:v>Character Flag</x:v>
      </x:c>
      <x:c r="D9" s="890" t="str">
        <x:v>Wave와 겹치면 Queue</x:v>
      </x:c>
      <x:c r="E9" s="890" t="str">
        <x:v>샘 붕괴 등</x:v>
      </x:c>
      <x:c r="F9" s="890" t="str">
        <x:v>D19에는 신규 Character Emergency 금지</x:v>
      </x:c>
      <x:c r="G9" s="890" t="str">
        <x:v>TEMP 추천</x:v>
      </x:c>
      <x:c r="H9" s="890"/>
      <x:c r="I9" s="890"/>
      <x:c r="J9" s="890"/>
      <x:c r="K9" s="890"/>
      <x:c r="L9" s="890"/>
      <x:c r="M9" s="890"/>
      <x:c r="N9" s="890"/>
    </x:row>
    <x:row r="10" ht="15" hidden="0" customHeight="1">
      <x:c r="A10" s="890"/>
      <x:c r="B10" s="890"/>
      <x:c r="C10" s="890"/>
      <x:c r="D10" s="890"/>
      <x:c r="E10" s="890"/>
      <x:c r="F10" s="890"/>
      <x:c r="G10" s="890"/>
      <x:c r="H10" s="890"/>
      <x:c r="I10" s="890"/>
      <x:c r="J10" s="890"/>
      <x:c r="K10" s="890"/>
      <x:c r="L10" s="890"/>
      <x:c r="M10" s="890"/>
      <x:c r="N10" s="890"/>
    </x:row>
    <x:row r="11" ht="26" hidden="0" customHeight="1">
      <x:c r="A11" s="911" t="str">
        <x:v>2. Wave Director 규칙 — 6개 시설을 D15→D17→D19 순서로 모두 한 번씩 시험</x:v>
      </x:c>
      <x:c r="B11" s="911"/>
      <x:c r="C11" s="911"/>
      <x:c r="D11" s="911"/>
      <x:c r="E11" s="911"/>
      <x:c r="F11" s="911"/>
      <x:c r="G11" s="911"/>
      <x:c r="H11" s="911"/>
      <x:c r="I11" s="911"/>
      <x:c r="J11" s="911"/>
      <x:c r="K11" s="911"/>
      <x:c r="L11" s="911"/>
      <x:c r="M11" s="911"/>
      <x:c r="N11" s="911"/>
    </x:row>
    <x:row r="12" ht="30" hidden="0" customHeight="1">
      <x:c r="A12" s="916" t="str">
        <x:v>Day</x:v>
      </x:c>
      <x:c r="B12" s="916" t="str">
        <x:v>동시 Root</x:v>
      </x:c>
      <x:c r="C12" s="916" t="str">
        <x:v>Target 선정</x:v>
      </x:c>
      <x:c r="D12" s="916" t="str">
        <x:v>Freezer</x:v>
      </x:c>
      <x:c r="E12" s="916" t="str">
        <x:v>재타격</x:v>
      </x:c>
      <x:c r="F12" s="916" t="str">
        <x:v>Tie</x:v>
      </x:c>
      <x:c r="G12" s="916" t="str">
        <x:v>의도</x:v>
      </x:c>
      <x:c r="H12" s="916" t="str">
        <x:v>상태</x:v>
      </x:c>
      <x:c r="I12" s="916"/>
      <x:c r="J12" s="916" t="str">
        <x:v>Target Pool</x:v>
      </x:c>
      <x:c r="K12" s="916" t="str">
        <x:v>기본 Crisis</x:v>
      </x:c>
      <x:c r="L12" s="916" t="str">
        <x:v>1 Tick</x:v>
      </x:c>
      <x:c r="M12" s="916" t="str">
        <x:v>주요 직접해결</x:v>
      </x:c>
      <x:c r="N12" s="916" t="str">
        <x:v>대표 NPC</x:v>
      </x:c>
    </x:row>
    <x:row r="13" ht="36" hidden="0" customHeight="1">
      <x:c r="A13" s="890" t="str">
        <x:v>D15</x:v>
      </x:c>
      <x:c r="B13" s="890" t="n">
        <x:v>2</x:v>
      </x:c>
      <x:c r="C13" s="890" t="str">
        <x:v>Pool 6개 중 현재 Integrity가 가장 높은 2개</x:v>
      </x:c>
      <x:c r="D13" s="890" t="str">
        <x:v>제외</x:v>
      </x:c>
      <x:c r="E13" s="890" t="str">
        <x:v>전용 Crisis 중복 없음</x:v>
      </x:c>
      <x:c r="F13" s="890" t="str">
        <x:v>동일 Integrity는 Run Seed 기반 랜덤</x:v>
      </x:c>
      <x:c r="G13" s="890" t="str">
        <x:v>높은 내구도라 1 Tick을 맞아도 비교적 버틸 수 있는 규칙 학습</x:v>
      </x:c>
      <x:c r="H13" s="895" t="str">
        <x:v>TEMP 추천</x:v>
      </x:c>
      <x:c r="I13" s="890"/>
      <x:c r="J13" s="890" t="str">
        <x:v>Bridge</x:v>
      </x:c>
      <x:c r="K13" s="890" t="str">
        <x:v>함교 지휘·항법 통제 붕괴</x:v>
      </x:c>
      <x:c r="L13" s="890" t="str">
        <x:v>함교-1 + Hull-1</x:v>
      </x:c>
      <x:c r="M13" s="890" t="str">
        <x:v>교감7/기술7=2h · 교감9 또는 기술9+Will=1h</x:v>
      </x:c>
      <x:c r="N13" s="890" t="str">
        <x:v>샘 Primary / 페이 Support</x:v>
      </x:c>
    </x:row>
    <x:row r="14" ht="48" hidden="0" customHeight="1">
      <x:c r="A14" s="890" t="str">
        <x:v>D16</x:v>
      </x:c>
      <x:c r="B14" s="890" t="n">
        <x:v>0</x:v>
      </x:c>
      <x:c r="C14" s="890" t="str">
        <x:v>신규 Wave 없음</x:v>
      </x:c>
      <x:c r="D14" s="890" t="str">
        <x:v>—</x:v>
      </x:c>
      <x:c r="E14" s="890" t="str">
        <x:v>—</x:v>
      </x:c>
      <x:c r="F14" s="890" t="str">
        <x:v>—</x:v>
      </x:c>
      <x:c r="G14" s="890" t="str">
        <x:v>수리·NPC 재배치·Character Quest / D17 표적 순서를 바꿀 수 있는 날</x:v>
      </x:c>
      <x:c r="H14" s="895" t="str">
        <x:v>TEMP 추천</x:v>
      </x:c>
      <x:c r="I14" s="890"/>
      <x:c r="J14" s="890" t="str">
        <x:v>Engine</x:v>
      </x:c>
      <x:c r="K14" s="890" t="str">
        <x:v>Engineering Breach</x:v>
      </x:c>
      <x:c r="L14" s="890" t="str">
        <x:v>엔진-1 + 산소-1 + Hull-1</x:v>
      </x:c>
      <x:c r="M14" s="890" t="str">
        <x:v>기술7=2h · 기술9+Will=1h</x:v>
      </x:c>
      <x:c r="N14" s="895" t="str">
        <x:v>벤자민/페이</x:v>
      </x:c>
    </x:row>
    <x:row r="15" ht="48" hidden="0" customHeight="1">
      <x:c r="A15" s="890" t="str">
        <x:v>D17</x:v>
      </x:c>
      <x:c r="B15" s="890" t="n">
        <x:v>2</x:v>
      </x:c>
      <x:c r="C15" s="890" t="str">
        <x:v>아직 전용 Crisis가 없었던 4개 중 현재 Integrity가 가장 높은 2개</x:v>
      </x:c>
      <x:c r="D15" s="890" t="str">
        <x:v>제외</x:v>
      </x:c>
      <x:c r="E15" s="890" t="str">
        <x:v>중복 없음</x:v>
      </x:c>
      <x:c r="F15" s="890" t="str">
        <x:v>동률 랜덤</x:v>
      </x:c>
      <x:c r="G15" s="890" t="str">
        <x:v>중간 압박. D16 수리가 실제 Target Director에 영향</x:v>
      </x:c>
      <x:c r="H15" s="895" t="str">
        <x:v>TEMP 추천</x:v>
      </x:c>
      <x:c r="I15" s="890"/>
      <x:c r="J15" s="890" t="str">
        <x:v>Oxygen</x:v>
      </x:c>
      <x:c r="K15" s="890" t="str">
        <x:v>Oxygen Interruption</x:v>
      </x:c>
      <x:c r="L15" s="890" t="str">
        <x:v>엔진-1 + 산소-1</x:v>
      </x:c>
      <x:c r="M15" s="890" t="str">
        <x:v>기술7/강인함7=2h · 기술9 또는 강인함9+Will=1h</x:v>
      </x:c>
      <x:c r="N15" s="890" t="str">
        <x:v>벤자민/페이</x:v>
      </x:c>
    </x:row>
    <x:row r="16" ht="36" hidden="0" customHeight="1">
      <x:c r="A16" s="890" t="str">
        <x:v>D18</x:v>
      </x:c>
      <x:c r="B16" s="890" t="n">
        <x:v>0</x:v>
      </x:c>
      <x:c r="C16" s="890" t="str">
        <x:v>신규 Wave 없음</x:v>
      </x:c>
      <x:c r="D16" s="890" t="str">
        <x:v>—</x:v>
      </x:c>
      <x:c r="E16" s="890" t="str">
        <x:v>—</x:v>
      </x:c>
      <x:c r="F16" s="890" t="str">
        <x:v>—</x:v>
      </x:c>
      <x:c r="G16" s="890" t="str">
        <x:v>D19 준비 / Character Finale / Will·Stat 보상 확보</x:v>
      </x:c>
      <x:c r="H16" s="895" t="str">
        <x:v>TEMP 추천</x:v>
      </x:c>
      <x:c r="I16" s="890"/>
      <x:c r="J16" s="890" t="str">
        <x:v>Research</x:v>
      </x:c>
      <x:c r="K16" s="890" t="str">
        <x:v>연구 격리·환경제어 붕괴</x:v>
      </x:c>
      <x:c r="L16" s="890" t="str">
        <x:v>연구-1 + 냉동-1 + 온실-1</x:v>
      </x:c>
      <x:c r="M16" s="890" t="str">
        <x:v>기술7=2h · 기술9+Will=1h</x:v>
      </x:c>
      <x:c r="N16" s="890" t="str">
        <x:v>보리치 Primary / 페이 Support</x:v>
      </x:c>
    </x:row>
    <x:row r="17" ht="30" hidden="0" customHeight="1">
      <x:c r="A17" s="892" t="str">
        <x:v>D19</x:v>
      </x:c>
      <x:c r="B17" s="892" t="n">
        <x:v>3</x:v>
      </x:c>
      <x:c r="C17" s="892" t="str">
        <x:v>남은 미발생 시설 2개 + Freezer 고정</x:v>
      </x:c>
      <x:c r="D17" s="892" t="str">
        <x:v>고정</x:v>
      </x:c>
      <x:c r="E17" s="892" t="str">
        <x:v>여섯 Pool 시설은 여기서 모두 1회 경험</x:v>
      </x:c>
      <x:c r="F17" s="892" t="str">
        <x:v>남은 2개는 자동</x:v>
      </x:c>
      <x:c r="G17" s="892" t="str">
        <x:v>가장 약한/미처리 시설 + 냉동창고가 동시에 터지는 Boss Day</x:v>
      </x:c>
      <x:c r="H17" s="902" t="str">
        <x:v>TEMP 추천</x:v>
      </x:c>
      <x:c r="I17" s="892"/>
      <x:c r="J17" s="892" t="str">
        <x:v>온실</x:v>
      </x:c>
      <x:c r="K17" s="892" t="str">
        <x:v>온실 설비 파손</x:v>
      </x:c>
      <x:c r="L17" s="892" t="str">
        <x:v>온실-1</x:v>
      </x:c>
      <x:c r="M17" s="892" t="str">
        <x:v>기술7=2h · 기술9+Will=1h</x:v>
      </x:c>
      <x:c r="N17" s="892" t="str">
        <x:v>보리치 Primary / 디야 Support</x:v>
      </x:c>
    </x:row>
    <x:row r="18" ht="24" hidden="0" customHeight="1">
      <x:c r="A18" s="890" t="str">
        <x:v>D20</x:v>
      </x:c>
      <x:c r="B18" s="890" t="n">
        <x:v>0</x:v>
      </x:c>
      <x:c r="C18" s="890" t="str">
        <x:v>신규 Wave 없음</x:v>
      </x:c>
      <x:c r="D18" s="890" t="str">
        <x:v>—</x:v>
      </x:c>
      <x:c r="E18" s="890" t="str">
        <x:v>—</x:v>
      </x:c>
      <x:c r="F18" s="890" t="str">
        <x:v>—</x:v>
      </x:c>
      <x:c r="G18" s="890" t="str">
        <x:v>보스전 후유증 수리 / Stance / 재점검 마지막 기회</x:v>
      </x:c>
      <x:c r="H18" s="895" t="str">
        <x:v>확정방향</x:v>
      </x:c>
      <x:c r="I18" s="890"/>
      <x:c r="J18" s="890" t="str">
        <x:v>Living</x:v>
      </x:c>
      <x:c r="K18" s="890" t="str">
        <x:v>거주구역 생활지원·대피 혼란</x:v>
      </x:c>
      <x:c r="L18" s="890" t="str">
        <x:v>거주-1 → &lt;=2 Panic</x:v>
      </x:c>
      <x:c r="M18" s="890" t="str">
        <x:v>교감7/강인함7=2h · 교감9+Will=1h</x:v>
      </x:c>
      <x:c r="N18" s="890" t="str">
        <x:v>지나/디야 Primary / 샘 Support</x:v>
      </x:c>
    </x:row>
    <x:row r="19" ht="24" hidden="0" customHeight="1">
      <x:c r="A19" s="890" t="str">
        <x:v>D21</x:v>
      </x:c>
      <x:c r="B19" s="890" t="n">
        <x:v>0</x:v>
      </x:c>
      <x:c r="C19" s="890" t="str">
        <x:v>신규 Emergency 없음</x:v>
      </x:c>
      <x:c r="D19" s="890" t="str">
        <x:v>—</x:v>
      </x:c>
      <x:c r="E19" s="890" t="str">
        <x:v>—</x:v>
      </x:c>
      <x:c r="F19" s="890" t="str">
        <x:v>—</x:v>
      </x:c>
      <x:c r="G19" s="890" t="str">
        <x:v>최종 상태·엔딩</x:v>
      </x:c>
      <x:c r="H19" s="895" t="str">
        <x:v>확정방향</x:v>
      </x:c>
      <x:c r="I19" s="890"/>
      <x:c r="J19" s="890" t="str">
        <x:v>Freezer (D19 고정)</x:v>
      </x:c>
      <x:c r="K19" s="890" t="str">
        <x:v>Freezer Core Critical</x:v>
      </x:c>
      <x:c r="L19" s="890" t="str">
        <x:v>6h Deadline (4h Tick 없음)</x:v>
      </x:c>
      <x:c r="M19" s="890" t="str">
        <x:v>기술8=2h · 기술10+Will=1h · 기본4h</x:v>
      </x:c>
      <x:c r="N19" s="890" t="str">
        <x:v>벤자민/페이</x:v>
      </x:c>
    </x:row>
    <x:row r="20" ht="15" hidden="0" customHeight="1">
      <x:c r="A20" s="890"/>
      <x:c r="B20" s="890"/>
      <x:c r="C20" s="890"/>
      <x:c r="D20" s="890"/>
      <x:c r="E20" s="890"/>
      <x:c r="F20" s="890"/>
      <x:c r="G20" s="890"/>
      <x:c r="H20" s="890"/>
      <x:c r="I20" s="890"/>
      <x:c r="J20" s="890"/>
      <x:c r="K20" s="890"/>
      <x:c r="L20" s="890"/>
      <x:c r="M20" s="890"/>
      <x:c r="N20" s="890"/>
    </x:row>
    <x:row r="21" ht="26" hidden="0" customHeight="1">
      <x:c r="A21" s="911" t="str">
        <x:v>3. 예측 불가능하지만 공정하게 보이는 연출</x:v>
      </x:c>
      <x:c r="B21" s="911"/>
      <x:c r="C21" s="911"/>
      <x:c r="D21" s="911"/>
      <x:c r="E21" s="911"/>
      <x:c r="F21" s="911"/>
      <x:c r="G21" s="911"/>
      <x:c r="H21" s="911"/>
      <x:c r="I21" s="911"/>
      <x:c r="J21" s="911"/>
      <x:c r="K21" s="911"/>
      <x:c r="L21" s="911"/>
      <x:c r="M21" s="911"/>
      <x:c r="N21" s="911"/>
    </x:row>
    <x:row r="22" ht="30" hidden="0" customHeight="1">
      <x:c r="A22" s="892" t="str">
        <x:v>시점</x:v>
      </x:c>
      <x:c r="B22" s="892" t="str">
        <x:v>플레이어에게 공개</x:v>
      </x:c>
      <x:c r="C22" s="892" t="str">
        <x:v>숨기는 것</x:v>
      </x:c>
      <x:c r="D22" s="892" t="str">
        <x:v>의미</x:v>
      </x:c>
      <x:c r="E22" s="892" t="str">
        <x:v>상태</x:v>
      </x:c>
      <x:c r="F22" s="892"/>
      <x:c r="G22" s="892" t="str">
        <x:v>Director가 '높은 내구도부터' 고르는 이유는 밸런스용 내부 규칙이다. D15에 가장 튼튼한 시설을 먼저 때리면 초기 연쇄 사망을 막고, D19에는 자연스럽게 아직 시험받지 않은 약한 시설이 남는다. 동시에 플레이어가 D16/D18에 약한 시설을 수리해 순위를 올리면 그 시설을 D17에 먼저 맞게 만들어 D19 보스전에서 빼는 고급 운영도 가능하다.</x:v>
      </x:c>
      <x:c r="H22" s="892"/>
      <x:c r="I22" s="892"/>
      <x:c r="J22" s="892"/>
      <x:c r="K22" s="892"/>
      <x:c r="L22" s="892"/>
      <x:c r="M22" s="892"/>
      <x:c r="N22" s="892"/>
    </x:row>
    <x:row r="23" ht="36" hidden="0" customHeight="1">
      <x:c r="A23" s="890" t="str">
        <x:v>Day Start</x:v>
      </x:c>
      <x:c r="B23" s="890" t="str">
        <x:v>오늘 Wave가 있는지 / 동시 사고 수(2 또는 D19 3)</x:v>
      </x:c>
      <x:c r="C23" s="890" t="str">
        <x:v>정확 Target</x:v>
      </x:c>
      <x:c r="D23" s="890" t="str">
        <x:v>하루 계획은 세울 수 있지만 표적은 확정할 수 없음</x:v>
      </x:c>
      <x:c r="E23" s="890" t="str">
        <x:v>TEMP 추천</x:v>
      </x:c>
      <x:c r="F23" s="890"/>
      <x:c r="G23" s="890"/>
      <x:c r="H23" s="890"/>
      <x:c r="I23" s="890"/>
      <x:c r="J23" s="890"/>
      <x:c r="K23" s="890"/>
      <x:c r="L23" s="890"/>
      <x:c r="M23" s="890"/>
      <x:c r="N23" s="890"/>
    </x:row>
    <x:row r="24" ht="36" hidden="0" customHeight="1">
      <x:c r="A24" s="890" t="str">
        <x:v>Wave 1h 전</x:v>
      </x:c>
      <x:c r="B24" s="890" t="str">
        <x:v>이번에 위험한 Target 시설 전부 공개</x:v>
      </x:c>
      <x:c r="C24" s="890" t="str">
        <x:v>정확한 대사/세부 고장</x:v>
      </x:c>
      <x:c r="D24" s="890" t="str">
        <x:v>NPC 이동 1h과 정확히 맞물려 마지막 배치 기회 제공</x:v>
      </x:c>
      <x:c r="E24" s="890" t="str">
        <x:v>TEMP 추천</x:v>
      </x:c>
      <x:c r="F24" s="890"/>
      <x:c r="G24" s="890"/>
      <x:c r="H24" s="890"/>
      <x:c r="I24" s="890"/>
      <x:c r="J24" s="890"/>
      <x:c r="K24" s="890"/>
      <x:c r="L24" s="890"/>
      <x:c r="M24" s="890"/>
      <x:c r="N24" s="890"/>
    </x:row>
    <x:row r="25" ht="30" hidden="0" customHeight="1">
      <x:c r="A25" s="892" t="str">
        <x:v>발생</x:v>
      </x:c>
      <x:c r="B25" s="892" t="str">
        <x:v>Crisis 종류 / 첫 Tick / 해결법 / 현재 NPC</x:v>
      </x:c>
      <x:c r="C25" s="892" t="str">
        <x:v>없음</x:v>
      </x:c>
      <x:c r="D25" s="892" t="str">
        <x:v>이후 선택은 완전 정보</x:v>
      </x:c>
      <x:c r="E25" s="892" t="str">
        <x:v>확정방향</x:v>
      </x:c>
      <x:c r="F25" s="892"/>
      <x:c r="G25" s="892"/>
      <x:c r="H25" s="892"/>
      <x:c r="I25" s="892"/>
      <x:c r="J25" s="892"/>
      <x:c r="K25" s="892"/>
      <x:c r="L25" s="892"/>
      <x:c r="M25" s="892"/>
      <x:c r="N25" s="892"/>
    </x:row>
    <x:row r="26" ht="30" hidden="0" customHeight="1">
      <x:c r="A26" s="892" t="str">
        <x:v>Tie Random</x:v>
      </x:c>
      <x:c r="B26" s="892" t="str">
        <x:v>동일 Integrity 시설 중 Run Seed로 선택</x:v>
      </x:c>
      <x:c r="C26" s="892" t="str">
        <x:v>선택 Seed</x:v>
      </x:c>
      <x:c r="D26" s="892" t="str">
        <x:v>다회차 표적 변주</x:v>
      </x:c>
      <x:c r="E26" s="892" t="str">
        <x:v>TEMP 추천</x:v>
      </x:c>
      <x:c r="F26" s="892"/>
      <x:c r="G26" s="892"/>
      <x:c r="H26" s="892"/>
      <x:c r="I26" s="892"/>
      <x:c r="J26" s="892"/>
      <x:c r="K26" s="892"/>
      <x:c r="L26" s="892"/>
      <x:c r="M26" s="892"/>
      <x:c r="N26" s="892"/>
    </x:row>
    <x:row r="27">
      <x:c r="A27" s="890" t="str">
        <x:v>Director Rule</x:v>
      </x:c>
      <x:c r="B27" s="890" t="str">
        <x:v>정확한 '높은 Integrity 우선' 알고리즘은 UI에 직접 설명하지 않음</x:v>
      </x:c>
      <x:c r="C27" s="890" t="str">
        <x:v>내부 Director 로직</x:v>
      </x:c>
      <x:c r="D27" s="890" t="str">
        <x:v>수리로 표적을 조작하는 고급 전략은 발견 가능한 시스템으로 남김</x:v>
      </x:c>
      <x:c r="E27" s="890" t="str">
        <x:v>TEMP 추천</x:v>
      </x:c>
      <x:c r="F27" s="890"/>
      <x:c r="G27" s="890"/>
      <x:c r="H27" s="890"/>
      <x:c r="I27" s="890"/>
      <x:c r="J27" s="890"/>
      <x:c r="K27" s="890"/>
      <x:c r="L27" s="890"/>
      <x:c r="M27" s="890"/>
      <x:c r="N27" s="890"/>
    </x:row>
    <x:row r="28" ht="15" hidden="0" customHeight="1">
      <x:c r="A28" s="890"/>
      <x:c r="B28" s="890"/>
      <x:c r="C28" s="890"/>
      <x:c r="D28" s="890"/>
      <x:c r="E28" s="890"/>
      <x:c r="F28" s="890"/>
      <x:c r="G28" s="890"/>
      <x:c r="H28" s="890"/>
      <x:c r="I28" s="890"/>
      <x:c r="J28" s="890"/>
      <x:c r="K28" s="890"/>
      <x:c r="L28" s="890"/>
      <x:c r="M28" s="890"/>
      <x:c r="N28" s="890"/>
    </x:row>
    <x:row r="29" ht="15" hidden="0" customHeight="1">
      <x:c r="A29" s="890"/>
      <x:c r="B29" s="890"/>
      <x:c r="C29" s="890"/>
      <x:c r="D29" s="890"/>
      <x:c r="E29" s="890"/>
      <x:c r="F29" s="890"/>
      <x:c r="G29" s="890"/>
      <x:c r="H29" s="890"/>
      <x:c r="I29" s="890"/>
      <x:c r="J29" s="890"/>
      <x:c r="K29" s="890"/>
      <x:c r="L29" s="890"/>
      <x:c r="M29" s="890"/>
      <x:c r="N29" s="890"/>
    </x:row>
    <x:row r="30" ht="15" hidden="0" customHeight="1">
      <x:c r="A30" s="890"/>
      <x:c r="B30" s="890"/>
      <x:c r="C30" s="890"/>
      <x:c r="D30" s="890"/>
      <x:c r="E30" s="890"/>
      <x:c r="F30" s="890"/>
      <x:c r="G30" s="890"/>
      <x:c r="H30" s="890"/>
      <x:c r="I30" s="890"/>
      <x:c r="J30" s="890"/>
      <x:c r="K30" s="890"/>
      <x:c r="L30" s="890"/>
      <x:c r="M30" s="890"/>
      <x:c r="N30" s="890"/>
    </x:row>
    <x:row r="31" ht="26" hidden="0" customHeight="1">
      <x:c r="A31" s="911" t="str">
        <x:v>4. Wave / Derived / Boss 우선순위</x:v>
      </x:c>
      <x:c r="B31" s="911"/>
      <x:c r="C31" s="911"/>
      <x:c r="D31" s="911"/>
      <x:c r="E31" s="911"/>
      <x:c r="F31" s="911"/>
      <x:c r="G31" s="911"/>
      <x:c r="H31" s="911"/>
      <x:c r="I31" s="911"/>
      <x:c r="J31" s="911"/>
      <x:c r="K31" s="911"/>
      <x:c r="L31" s="911"/>
      <x:c r="M31" s="911"/>
      <x:c r="N31" s="911"/>
    </x:row>
    <x:row r="32" ht="30" hidden="0" customHeight="1">
      <x:c r="A32" s="916" t="str">
        <x:v>우선</x:v>
      </x:c>
      <x:c r="B32" s="916" t="str">
        <x:v>상황</x:v>
      </x:c>
      <x:c r="C32" s="916" t="str">
        <x:v>처리</x:v>
      </x:c>
      <x:c r="D32" s="916" t="str">
        <x:v>신규 Wave</x:v>
      </x:c>
      <x:c r="E32" s="916" t="str">
        <x:v>상태</x:v>
      </x:c>
      <x:c r="F32" s="916"/>
      <x:c r="G32" s="916"/>
      <x:c r="H32" s="916"/>
      <x:c r="I32" s="916"/>
      <x:c r="J32" s="916"/>
      <x:c r="K32" s="916"/>
      <x:c r="L32" s="916"/>
      <x:c r="M32" s="916"/>
      <x:c r="N32" s="916"/>
    </x:row>
    <x:row r="33" ht="24" hidden="0" customHeight="1">
      <x:c r="A33" s="890" t="n">
        <x:v>1</x:v>
      </x:c>
      <x:c r="B33" s="890" t="str">
        <x:v>Global Hull0</x:v>
      </x:c>
      <x:c r="C33" s="890" t="str">
        <x:v>Forced Emergency 최우선</x:v>
      </x:c>
      <x:c r="D33" s="890" t="str">
        <x:v>추가 생성 중지</x:v>
      </x:c>
      <x:c r="E33" s="890" t="str">
        <x:v>확정방향</x:v>
      </x:c>
      <x:c r="F33" s="890"/>
      <x:c r="G33" s="890"/>
      <x:c r="H33" s="890"/>
      <x:c r="I33" s="890"/>
      <x:c r="J33" s="890"/>
      <x:c r="K33" s="890"/>
      <x:c r="L33" s="890"/>
      <x:c r="M33" s="890"/>
      <x:c r="N33" s="890"/>
    </x:row>
    <x:row r="34" ht="24" hidden="0" customHeight="1">
      <x:c r="A34" s="890" t="n">
        <x:v>2</x:v>
      </x:c>
      <x:c r="B34" s="890" t="str">
        <x:v>D19 Boss Wave</x:v>
      </x:c>
      <x:c r="C34" s="890" t="str">
        <x:v>Freezer + Target2를 같은 시각에 모두 생성</x:v>
      </x:c>
      <x:c r="D34" s="890" t="str">
        <x:v>3개 고정</x:v>
      </x:c>
      <x:c r="E34" s="890" t="str">
        <x:v>TEMP 추천</x:v>
      </x:c>
      <x:c r="F34" s="890"/>
      <x:c r="G34" s="890"/>
      <x:c r="H34" s="890"/>
      <x:c r="I34" s="890"/>
      <x:c r="J34" s="890"/>
      <x:c r="K34" s="890"/>
      <x:c r="L34" s="890"/>
      <x:c r="M34" s="890"/>
      <x:c r="N34" s="890"/>
    </x:row>
    <x:row r="35" ht="24" hidden="0" customHeight="1">
      <x:c r="A35" s="890" t="n">
        <x:v>3</x:v>
      </x:c>
      <x:c r="B35" s="890" t="str">
        <x:v>D15/D17 Wave</x:v>
      </x:c>
      <x:c r="C35" s="890" t="str">
        <x:v>Target2를 같은 시각에 생성</x:v>
      </x:c>
      <x:c r="D35" s="890" t="str">
        <x:v>2개 고정</x:v>
      </x:c>
      <x:c r="E35" s="890" t="str">
        <x:v>TEMP 추천</x:v>
      </x:c>
      <x:c r="F35" s="890"/>
      <x:c r="G35" s="890"/>
      <x:c r="H35" s="890"/>
      <x:c r="I35" s="890"/>
      <x:c r="J35" s="890"/>
      <x:c r="K35" s="890"/>
      <x:c r="L35" s="890"/>
      <x:c r="M35" s="890"/>
      <x:c r="N35" s="890"/>
    </x:row>
    <x:row r="36" ht="24" hidden="0" customHeight="1">
      <x:c r="A36" s="890" t="n">
        <x:v>4</x:v>
      </x:c>
      <x:c r="B36" s="890" t="str">
        <x:v>Derived</x:v>
      </x:c>
      <x:c r="C36" s="890" t="str">
        <x:v>Panic/Recovery/폐쇄는 Wave와 병행</x:v>
      </x:c>
      <x:c r="D36" s="890" t="str">
        <x:v>가능</x:v>
      </x:c>
      <x:c r="E36" s="890" t="str">
        <x:v>확정방향</x:v>
      </x:c>
      <x:c r="F36" s="890"/>
      <x:c r="G36" s="890"/>
      <x:c r="H36" s="890"/>
      <x:c r="I36" s="890"/>
      <x:c r="J36" s="890"/>
      <x:c r="K36" s="890"/>
      <x:c r="L36" s="890"/>
      <x:c r="M36" s="890"/>
      <x:c r="N36" s="890"/>
    </x:row>
    <x:row r="37" ht="36" hidden="0" customHeight="1">
      <x:c r="A37" s="890" t="n">
        <x:v>5</x:v>
      </x:c>
      <x:c r="B37" s="890" t="str">
        <x:v>Authored Character Emergency</x:v>
      </x:c>
      <x:c r="C37" s="890" t="str">
        <x:v>Wave가 Active면 Queue. D19 신규 Trigger는 D20으로 지연</x:v>
      </x:c>
      <x:c r="D37" s="890" t="str">
        <x:v>Character만 지연</x:v>
      </x:c>
      <x:c r="E37" s="890" t="str">
        <x:v>TEMP 추천</x:v>
      </x:c>
      <x:c r="F37" s="890"/>
      <x:c r="G37" s="890"/>
      <x:c r="H37" s="890"/>
      <x:c r="I37" s="890"/>
      <x:c r="J37" s="890"/>
      <x:c r="K37" s="890"/>
      <x:c r="L37" s="890"/>
      <x:c r="M37" s="890"/>
      <x:c r="N37" s="890"/>
    </x:row>
    <x:row r="38" ht="15" hidden="0" customHeight="1">
      <x:c r="A38" s="890" t="n">
        <x:v>6</x:v>
      </x:c>
      <x:c r="B38" s="890" t="str">
        <x:v>D20~21</x:v>
      </x:c>
      <x:c r="C38" s="890" t="str">
        <x:v>신규 Wave 없음</x:v>
      </x:c>
      <x:c r="D38" s="890" t="str">
        <x:v>금지</x:v>
      </x:c>
      <x:c r="E38" s="890" t="str">
        <x:v>확정방향</x:v>
      </x:c>
      <x:c r="F38" s="890"/>
      <x:c r="G38" s="890"/>
      <x:c r="H38" s="890"/>
      <x:c r="I38" s="890"/>
      <x:c r="J38" s="890"/>
      <x:c r="K38" s="890"/>
      <x:c r="L38" s="890"/>
      <x:c r="M38" s="890"/>
      <x:c r="N38" s="890"/>
    </x:row>
    <x:row r="39" ht="15" hidden="0" customHeight="1">
      <x:c r="A39" s="890"/>
      <x:c r="B39" s="890"/>
      <x:c r="C39" s="890"/>
      <x:c r="D39" s="890"/>
      <x:c r="E39" s="890"/>
      <x:c r="F39" s="890"/>
      <x:c r="G39" s="890"/>
      <x:c r="H39" s="890"/>
      <x:c r="I39" s="890"/>
      <x:c r="J39" s="890"/>
      <x:c r="K39" s="890"/>
      <x:c r="L39" s="890"/>
      <x:c r="M39" s="890"/>
      <x:c r="N39" s="890"/>
    </x:row>
    <x:row r="40" ht="26" hidden="0" customHeight="1">
      <x:c r="A40" s="911" t="str">
        <x:v>5. 늦은 시간 / End Day 규칙</x:v>
      </x:c>
      <x:c r="B40" s="911"/>
      <x:c r="C40" s="911"/>
      <x:c r="D40" s="911"/>
      <x:c r="E40" s="911"/>
      <x:c r="F40" s="911"/>
      <x:c r="G40" s="911"/>
      <x:c r="H40" s="911"/>
      <x:c r="I40" s="911"/>
      <x:c r="J40" s="911"/>
      <x:c r="K40" s="911"/>
      <x:c r="L40" s="911"/>
      <x:c r="M40" s="911"/>
      <x:c r="N40" s="911"/>
    </x:row>
    <x:row r="41" ht="30" hidden="0" customHeight="1">
      <x:c r="A41" s="916" t="str">
        <x:v>규칙</x:v>
      </x:c>
      <x:c r="B41" s="916" t="str">
        <x:v>처리</x:v>
      </x:c>
      <x:c r="C41" s="916" t="str">
        <x:v>이유</x:v>
      </x:c>
      <x:c r="D41" s="916" t="str">
        <x:v>상태</x:v>
      </x:c>
      <x:c r="E41" s="916"/>
      <x:c r="F41" s="916"/>
      <x:c r="G41" s="916"/>
      <x:c r="H41" s="916"/>
      <x:c r="I41" s="916"/>
      <x:c r="J41" s="916"/>
      <x:c r="K41" s="916"/>
      <x:c r="L41" s="916"/>
      <x:c r="M41" s="916"/>
      <x:c r="N41" s="916"/>
    </x:row>
    <x:row r="42" ht="36" hidden="0" customHeight="1">
      <x:c r="A42" s="890" t="str">
        <x:v>신규 Root 최종 시각</x:v>
      </x:c>
      <x:c r="B42" s="890" t="str">
        <x:v>D15/D17/D19 Wave는 모두 18:00 이전 고정. 향후 변주에서도 신규 Wave는 18:00 이후 생성 금지</x:v>
      </x:c>
      <x:c r="C42" s="890" t="str">
        <x:v>기본 4h 해법을 22:00 전 선택할 여유 보장</x:v>
      </x:c>
      <x:c r="D42" s="890" t="str">
        <x:v>TEMP 추천</x:v>
      </x:c>
      <x:c r="E42" s="890"/>
      <x:c r="F42" s="890"/>
      <x:c r="G42" s="890"/>
      <x:c r="H42" s="890"/>
      <x:c r="I42" s="890"/>
      <x:c r="J42" s="890"/>
      <x:c r="K42" s="890"/>
      <x:c r="L42" s="890"/>
      <x:c r="M42" s="890"/>
      <x:c r="N42" s="890"/>
    </x:row>
    <x:row r="43" ht="48" hidden="0" customHeight="1">
      <x:c r="A43" s="890" t="str">
        <x:v>18:00 이후 Authored Emergency</x:v>
      </x:c>
      <x:c r="B43" s="890" t="str">
        <x:v>새로 Trigger되면 18:00 이전이면 시작, 이후면 다음 Day Start로 Queue(치명 즉발 서사는 예외 authored)</x:v>
      </x:c>
      <x:c r="C43" s="890" t="str">
        <x:v>우연한 늦은 팝업으로 수면/계획을 깨지 않음</x:v>
      </x:c>
      <x:c r="D43" s="890" t="str">
        <x:v>TEMP 추천</x:v>
      </x:c>
      <x:c r="E43" s="890"/>
      <x:c r="F43" s="890"/>
      <x:c r="G43" s="890"/>
      <x:c r="H43" s="890"/>
      <x:c r="I43" s="890"/>
      <x:c r="J43" s="890"/>
      <x:c r="K43" s="890"/>
      <x:c r="L43" s="890"/>
      <x:c r="M43" s="890"/>
      <x:c r="N43" s="890"/>
    </x:row>
    <x:row r="44" ht="36" hidden="0" customHeight="1">
      <x:c r="A44" s="890" t="str">
        <x:v>22:00에 Breach/Oxygen/Panic Active</x:v>
      </x:c>
      <x:c r="B44" s="890" t="str">
        <x:v>End Day 차단. 정상 행동은 잠기고 Emergency 해결만 가능</x:v>
      </x:c>
      <x:c r="C44" s="890" t="str">
        <x:v>Overnight 중 무대응 Tick으로 랜덤 사망하는 것 방지</x:v>
      </x:c>
      <x:c r="D44" s="890" t="str">
        <x:v>TEMP 추천</x:v>
      </x:c>
      <x:c r="E44" s="890"/>
      <x:c r="F44" s="890"/>
      <x:c r="G44" s="890"/>
      <x:c r="H44" s="890"/>
      <x:c r="I44" s="890"/>
      <x:c r="J44" s="890"/>
      <x:c r="K44" s="890"/>
      <x:c r="L44" s="890"/>
      <x:c r="M44" s="890"/>
      <x:c r="N44" s="890"/>
    </x:row>
    <x:row r="45" ht="24" hidden="0" customHeight="1">
      <x:c r="A45" s="890" t="str">
        <x:v>22:00에 Global Hull 0 Active</x:v>
      </x:c>
      <x:c r="B45" s="890" t="str">
        <x:v>무조건 End Day 차단</x:v>
      </x:c>
      <x:c r="C45" s="890" t="str">
        <x:v>치명 위기는 직접 해결해야 함</x:v>
      </x:c>
      <x:c r="D45" s="890" t="str">
        <x:v>확정방향</x:v>
      </x:c>
      <x:c r="E45" s="890"/>
      <x:c r="F45" s="890"/>
      <x:c r="G45" s="890"/>
      <x:c r="H45" s="890"/>
      <x:c r="I45" s="890"/>
      <x:c r="J45" s="890"/>
      <x:c r="K45" s="890"/>
      <x:c r="L45" s="890"/>
      <x:c r="M45" s="890"/>
      <x:c r="N45" s="890"/>
    </x:row>
    <x:row r="46" ht="48" hidden="0" customHeight="1">
      <x:c r="A46" s="890" t="str">
        <x:v>22:00에 Freezer/Greenhouse Recovery Active</x:v>
      </x:c>
      <x:c r="B46" s="890" t="str">
        <x:v>End Day 허용. Overnight 중 실패 예정이면 정확한 실패 시각/항해불가를 경고하고 명시적 포기 확인</x:v>
      </x:c>
      <x:c r="C46" s="890" t="str">
        <x:v>장기 자산은 희생할 자유를 유지</x:v>
      </x:c>
      <x:c r="D46" s="890" t="str">
        <x:v>TEMP 추천</x:v>
      </x:c>
      <x:c r="E46" s="890"/>
      <x:c r="F46" s="890"/>
      <x:c r="G46" s="890"/>
      <x:c r="H46" s="890"/>
      <x:c r="I46" s="890"/>
      <x:c r="J46" s="890"/>
      <x:c r="K46" s="890"/>
      <x:c r="L46" s="890"/>
      <x:c r="M46" s="890"/>
      <x:c r="N46" s="890"/>
    </x:row>
    <x:row r="47" ht="48" hidden="0" customHeight="1">
      <x:c r="A47" s="890" t="str">
        <x:v>Emergency-only Overtime</x:v>
      </x:c>
      <x:c r="B47" s="890" t="str">
        <x:v>22:00 이후에는 Quest/대화/일반수리 불가, 이미 Active인 짧은 Emergency 해결만 가능. 해결 후 즉시 Day End</x:v>
      </x:c>
      <x:c r="C47" s="890" t="str">
        <x:v>'올나이터 빌드'가 아니라 실패 정리용 예외</x:v>
      </x:c>
      <x:c r="D47" s="890" t="str">
        <x:v>TEMP 추천</x:v>
      </x:c>
      <x:c r="E47" s="890"/>
      <x:c r="F47" s="890"/>
      <x:c r="G47" s="890"/>
      <x:c r="H47" s="890"/>
      <x:c r="I47" s="890"/>
      <x:c r="J47" s="890"/>
      <x:c r="K47" s="890"/>
      <x:c r="L47" s="890"/>
      <x:c r="M47" s="890"/>
      <x:c r="N47" s="890"/>
    </x:row>
    <x:row r="48" ht="30" hidden="0" customHeight="1">
      <x:c r="A48" s="892" t="str">
        <x:v>Overtime 후 Will</x:v>
      </x:c>
      <x:c r="B48" s="892" t="str">
        <x:v>다음 Day Start 수면 회복 +1은 그대로 적용</x:v>
      </x:c>
      <x:c r="C48" s="892" t="str">
        <x:v>별도 피로/수면시간 시스템을 추가하지 않음</x:v>
      </x:c>
      <x:c r="D48" s="892" t="str">
        <x:v>TEMP 추천</x:v>
      </x:c>
      <x:c r="E48" s="892"/>
      <x:c r="F48" s="892"/>
      <x:c r="G48" s="892"/>
      <x:c r="H48" s="892"/>
      <x:c r="I48" s="892"/>
      <x:c r="J48" s="892"/>
      <x:c r="K48" s="892"/>
      <x:c r="L48" s="892"/>
      <x:c r="M48" s="892"/>
      <x:c r="N48" s="892"/>
    </x:row>
    <x:row r="49" ht="30" hidden="0" customHeight="1">
      <x:c r="A49" s="916" t="str">
        <x:v>6. D19 Boss Day — '이것만 넘기면 된다'</x:v>
      </x:c>
      <x:c r="B49" s="916"/>
      <x:c r="C49" s="916"/>
      <x:c r="D49" s="916"/>
      <x:c r="E49" s="916"/>
      <x:c r="F49" s="916"/>
      <x:c r="G49" s="916"/>
      <x:c r="H49" s="916"/>
      <x:c r="I49" s="916"/>
      <x:c r="J49" s="916" t="str">
        <x:v>Pre-Boss Route Reward</x:v>
      </x:c>
      <x:c r="K49" s="916" t="str">
        <x:v>TEMP 효과</x:v>
      </x:c>
      <x:c r="L49" s="916" t="str">
        <x:v>목적</x:v>
      </x:c>
      <x:c r="M49" s="916" t="str">
        <x:v>비고</x:v>
      </x:c>
      <x:c r="N49" s="916" t="str">
        <x:v>상태</x:v>
      </x:c>
    </x:row>
    <x:row r="50" ht="30" hidden="0" customHeight="1">
      <x:c r="A50" s="916" t="str">
        <x:v>시각</x:v>
      </x:c>
      <x:c r="B50" s="916" t="str">
        <x:v>연출/규칙</x:v>
      </x:c>
      <x:c r="C50" s="916" t="str">
        <x:v>Freezer</x:v>
      </x:c>
      <x:c r="D50" s="916" t="str">
        <x:v>Target A</x:v>
      </x:c>
      <x:c r="E50" s="916" t="str">
        <x:v>Target B</x:v>
      </x:c>
      <x:c r="F50" s="916" t="str">
        <x:v>플레이 질문</x:v>
      </x:c>
      <x:c r="G50" s="916" t="str">
        <x:v>상태</x:v>
      </x:c>
      <x:c r="H50" s="916" t="str">
        <x:v>메모</x:v>
      </x:c>
      <x:c r="I50" s="916"/>
      <x:c r="J50" s="916" t="str">
        <x:v>W3 Character Final 완료</x:v>
      </x:c>
      <x:c r="K50" s="916" t="str">
        <x:v>Will +2 (Max5)</x:v>
      </x:c>
      <x:c r="L50" s="916" t="str">
        <x:v>D15/D17에서 쓴 의지를 D19 전 다시 채움</x:v>
      </x:c>
      <x:c r="M50" s="916" t="str">
        <x:v>모든 Final 공통 후보</x:v>
      </x:c>
      <x:c r="N50" s="916" t="str">
        <x:v>TEMP 추천</x:v>
      </x:c>
    </x:row>
    <x:row r="51" ht="24" hidden="0" customHeight="1">
      <x:c r="A51" s="890" t="str">
        <x:v>08:00</x:v>
      </x:c>
      <x:c r="B51" s="890" t="str">
        <x:v>짧은 폭풍 최고조 보고. Character 신규 전개 없음</x:v>
      </x:c>
      <x:c r="C51" s="890" t="str">
        <x:v>정상/기존 상태</x:v>
      </x:c>
      <x:c r="D51" s="890" t="str">
        <x:v>남은 미발생</x:v>
      </x:c>
      <x:c r="E51" s="890" t="str">
        <x:v>남은 미발생</x:v>
      </x:c>
      <x:c r="F51" s="890" t="str">
        <x:v>오늘만 넘기면 된다</x:v>
      </x:c>
      <x:c r="G51" s="890" t="str">
        <x:v>TEMP 추천</x:v>
      </x:c>
      <x:c r="H51" s="890" t="str">
        <x:v>보스전 준비</x:v>
      </x:c>
      <x:c r="I51" s="890"/>
      <x:c r="J51" s="890" t="str">
        <x:v>Faye 공연 (D18로 이동)</x:v>
      </x:c>
      <x:c r="K51" s="890" t="str">
        <x:v>Will +3 (Max5)</x:v>
      </x:c>
      <x:c r="L51" s="890" t="str">
        <x:v>보스전 직전 공동체/제이 재정비</x:v>
      </x:c>
      <x:c r="M51" s="890" t="str">
        <x:v>1h 유지</x:v>
      </x:c>
      <x:c r="N51" s="890" t="str">
        <x:v>TEMP 추천</x:v>
      </x:c>
    </x:row>
    <x:row r="52" ht="24" hidden="0" customHeight="1">
      <x:c r="A52" s="890" t="str">
        <x:v>09:00</x:v>
      </x:c>
      <x:c r="B52" s="890" t="str">
        <x:v>세 Target 공개 / NPC 마지막 이동 가능</x:v>
      </x:c>
      <x:c r="C52" s="890" t="str">
        <x:v>고정 공개</x:v>
      </x:c>
      <x:c r="D52" s="890" t="str">
        <x:v>공개</x:v>
      </x:c>
      <x:c r="E52" s="890" t="str">
        <x:v>공개</x:v>
      </x:c>
      <x:c r="F52" s="890" t="str">
        <x:v>누구를 어디에 둘 것인가</x:v>
      </x:c>
      <x:c r="G52" s="890" t="str">
        <x:v>TEMP 추천</x:v>
      </x:c>
      <x:c r="H52" s="890" t="str">
        <x:v>1h 이동과 맞물림</x:v>
      </x:c>
      <x:c r="I52" s="890"/>
      <x:c r="J52" s="890" t="str">
        <x:v>완주 Route Mastery</x:v>
      </x:c>
      <x:c r="K52" s="890" t="str">
        <x:v>관련 Stat XP +6 (=Lv+1)</x:v>
      </x:c>
      <x:c r="L52" s="890" t="str">
        <x:v>한 루트를 집요하게 민 플레이어의 영구 보상</x:v>
      </x:c>
      <x:c r="M52" s="890" t="str">
        <x:v>D19 전에 현실적으로 1개 정도 획득 목표</x:v>
      </x:c>
      <x:c r="N52" s="890" t="str">
        <x:v>TEMP 추천</x:v>
      </x:c>
    </x:row>
    <x:row r="53" ht="24" hidden="0" customHeight="1">
      <x:c r="A53" s="890" t="str">
        <x:v>10:00</x:v>
      </x:c>
      <x:c r="B53" s="890" t="str">
        <x:v>세 Emergency 동시 시작</x:v>
      </x:c>
      <x:c r="C53" s="890" t="str">
        <x:v>6h Recovery Active</x:v>
      </x:c>
      <x:c r="D53" s="890" t="str">
        <x:v>4h 첫 Tick</x:v>
      </x:c>
      <x:c r="E53" s="890" t="str">
        <x:v>4h 첫 Tick</x:v>
      </x:c>
      <x:c r="F53" s="890" t="str">
        <x:v>무엇부터 잡고 무엇을 한 번 맞을 것인가</x:v>
      </x:c>
      <x:c r="G53" s="890" t="str">
        <x:v>TEMP 추천</x:v>
      </x:c>
      <x:c r="H53" s="890" t="str">
        <x:v>Boss Start</x:v>
      </x:c>
      <x:c r="I53" s="890"/>
      <x:c r="J53" s="890" t="str">
        <x:v>Sam Mastery 예시</x:v>
      </x:c>
      <x:c r="K53" s="890" t="str">
        <x:v>강인함 XP +6</x:v>
      </x:c>
      <x:c r="L53" s="890" t="str">
        <x:v>책임을 견디는 성장</x:v>
      </x:c>
      <x:c r="M53" s="890" t="str">
        <x:v>정확 Quest 완료시점 TBD</x:v>
      </x:c>
      <x:c r="N53" s="890" t="str">
        <x:v>예시</x:v>
      </x:c>
    </x:row>
    <x:row r="54" ht="30" hidden="0" customHeight="1">
      <x:c r="A54" s="892" t="str">
        <x:v>14:00</x:v>
      </x:c>
      <x:c r="B54" s="892" t="str">
        <x:v>일반 Crisis 첫 Tick</x:v>
      </x:c>
      <x:c r="C54" s="892" t="str">
        <x:v>Deadline까지2h</x:v>
      </x:c>
      <x:c r="D54" s="892" t="str">
        <x:v>미해결이면 Tick</x:v>
      </x:c>
      <x:c r="E54" s="892" t="str">
        <x:v>미해결이면 Tick</x:v>
      </x:c>
      <x:c r="F54" s="892" t="str">
        <x:v>버퍼/수리투자가 결과로 드러남</x:v>
      </x:c>
      <x:c r="G54" s="892" t="str">
        <x:v>TEMP 추천</x:v>
      </x:c>
      <x:c r="H54" s="892" t="str">
        <x:v>Freezer 자체는 16:00 Deadline</x:v>
      </x:c>
      <x:c r="I54" s="892"/>
      <x:c r="J54" s="892" t="str">
        <x:v>Benjamin/Borichi Mastery 예시</x:v>
      </x:c>
      <x:c r="K54" s="892" t="str">
        <x:v>기술 XP +6</x:v>
      </x:c>
      <x:c r="L54" s="892" t="str">
        <x:v>수리/분석 전문화 강화</x:v>
      </x:c>
      <x:c r="M54" s="892" t="str">
        <x:v>둘 다 주면 과다 가능 → 캐릭터별 최종 조정</x:v>
      </x:c>
      <x:c r="N54" s="892" t="str">
        <x:v>예시</x:v>
      </x:c>
    </x:row>
    <x:row r="55" ht="15" hidden="0" customHeight="1">
      <x:c r="A55" s="894" t="str">
        <x:v>16:00</x:v>
      </x:c>
      <x:c r="B55" s="894" t="str">
        <x:v>Freezer Deadline</x:v>
      </x:c>
      <x:c r="C55" s="894" t="str">
        <x:v>성공 시 Freezer=2 / 실패 시 PERMANENT→항해불가</x:v>
      </x:c>
      <x:c r="D55" s="894" t="str">
        <x:v>계속 Active 가능</x:v>
      </x:c>
      <x:c r="E55" s="894" t="str">
        <x:v>계속 Active 가능</x:v>
      </x:c>
      <x:c r="F55" s="894" t="str">
        <x:v>출항 엔딩 유지 여부 갈림</x:v>
      </x:c>
      <x:c r="G55" s="894" t="str">
        <x:v>TEMP 추천</x:v>
      </x:c>
      <x:c r="H55" s="894" t="str">
        <x:v>치명 분기</x:v>
      </x:c>
      <x:c r="I55" s="894"/>
      <x:c r="J55" s="894" t="str">
        <x:v>Jina/Diya/Faye Mastery 예시</x:v>
      </x:c>
      <x:c r="K55" s="894" t="str">
        <x:v>교감 XP +6</x:v>
      </x:c>
      <x:c r="L55" s="894" t="str">
        <x:v>관계/공동체 대응 강화</x:v>
      </x:c>
      <x:c r="M55" s="894" t="str">
        <x:v>정확 매핑 추후 확정</x:v>
      </x:c>
      <x:c r="N55" s="894" t="str">
        <x:v>예시</x:v>
      </x:c>
    </x:row>
    <x:row r="56" ht="24" hidden="0" customHeight="1">
      <x:c r="A56" s="894" t="str">
        <x:v>18:00+</x:v>
      </x:c>
      <x:c r="B56" s="894" t="str">
        <x:v>남은 Crisis 후속 Tick</x:v>
      </x:c>
      <x:c r="C56" s="894" t="str">
        <x:v>—</x:v>
      </x:c>
      <x:c r="D56" s="894" t="str">
        <x:v>4h 주기</x:v>
      </x:c>
      <x:c r="E56" s="894" t="str">
        <x:v>4h 주기</x:v>
      </x:c>
      <x:c r="F56" s="894" t="str">
        <x:v>보스전 후유증</x:v>
      </x:c>
      <x:c r="G56" s="894" t="str">
        <x:v>TEMP 추천</x:v>
      </x:c>
      <x:c r="H56" s="894" t="str">
        <x:v>D20 신규 Wave 없음</x:v>
      </x:c>
      <x:c r="I56" s="894"/>
      <x:c r="J56" s="894" t="str">
        <x:v>Benjamin Crisis Final (D19)</x:v>
      </x:c>
      <x:c r="K56" s="890" t="str">
        <x:v>1h / Will+3(Max5) / Full Route Strong XP+6</x:v>
      </x:c>
      <x:c r="L56" s="890" t="str">
        <x:v>위기 중 슈퍼 세이버. 능력·서사 결합</x:v>
      </x:c>
      <x:c r="M56" s="890" t="str">
        <x:v>Benjamin Busy면 사용 불가 / Root Timer 계속</x:v>
      </x:c>
      <x:c r="N56" s="890" t="str">
        <x:v>v1.1</x:v>
      </x:c>
    </x:row>
    <x:row r="57" ht="30" hidden="0" customHeight="1">
      <x:c r="A57" s="892" t="str">
        <x:v>해결 후</x:v>
      </x:c>
      <x:c r="B57" s="892" t="str">
        <x:v>남은 Crisis 후속 Tick + Benjamin Crisis Final 1h 사용 가능</x:v>
      </x:c>
      <x:c r="C57" s="892" t="str">
        <x:v>복구 결과</x:v>
      </x:c>
      <x:c r="D57" s="892" t="str">
        <x:v>시설 결과</x:v>
      </x:c>
      <x:c r="E57" s="892" t="str">
        <x:v>시설 결과</x:v>
      </x:c>
      <x:c r="F57" s="892" t="str">
        <x:v>지금 1h를 벤자민에게 쓸 것인가, Root를 먼저 잡을 것인가</x:v>
      </x:c>
      <x:c r="G57" s="892" t="str">
        <x:v>TEMP 추천</x:v>
      </x:c>
      <x:c r="H57" s="892" t="str">
        <x:v>Benjamin Final 사용 시 Will+3, 단 Root 타이머 계속</x:v>
      </x:c>
      <x:c r="I57" s="892"/>
      <x:c r="J57" s="892"/>
      <x:c r="K57" s="892"/>
      <x:c r="L57" s="892"/>
      <x:c r="M57" s="892"/>
      <x:c r="N57" s="892"/>
    </x:row>
    <x:row r="58" ht="15" hidden="0" customHeight="1">
      <x:c r="A58" s="894"/>
      <x:c r="B58" s="894"/>
      <x:c r="C58" s="894"/>
      <x:c r="D58" s="894"/>
      <x:c r="E58" s="894"/>
      <x:c r="F58" s="894"/>
      <x:c r="G58" s="894"/>
      <x:c r="H58" s="894"/>
      <x:c r="I58" s="894"/>
      <x:c r="J58" s="894"/>
      <x:c r="K58" s="894"/>
      <x:c r="L58" s="894"/>
      <x:c r="M58" s="894"/>
      <x:c r="N58" s="894"/>
    </x:row>
    <x:row r="59" ht="15" hidden="0" customHeight="1">
      <x:c r="A59" s="894"/>
      <x:c r="B59" s="894"/>
      <x:c r="C59" s="894"/>
      <x:c r="D59" s="894"/>
      <x:c r="E59" s="894"/>
      <x:c r="F59" s="894"/>
      <x:c r="G59" s="890"/>
      <x:c r="H59" s="890"/>
      <x:c r="I59" s="890"/>
      <x:c r="J59" s="890"/>
      <x:c r="K59" s="890"/>
      <x:c r="L59" s="890"/>
      <x:c r="M59" s="890"/>
      <x:c r="N59" s="890"/>
    </x:row>
    <x:row r="60" ht="15" hidden="0" customHeight="1">
      <x:c r="A60" s="890"/>
      <x:c r="B60" s="890"/>
      <x:c r="C60" s="890"/>
      <x:c r="D60" s="890"/>
      <x:c r="E60" s="890"/>
      <x:c r="F60" s="890"/>
      <x:c r="G60" s="890"/>
      <x:c r="H60" s="890"/>
      <x:c r="I60" s="890"/>
      <x:c r="J60" s="890"/>
      <x:c r="K60" s="890"/>
      <x:c r="L60" s="890"/>
      <x:c r="M60" s="890"/>
      <x:c r="N60" s="890"/>
    </x:row>
    <x:row r="61" ht="15" hidden="0" customHeight="1">
      <x:c r="A61" s="890"/>
      <x:c r="B61" s="890"/>
      <x:c r="C61" s="890"/>
      <x:c r="D61" s="890"/>
      <x:c r="E61" s="890"/>
      <x:c r="F61" s="890"/>
      <x:c r="G61" s="890"/>
      <x:c r="H61" s="890"/>
      <x:c r="I61" s="890"/>
      <x:c r="J61" s="890"/>
      <x:c r="K61" s="890"/>
      <x:c r="L61" s="890"/>
      <x:c r="M61" s="890"/>
      <x:c r="N61" s="890"/>
    </x:row>
    <x:row r="62" ht="15" hidden="0" customHeight="1">
      <x:c r="A62" s="890"/>
      <x:c r="B62" s="890"/>
      <x:c r="C62" s="890"/>
      <x:c r="D62" s="890"/>
      <x:c r="E62" s="890"/>
      <x:c r="F62" s="890"/>
      <x:c r="G62" s="890"/>
      <x:c r="H62" s="890"/>
      <x:c r="I62" s="890"/>
      <x:c r="J62" s="890"/>
      <x:c r="K62" s="890"/>
      <x:c r="L62" s="890"/>
      <x:c r="M62" s="890"/>
      <x:c r="N62" s="890"/>
    </x:row>
    <x:row r="63" ht="15" hidden="0" customHeight="1">
      <x:c r="A63" s="890"/>
      <x:c r="B63" s="890"/>
      <x:c r="C63" s="890"/>
      <x:c r="D63" s="890"/>
      <x:c r="E63" s="890"/>
      <x:c r="F63" s="890"/>
      <x:c r="G63" s="890"/>
      <x:c r="H63" s="890"/>
      <x:c r="I63" s="890"/>
      <x:c r="J63" s="890"/>
      <x:c r="K63" s="890"/>
      <x:c r="L63" s="890"/>
      <x:c r="M63" s="890"/>
      <x:c r="N63" s="890"/>
    </x:row>
    <x:row r="64" ht="15" hidden="0" customHeight="1">
      <x:c r="A64" s="890"/>
      <x:c r="B64" s="890"/>
      <x:c r="C64" s="890"/>
      <x:c r="D64" s="890"/>
      <x:c r="E64" s="890"/>
      <x:c r="F64" s="890"/>
      <x:c r="G64" s="890"/>
      <x:c r="H64" s="890"/>
      <x:c r="I64" s="890"/>
      <x:c r="J64" s="890"/>
      <x:c r="K64" s="890"/>
      <x:c r="L64" s="890"/>
      <x:c r="M64" s="890"/>
      <x:c r="N64" s="890"/>
    </x:row>
    <x:row r="65" ht="15" hidden="0" customHeight="1">
      <x:c r="A65" s="890"/>
      <x:c r="B65" s="890"/>
      <x:c r="C65" s="890"/>
      <x:c r="D65" s="890"/>
      <x:c r="E65" s="890"/>
      <x:c r="F65" s="890"/>
      <x:c r="G65" s="890"/>
      <x:c r="H65" s="890"/>
      <x:c r="I65" s="890"/>
      <x:c r="J65" s="890"/>
      <x:c r="K65" s="890"/>
      <x:c r="L65" s="890"/>
      <x:c r="M65" s="890"/>
      <x:c r="N65" s="890"/>
    </x:row>
    <x:row r="66" ht="15" hidden="0" customHeight="1">
      <x:c r="A66" s="890"/>
      <x:c r="B66" s="890"/>
      <x:c r="C66" s="890"/>
      <x:c r="D66" s="890"/>
      <x:c r="E66" s="890"/>
      <x:c r="F66" s="890"/>
      <x:c r="G66" s="890"/>
      <x:c r="H66" s="890"/>
      <x:c r="I66" s="890"/>
      <x:c r="J66" s="890"/>
      <x:c r="K66" s="890"/>
      <x:c r="L66" s="890"/>
      <x:c r="M66" s="890"/>
      <x:c r="N66" s="890"/>
    </x:row>
    <x:row r="67" ht="15" hidden="0" customHeight="1">
      <x:c r="A67" s="890"/>
      <x:c r="B67" s="890"/>
      <x:c r="C67" s="890"/>
      <x:c r="D67" s="890"/>
      <x:c r="E67" s="890"/>
      <x:c r="F67" s="890"/>
      <x:c r="G67" s="890"/>
      <x:c r="H67" s="890"/>
      <x:c r="I67" s="890"/>
      <x:c r="J67" s="890"/>
      <x:c r="K67" s="890"/>
      <x:c r="L67" s="890"/>
      <x:c r="M67" s="890"/>
      <x:c r="N67" s="890"/>
    </x:row>
    <x:row r="68" ht="15" hidden="0" customHeight="1">
      <x:c r="A68" s="890"/>
      <x:c r="B68" s="890"/>
      <x:c r="C68" s="890"/>
      <x:c r="D68" s="890"/>
      <x:c r="E68" s="890"/>
      <x:c r="F68" s="890"/>
      <x:c r="G68" s="890"/>
      <x:c r="H68" s="890"/>
      <x:c r="I68" s="890"/>
      <x:c r="J68" s="890"/>
      <x:c r="K68" s="890"/>
      <x:c r="L68" s="890"/>
      <x:c r="M68" s="890"/>
      <x:c r="N68" s="890"/>
    </x:row>
    <x:row r="69" ht="26" hidden="0" customHeight="1">
      <x:c r="A69" s="911" t="str">
        <x:v>8. Director 판정 순서</x:v>
      </x:c>
      <x:c r="B69" s="911"/>
      <x:c r="C69" s="911"/>
      <x:c r="D69" s="911"/>
      <x:c r="E69" s="911"/>
      <x:c r="F69" s="911"/>
      <x:c r="G69" s="911"/>
      <x:c r="H69" s="911"/>
      <x:c r="I69" s="911"/>
      <x:c r="J69" s="911"/>
      <x:c r="K69" s="911"/>
      <x:c r="L69" s="911"/>
      <x:c r="M69" s="911"/>
      <x:c r="N69" s="911"/>
    </x:row>
    <x:row r="70" ht="30" hidden="0" customHeight="1">
      <x:c r="A70" s="916" t="str">
        <x:v>순서</x:v>
      </x:c>
      <x:c r="B70" s="916" t="str">
        <x:v>판정</x:v>
      </x:c>
      <x:c r="C70" s="916"/>
      <x:c r="D70" s="916"/>
      <x:c r="E70" s="916"/>
      <x:c r="F70" s="916"/>
      <x:c r="G70" s="916"/>
      <x:c r="H70" s="916"/>
      <x:c r="I70" s="916"/>
      <x:c r="J70" s="916"/>
      <x:c r="K70" s="916"/>
      <x:c r="L70" s="916"/>
      <x:c r="M70" s="916"/>
      <x:c r="N70" s="916"/>
    </x:row>
    <x:row r="71" ht="24" hidden="0" customHeight="1">
      <x:c r="A71" s="890" t="n">
        <x:v>1</x:v>
      </x:c>
      <x:c r="B71" s="890" t="str">
        <x:v>Wave 1h 전: 해당 Day의 eligible Target을 현재 Integrity로 정렬</x:v>
      </x:c>
      <x:c r="C71" s="890"/>
      <x:c r="D71" s="890"/>
      <x:c r="E71" s="890"/>
      <x:c r="F71" s="890"/>
      <x:c r="G71" s="890"/>
      <x:c r="H71" s="890"/>
      <x:c r="I71" s="890"/>
      <x:c r="J71" s="890"/>
      <x:c r="K71" s="890"/>
      <x:c r="L71" s="890"/>
      <x:c r="M71" s="890"/>
      <x:c r="N71" s="890"/>
    </x:row>
    <x:row r="72" ht="24" hidden="0" customHeight="1">
      <x:c r="A72" s="890" t="n">
        <x:v>2</x:v>
      </x:c>
      <x:c r="B72" s="890" t="str">
        <x:v>높은 Integrity부터 필요한 수만 선택. 컷 동률은 Run Seed 랜덤</x:v>
      </x:c>
      <x:c r="C72" s="890"/>
      <x:c r="D72" s="890"/>
      <x:c r="E72" s="890"/>
      <x:c r="F72" s="890"/>
      <x:c r="G72" s="890"/>
      <x:c r="H72" s="890"/>
      <x:c r="I72" s="890"/>
      <x:c r="J72" s="890"/>
      <x:c r="K72" s="890"/>
      <x:c r="L72" s="890"/>
      <x:c r="M72" s="890"/>
      <x:c r="N72" s="890"/>
    </x:row>
    <x:row r="73" ht="36" hidden="0" customHeight="1">
      <x:c r="A73" s="890" t="n">
        <x:v>3</x:v>
      </x:c>
      <x:c r="B73" s="890" t="str">
        <x:v>선택된 시설에 CrisisSeen=true 기록 — 전용 Crisis는 다시 Target하지 않음</x:v>
      </x:c>
      <x:c r="C73" s="890"/>
      <x:c r="D73" s="890"/>
      <x:c r="E73" s="890"/>
      <x:c r="F73" s="890"/>
      <x:c r="G73" s="890"/>
      <x:c r="H73" s="890"/>
      <x:c r="I73" s="890"/>
      <x:c r="J73" s="890"/>
      <x:c r="K73" s="890"/>
      <x:c r="L73" s="890"/>
      <x:c r="M73" s="890"/>
      <x:c r="N73" s="890"/>
    </x:row>
    <x:row r="74" ht="24" hidden="0" customHeight="1">
      <x:c r="A74" s="890" t="n">
        <x:v>4</x:v>
      </x:c>
      <x:c r="B74" s="890" t="str">
        <x:v>Wave 시각에 선택 Target을 동시에 생성</x:v>
      </x:c>
      <x:c r="C74" s="890"/>
      <x:c r="D74" s="890"/>
      <x:c r="E74" s="890"/>
      <x:c r="F74" s="890"/>
      <x:c r="G74" s="890"/>
      <x:c r="H74" s="890"/>
      <x:c r="I74" s="890"/>
      <x:c r="J74" s="890"/>
      <x:c r="K74" s="890"/>
      <x:c r="L74" s="890"/>
      <x:c r="M74" s="890"/>
      <x:c r="N74" s="890"/>
    </x:row>
    <x:row r="75" ht="36" hidden="0" customHeight="1">
      <x:c r="A75" s="890" t="n">
        <x:v>5</x:v>
      </x:c>
      <x:c r="B75" s="890" t="str">
        <x:v>시설 Tick을 원자적으로 적용 → Panic/Recovery/폐쇄/Hull0 Derived 생성</x:v>
      </x:c>
      <x:c r="C75" s="890"/>
      <x:c r="D75" s="890"/>
      <x:c r="E75" s="890"/>
      <x:c r="F75" s="890"/>
      <x:c r="G75" s="890"/>
      <x:c r="H75" s="890"/>
      <x:c r="I75" s="890"/>
      <x:c r="J75" s="890"/>
      <x:c r="K75" s="890"/>
      <x:c r="L75" s="890"/>
      <x:c r="M75" s="890"/>
      <x:c r="N75" s="890"/>
    </x:row>
    <x:row r="76" ht="24" hidden="0" customHeight="1">
      <x:c r="A76" s="890" t="n">
        <x:v>6</x:v>
      </x:c>
      <x:c r="B76" s="890" t="str">
        <x:v>D17은 D16 수리 후 현재값으로 다시 계산</x:v>
      </x:c>
      <x:c r="C76" s="890"/>
      <x:c r="D76" s="890"/>
      <x:c r="E76" s="890"/>
      <x:c r="F76" s="890"/>
      <x:c r="G76" s="890"/>
      <x:c r="H76" s="890"/>
      <x:c r="I76" s="890"/>
      <x:c r="J76" s="890"/>
      <x:c r="K76" s="890"/>
      <x:c r="L76" s="890"/>
      <x:c r="M76" s="890"/>
      <x:c r="N76" s="890"/>
    </x:row>
    <x:row r="77" ht="24" hidden="0" customHeight="1">
      <x:c r="A77" s="890" t="n">
        <x:v>7</x:v>
      </x:c>
      <x:c r="B77" s="890" t="str">
        <x:v>D19는 남은 Pool 2개를 그대로 사용 + Freezer Core Critical 강제</x:v>
      </x:c>
      <x:c r="C77" s="890"/>
      <x:c r="D77" s="890"/>
      <x:c r="E77" s="890"/>
      <x:c r="F77" s="890"/>
      <x:c r="G77" s="890"/>
      <x:c r="H77" s="890"/>
      <x:c r="I77" s="890"/>
      <x:c r="J77" s="890"/>
      <x:c r="K77" s="890"/>
      <x:c r="L77" s="890"/>
      <x:c r="M77" s="890"/>
      <x:c r="N77" s="890"/>
    </x:row>
    <x:row r="78" ht="24" hidden="0" customHeight="1">
      <x:c r="A78" s="890" t="n">
        <x:v>8</x:v>
      </x:c>
      <x:c r="B78" s="890" t="str">
        <x:v>D19 중 Character Emergency 신규 Trigger는 D20 Queue</x:v>
      </x:c>
      <x:c r="C78" s="890"/>
      <x:c r="D78" s="890"/>
      <x:c r="E78" s="890"/>
      <x:c r="F78" s="890"/>
      <x:c r="G78" s="890"/>
      <x:c r="H78" s="890"/>
      <x:c r="I78" s="890"/>
      <x:c r="J78" s="890"/>
      <x:c r="K78" s="890"/>
      <x:c r="L78" s="890"/>
      <x:c r="M78" s="890"/>
      <x:c r="N78" s="890"/>
    </x:row>
  </x:sheetData>
  <x:mergeCells>
    <x:mergeCell ref="A1:N1"/>
    <x:mergeCell ref="A2:N2"/>
    <x:mergeCell ref="A4:N4"/>
    <x:mergeCell ref="A11:N11"/>
    <x:mergeCell ref="A21:N21"/>
    <x:mergeCell ref="A27:H29"/>
    <x:mergeCell ref="A31:N31"/>
    <x:mergeCell ref="G32:N32"/>
    <x:mergeCell ref="A40:N40"/>
    <x:mergeCell ref="A49:N49"/>
    <x:mergeCell ref="A58:N58"/>
    <x:mergeCell ref="A64:H67"/>
    <x:mergeCell ref="A69:N69"/>
    <x:mergeCell ref="I49:N49"/>
    <x:mergeCell ref="A17:H19"/>
    <x:mergeCell ref="A55:N55"/>
    <x:mergeCell ref="G22:N27"/>
  </x:mergeCells>
  <x:conditionalFormatting sqref="N50:N78">
    <x:cfRule type="expression" dxfId="168" priority="1">
      <x:formula>OR(N50="완료",N50="확정",N50="확정방향",N50="방향 확정",LEFT(N50,2)="확정")</x:formula>
    </x:cfRule>
    <x:cfRule type="expression" dxfId="169" priority="2">
      <x:formula>OR(N50="TBD",N50="대기",ISNUMBER(SEARCH("TEMP",N50)))</x:formula>
    </x:cfRule>
    <x:cfRule type="expression" dxfId="170" priority="3">
      <x:formula>OR(N50="폐기",N50="HISTORICAL",ISNUMBER(SEARCH("폐기",N50)))</x:formula>
    </x:cfRule>
    <x:cfRule type="expression" dxfId="171" priority="4">
      <x:formula>OR(N50="NEXT",N50="진행")</x:formula>
    </x:cfRule>
  </x:conditionalFormatting>
  <x:conditionalFormatting sqref="D42:D78">
    <x:cfRule type="expression" dxfId="172" priority="5">
      <x:formula>OR(D42="완료",D42="확정",D42="확정방향",D42="방향 확정",LEFT(D42,2)="확정")</x:formula>
    </x:cfRule>
    <x:cfRule type="expression" dxfId="173" priority="6">
      <x:formula>OR(D42="TBD",D42="대기",ISNUMBER(SEARCH("TEMP",D42)))</x:formula>
    </x:cfRule>
    <x:cfRule type="expression" dxfId="174" priority="7">
      <x:formula>OR(D42="폐기",D42="HISTORICAL",ISNUMBER(SEARCH("폐기",D42)))</x:formula>
    </x:cfRule>
    <x:cfRule type="expression" dxfId="175" priority="8">
      <x:formula>OR(D42="NEXT",D42="진행")</x:formula>
    </x:cfRule>
  </x:conditionalFormatting>
  <x:conditionalFormatting sqref="E33:E78">
    <x:cfRule type="expression" dxfId="176" priority="9">
      <x:formula>OR(E33="완료",E33="확정",E33="확정방향",E33="방향 확정",LEFT(E33,2)="확정")</x:formula>
    </x:cfRule>
    <x:cfRule type="expression" dxfId="177" priority="10">
      <x:formula>OR(E33="TBD",E33="대기",ISNUMBER(SEARCH("TEMP",E33)))</x:formula>
    </x:cfRule>
    <x:cfRule type="expression" dxfId="178" priority="11">
      <x:formula>OR(E33="폐기",E33="HISTORICAL",ISNUMBER(SEARCH("폐기",E33)))</x:formula>
    </x:cfRule>
    <x:cfRule type="expression" dxfId="179" priority="12">
      <x:formula>OR(E33="NEXT",E33="진행")</x:formula>
    </x:cfRule>
  </x:conditionalFormatting>
  <x:conditionalFormatting sqref="H13:H78">
    <x:cfRule type="expression" dxfId="180" priority="13">
      <x:formula>OR(H13="완료",H13="확정",H13="확정방향",H13="방향 확정",LEFT(H13,2)="확정")</x:formula>
    </x:cfRule>
    <x:cfRule type="expression" dxfId="181" priority="14">
      <x:formula>OR(H13="TBD",H13="대기",ISNUMBER(SEARCH("TEMP",H13)))</x:formula>
    </x:cfRule>
    <x:cfRule type="expression" dxfId="182" priority="15">
      <x:formula>OR(H13="폐기",H13="HISTORICAL",ISNUMBER(SEARCH("폐기",H13)))</x:formula>
    </x:cfRule>
    <x:cfRule type="expression" dxfId="183" priority="16">
      <x:formula>OR(H13="NEXT",H13="진행")</x:formula>
    </x:cfRule>
  </x:conditionalFormatting>
  <x:conditionalFormatting sqref="G6:G78">
    <x:cfRule type="expression" dxfId="184" priority="17">
      <x:formula>OR(G6="완료",G6="확정",G6="확정방향",G6="방향 확정",LEFT(G6,2)="확정")</x:formula>
    </x:cfRule>
    <x:cfRule type="expression" dxfId="185" priority="18">
      <x:formula>OR(G6="TBD",G6="대기",ISNUMBER(SEARCH("TEMP",G6)))</x:formula>
    </x:cfRule>
    <x:cfRule type="expression" dxfId="186" priority="19">
      <x:formula>OR(G6="폐기",G6="HISTORICAL",ISNUMBER(SEARCH("폐기",G6)))</x:formula>
    </x:cfRule>
    <x:cfRule type="expression" dxfId="187" priority="20">
      <x:formula>OR(G6="NEXT",G6="진행")</x:formula>
    </x:cfRule>
  </x:conditionalFormatting>
  <x:conditionalFormatting sqref="E23:E78">
    <x:cfRule type="expression" dxfId="188" priority="21">
      <x:formula>OR(E23="완료",E23="확정",E23="확정방향",E23="방향 확정",LEFT(E23,2)="확정")</x:formula>
    </x:cfRule>
    <x:cfRule type="expression" dxfId="189" priority="22">
      <x:formula>OR(E23="TBD",E23="대기",ISNUMBER(SEARCH("TEMP",E23)))</x:formula>
    </x:cfRule>
    <x:cfRule type="expression" dxfId="190" priority="23">
      <x:formula>OR(E23="폐기",E23="HISTORICAL",ISNUMBER(SEARCH("폐기",E23)))</x:formula>
    </x:cfRule>
    <x:cfRule type="expression" dxfId="191" priority="24">
      <x:formula>OR(E23="NEXT",E23="진행")</x:formula>
    </x:cfRule>
  </x:conditionalFormatting>
  <x:conditionalFormatting sqref="G51:G78">
    <x:cfRule type="expression" dxfId="192" priority="25">
      <x:formula>OR(G51="완료",G51="확정",G51="확정방향",G51="방향 확정",LEFT(G51,2)="확정")</x:formula>
    </x:cfRule>
    <x:cfRule type="expression" dxfId="193" priority="26">
      <x:formula>OR(G51="TBD",G51="대기",ISNUMBER(SEARCH("TEMP",G51)))</x:formula>
    </x:cfRule>
    <x:cfRule type="expression" dxfId="194" priority="27">
      <x:formula>OR(G51="폐기",G51="HISTORICAL",ISNUMBER(SEARCH("폐기",G51)))</x:formula>
    </x:cfRule>
    <x:cfRule type="expression" dxfId="195" priority="28">
      <x:formula>OR(G51="NEXT",G51="진행")</x:formula>
    </x:cfRule>
  </x:conditionalFormatting>
  <x:pageMargins left="0.7" right="0.7" top="0.75" bottom="0.75" header="0.3" footer="0.3"/>
  <x:drawing xmlns:r="http://schemas.openxmlformats.org/officeDocument/2006/relationships" r:id="R02f5df6021684d74"/>
</x:worksheet>
</file>

<file path=xl/worksheets/sheet12.xml><?xml version="1.0" encoding="utf-8"?>
<x:worksheet xmlns:x="http://schemas.openxmlformats.org/spreadsheetml/2006/main">
  <x:sheetFormatPr defaultRowHeight="15"/>
  <x:cols>
    <x:col min="1" max="1" width="14" hidden="0" customWidth="1"/>
    <x:col min="2" max="2" width="3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30" hidden="0" customHeight="1">
      <x:c r="A1" s="905" t="str">
        <x:v>W3 Build Simulation v0.2 — Pattern B Stress Test / Concurrent Emergency</x:v>
      </x:c>
      <x:c r="B1" s="905"/>
      <x:c r="C1" s="905"/>
      <x:c r="D1" s="905"/>
      <x:c r="E1" s="905"/>
      <x:c r="F1" s="905"/>
      <x:c r="G1" s="905"/>
      <x:c r="H1" s="905"/>
      <x:c r="I1" s="905"/>
      <x:c r="J1" s="905"/>
      <x:c r="K1" s="905"/>
      <x:c r="L1" s="905"/>
      <x:c r="M1" s="905"/>
      <x:c r="N1" s="905"/>
      <x:c r="O1" s="905"/>
      <x:c r="P1" s="905"/>
    </x:row>
    <x:row r="2" ht="42" hidden="0" customHeight="1">
      <x:c r="A2" s="908" t="str">
        <x:v>주의: 이 시트의 Pattern A/B/C Stress Test는 11_EmergencySchedule v0.2 기준의 과거 검증이다. 현재 D15/D17/D19 Wave Director v0.3 밸런스는 15_W3BossRebalance를 우선 참고.</x:v>
      </x:c>
      <x:c r="B2" s="908"/>
      <x:c r="C2" s="908"/>
      <x:c r="D2" s="908"/>
      <x:c r="E2" s="908"/>
      <x:c r="F2" s="908"/>
      <x:c r="G2" s="908"/>
      <x:c r="H2" s="908"/>
      <x:c r="I2" s="908"/>
      <x:c r="J2" s="908"/>
      <x:c r="K2" s="908"/>
      <x:c r="L2" s="908"/>
      <x:c r="M2" s="908"/>
      <x:c r="N2" s="908"/>
      <x:c r="O2" s="908"/>
      <x:c r="P2" s="908"/>
    </x:row>
    <x:row r="3" ht="15" hidden="0" customHeight="1">
      <x:c r="A3" s="890"/>
      <x:c r="B3" s="890"/>
      <x:c r="C3" s="890"/>
      <x:c r="D3" s="890"/>
      <x:c r="E3" s="890"/>
      <x:c r="F3" s="890"/>
      <x:c r="G3" s="890"/>
      <x:c r="H3" s="890"/>
      <x:c r="I3" s="890"/>
      <x:c r="J3" s="890"/>
      <x:c r="K3" s="890"/>
      <x:c r="L3" s="890"/>
      <x:c r="M3" s="890"/>
      <x:c r="N3" s="890"/>
      <x:c r="O3" s="890"/>
      <x:c r="P3" s="890"/>
    </x:row>
    <x:row r="4" ht="26" hidden="0" customHeight="1">
      <x:c r="A4" s="911" t="str">
        <x:v>1. Simulation Proxy / 공통 가정</x:v>
      </x:c>
      <x:c r="B4" s="911"/>
      <x:c r="C4" s="911"/>
      <x:c r="D4" s="911"/>
      <x:c r="E4" s="911"/>
      <x:c r="F4" s="911"/>
      <x:c r="G4" s="911"/>
      <x:c r="H4" s="911"/>
      <x:c r="I4" s="911"/>
      <x:c r="J4" s="911"/>
      <x:c r="K4" s="911"/>
      <x:c r="L4" s="911"/>
      <x:c r="M4" s="911"/>
      <x:c r="N4" s="911"/>
      <x:c r="O4" s="911"/>
      <x:c r="P4" s="911"/>
    </x:row>
    <x:row r="5" ht="30" hidden="0" customHeight="1">
      <x:c r="A5" s="916" t="str">
        <x:v>항목</x:v>
      </x:c>
      <x:c r="B5" s="916" t="str">
        <x:v>가정</x:v>
      </x:c>
      <x:c r="C5" s="916" t="str">
        <x:v>상태</x:v>
      </x:c>
      <x:c r="D5" s="916"/>
      <x:c r="E5" s="916"/>
      <x:c r="F5" s="916"/>
      <x:c r="G5" s="916"/>
      <x:c r="H5" s="916"/>
      <x:c r="I5" s="916"/>
      <x:c r="J5" s="916"/>
      <x:c r="K5" s="916"/>
      <x:c r="L5" s="916"/>
      <x:c r="M5" s="916"/>
      <x:c r="N5" s="916"/>
      <x:c r="O5" s="916"/>
      <x:c r="P5" s="916"/>
    </x:row>
    <x:row r="6" ht="21.600000381469727" hidden="0" customHeight="1">
      <x:c r="A6" s="890" t="str">
        <x:v>D15 시작 스탯</x:v>
      </x:c>
      <x:c r="B6" s="890" t="str">
        <x:v>집중 4/2/0 시작 + W1~2 집중성장(+4Lv) → 강점 8 / 보조 2 / 약점 0 Proxy. 균형형은 4/4/4 Proxy.</x:v>
      </x:c>
      <x:c r="C6" s="890" t="str">
        <x:v>TEMP</x:v>
      </x:c>
      <x:c r="D6" s="890"/>
      <x:c r="E6" s="890"/>
      <x:c r="F6" s="890"/>
      <x:c r="G6" s="890"/>
      <x:c r="H6" s="890"/>
      <x:c r="I6" s="890"/>
      <x:c r="J6" s="890"/>
      <x:c r="K6" s="890"/>
      <x:c r="L6" s="890"/>
      <x:c r="M6" s="890"/>
      <x:c r="N6" s="890"/>
      <x:c r="O6" s="890"/>
      <x:c r="P6" s="890"/>
    </x:row>
    <x:row r="7" ht="30" hidden="0" customHeight="1">
      <x:c r="A7" s="916" t="str">
        <x:v>Will</x:v>
      </x:c>
      <x:c r="B7" s="916" t="str">
        <x:v>D15 시작5, 수면 +1(최대5). 이번 표는 실제 사용만 기록.</x:v>
      </x:c>
      <x:c r="C7" s="916" t="str">
        <x:v>확정방향</x:v>
      </x:c>
      <x:c r="D7" s="916"/>
      <x:c r="E7" s="916"/>
      <x:c r="F7" s="916"/>
      <x:c r="G7" s="916"/>
      <x:c r="H7" s="916"/>
      <x:c r="I7" s="916"/>
      <x:c r="J7" s="916"/>
      <x:c r="K7" s="916"/>
      <x:c r="L7" s="916"/>
      <x:c r="M7" s="916"/>
      <x:c r="N7" s="916"/>
      <x:c r="O7" s="916"/>
      <x:c r="P7" s="916"/>
    </x:row>
    <x:row r="8" ht="30" hidden="0" customHeight="1">
      <x:c r="A8" s="892" t="str">
        <x:v>기본 서사/수리 부하</x:v>
      </x:c>
      <x:c r="B8" s="892" t="str">
        <x:v>기존 True/Hidden Route 중 더 높은 일일 계획시간 사용: D15 5.5 / D16 7 / D17 6.5 / D18 6.5 / D19 5.5 / D20 6.5 / D21 5h</x:v>
      </x:c>
      <x:c r="C8" s="892" t="str">
        <x:v>기존 Route 기반</x:v>
      </x:c>
      <x:c r="D8" s="892"/>
      <x:c r="E8" s="892"/>
      <x:c r="F8" s="892"/>
      <x:c r="G8" s="892"/>
      <x:c r="H8" s="892"/>
      <x:c r="I8" s="892"/>
      <x:c r="J8" s="892"/>
      <x:c r="K8" s="892"/>
      <x:c r="L8" s="892"/>
      <x:c r="M8" s="892"/>
      <x:c r="N8" s="892"/>
      <x:c r="O8" s="892"/>
      <x:c r="P8" s="892"/>
    </x:row>
    <x:row r="9" ht="32.400001525878906" hidden="0" customHeight="1">
      <x:c r="A9" s="890" t="str">
        <x:v>Cluster Tick</x:v>
      </x:c>
      <x:c r="B9" s="890" t="str">
        <x:v>동시 2건에서 두 번째 사건이 T+4까지 미해결이면 1 Tick. 정확히 T+4 해결 완료면 해결 우선.</x:v>
      </x:c>
      <x:c r="C9" s="890" t="str">
        <x:v>확정방향</x:v>
      </x:c>
      <x:c r="D9" s="890"/>
      <x:c r="E9" s="890"/>
      <x:c r="F9" s="890"/>
      <x:c r="G9" s="890"/>
      <x:c r="H9" s="890"/>
      <x:c r="I9" s="890"/>
      <x:c r="J9" s="890"/>
      <x:c r="K9" s="890"/>
      <x:c r="L9" s="890"/>
      <x:c r="M9" s="890"/>
      <x:c r="N9" s="890"/>
      <x:c r="O9" s="890"/>
      <x:c r="P9" s="890"/>
    </x:row>
    <x:row r="10" ht="32.400001525878906" hidden="0" customHeight="1">
      <x:c r="A10" s="890" t="str">
        <x:v>교감 빌드 NPC Proxy</x:v>
      </x:c>
      <x:c r="B10" s="890" t="str">
        <x:v>교감8 자체가 Affinity를 주는 것은 아님. 'W1~2에서 관계에도 투자해 벤자민·페이 둘 다 이동 요청 가능'한 플레이스타일 Proxy로만 계산.</x:v>
      </x:c>
      <x:c r="C10" s="890" t="str">
        <x:v>중요</x:v>
      </x:c>
      <x:c r="D10" s="890"/>
      <x:c r="E10" s="890"/>
      <x:c r="F10" s="890"/>
      <x:c r="G10" s="890"/>
      <x:c r="H10" s="890"/>
      <x:c r="I10" s="890"/>
      <x:c r="J10" s="890"/>
      <x:c r="K10" s="890"/>
      <x:c r="L10" s="890"/>
      <x:c r="M10" s="890"/>
      <x:c r="N10" s="890"/>
      <x:c r="O10" s="890"/>
      <x:c r="P10" s="890"/>
    </x:row>
    <x:row r="11" ht="32.400001525878906" hidden="0" customHeight="1">
      <x:c r="A11" s="890" t="str">
        <x:v>D18 시설 Proxy</x:v>
      </x:c>
      <x:c r="B11" s="890" t="str">
        <x:v>Living 3 / Engine 3 / Oxygen 3 / Hull 12로 진입. Living Oxygen 한 Tick은 Panic을 열고, Engineering Breach 한 Tick은 Engine2/Oxygen2/Hull11.</x:v>
      </x:c>
      <x:c r="C11" s="890" t="str">
        <x:v>TEMP</x:v>
      </x:c>
      <x:c r="D11" s="890"/>
      <x:c r="E11" s="890"/>
      <x:c r="F11" s="890"/>
      <x:c r="G11" s="890"/>
      <x:c r="H11" s="890"/>
      <x:c r="I11" s="890"/>
      <x:c r="J11" s="890"/>
      <x:c r="K11" s="890"/>
      <x:c r="L11" s="890"/>
      <x:c r="M11" s="890"/>
      <x:c r="N11" s="890"/>
      <x:c r="O11" s="890"/>
      <x:c r="P11" s="890"/>
    </x:row>
    <x:row r="12" ht="30" hidden="0" customHeight="1">
      <x:c r="A12" s="892" t="str">
        <x:v>NPC 작업시간</x:v>
      </x:c>
      <x:c r="B12" s="892" t="str">
        <x:v>NPC 해결은 세계시간을 쓰지만 제이 직접 행동시간은 0. 해당 NPC는 작업 중 다른 Character/수리에 사용할 수 없음.</x:v>
      </x:c>
      <x:c r="C12" s="892" t="str">
        <x:v>기존 방향</x:v>
      </x:c>
      <x:c r="D12" s="892"/>
      <x:c r="E12" s="892"/>
      <x:c r="F12" s="892"/>
      <x:c r="G12" s="892"/>
      <x:c r="H12" s="892"/>
      <x:c r="I12" s="892"/>
      <x:c r="J12" s="892"/>
      <x:c r="K12" s="892"/>
      <x:c r="L12" s="892"/>
      <x:c r="M12" s="892"/>
      <x:c r="N12" s="892"/>
      <x:c r="O12" s="892"/>
      <x:c r="P12" s="892"/>
    </x:row>
    <x:row r="13" ht="15" hidden="0" customHeight="1">
      <x:c r="A13" s="890"/>
      <x:c r="B13" s="890"/>
      <x:c r="C13" s="890"/>
      <x:c r="D13" s="890"/>
      <x:c r="E13" s="890"/>
      <x:c r="F13" s="890"/>
      <x:c r="G13" s="890"/>
      <x:c r="H13" s="890"/>
      <x:c r="I13" s="890"/>
      <x:c r="J13" s="890"/>
      <x:c r="K13" s="890"/>
      <x:c r="L13" s="890"/>
      <x:c r="M13" s="890"/>
      <x:c r="N13" s="890"/>
      <x:c r="O13" s="890"/>
      <x:c r="P13" s="890"/>
    </x:row>
    <x:row r="14" ht="15" hidden="0" customHeight="1">
      <x:c r="A14" s="894" t="str">
        <x:v>2. 네 빌드의 D15 Proxy</x:v>
      </x:c>
      <x:c r="B14" s="894"/>
      <x:c r="C14" s="894"/>
      <x:c r="D14" s="894"/>
      <x:c r="E14" s="894"/>
      <x:c r="F14" s="894"/>
      <x:c r="G14" s="894"/>
      <x:c r="H14" s="894"/>
      <x:c r="I14" s="894"/>
      <x:c r="J14" s="894" t="str">
        <x:v>Build KPI</x:v>
      </x:c>
      <x:c r="K14" s="894"/>
      <x:c r="L14" s="894"/>
      <x:c r="M14" s="894"/>
      <x:c r="N14" s="894"/>
      <x:c r="O14" s="894"/>
      <x:c r="P14" s="894"/>
    </x:row>
    <x:row r="15" ht="30" hidden="0" customHeight="1">
      <x:c r="A15" s="916" t="str">
        <x:v>빌드</x:v>
      </x:c>
      <x:c r="B15" s="916" t="str">
        <x:v>강인함</x:v>
      </x:c>
      <x:c r="C15" s="916" t="str">
        <x:v>교감</x:v>
      </x:c>
      <x:c r="D15" s="916" t="str">
        <x:v>기술</x:v>
      </x:c>
      <x:c r="E15" s="916" t="str">
        <x:v>NPC 전략</x:v>
      </x:c>
      <x:c r="F15" s="916" t="str">
        <x:v>D18 핵심 해법</x:v>
      </x:c>
      <x:c r="G15" s="916" t="str">
        <x:v>예상 약점</x:v>
      </x:c>
      <x:c r="H15" s="916"/>
      <x:c r="I15" s="916"/>
      <x:c r="J15" s="916" t="str">
        <x:v>빌드</x:v>
      </x:c>
      <x:c r="K15" s="916" t="str">
        <x:v>Jay Emergency h</x:v>
      </x:c>
      <x:c r="L15" s="916" t="str">
        <x:v>Will</x:v>
      </x:c>
      <x:c r="M15" s="916" t="str">
        <x:v>NPC h</x:v>
      </x:c>
      <x:c r="N15" s="916" t="str">
        <x:v>Tick</x:v>
      </x:c>
      <x:c r="O15" s="916" t="str">
        <x:v>추가수리 h</x:v>
      </x:c>
      <x:c r="P15" s="916" t="str">
        <x:v>W3 총 Jay h</x:v>
      </x:c>
    </x:row>
    <x:row r="16" ht="21.600000381469727" hidden="0" customHeight="1">
      <x:c r="A16" s="890" t="str">
        <x:v>기술 전문</x:v>
      </x:c>
      <x:c r="B16" s="890" t="n">
        <x:v>2</x:v>
      </x:c>
      <x:c r="C16" s="890" t="n">
        <x:v>0</x:v>
      </x:c>
      <x:c r="D16" s="890" t="n">
        <x:v>8</x:v>
      </x:c>
      <x:c r="E16" s="890" t="str">
        <x:v>NPC 의존 없음</x:v>
      </x:c>
      <x:c r="F16" s="890" t="str">
        <x:v>Jay가 2h + 2h 연속 해결 → T+4 완료</x:v>
      </x:c>
      <x:c r="G16" s="890" t="str">
        <x:v>Character/관계 투자 기회비용</x:v>
      </x:c>
      <x:c r="H16" s="890"/>
      <x:c r="I16" s="890"/>
      <x:c r="J16" s="890" t="str">
        <x:v>기술</x:v>
      </x:c>
      <x:c r="K16" s="890" t="n">
        <x:f>D31</x:f>
        <x:v>10</x:v>
      </x:c>
      <x:c r="L16" s="890" t="n">
        <x:f>E31</x:f>
        <x:v>0</x:v>
      </x:c>
      <x:c r="M16" s="890" t="n">
        <x:f>F31</x:f>
        <x:v>0</x:v>
      </x:c>
      <x:c r="N16" s="890" t="n">
        <x:f>G31</x:f>
        <x:v>0</x:v>
      </x:c>
      <x:c r="O16" s="890" t="n">
        <x:f>H31</x:f>
        <x:v>0</x:v>
      </x:c>
      <x:c r="P16" s="890" t="n">
        <x:f>I31</x:f>
        <x:v>52.5</x:v>
      </x:c>
    </x:row>
    <x:row r="17" ht="32.400001525878906" hidden="0" customHeight="1">
      <x:c r="A17" s="890" t="str">
        <x:v>강인함 전문</x:v>
      </x:c>
      <x:c r="B17" s="890" t="n">
        <x:v>8</x:v>
      </x:c>
      <x:c r="C17" s="890" t="n">
        <x:v>2</x:v>
      </x:c>
      <x:c r="D17" s="890" t="n">
        <x:v>0</x:v>
      </x:c>
      <x:c r="E17" s="890" t="str">
        <x:v>전문가 없이 직접 대응 기준</x:v>
      </x:c>
      <x:c r="F17" s="890" t="str">
        <x:v>Living Oxygen 2h 우선 → Breach 4h, Breach 1 Tick 감수</x:v>
      </x:c>
      <x:c r="G17" s="890" t="str">
        <x:v>Breach 시간·후속 수리</x:v>
      </x:c>
      <x:c r="H17" s="890"/>
      <x:c r="I17" s="890"/>
      <x:c r="J17" s="890" t="str">
        <x:v>강인함</x:v>
      </x:c>
      <x:c r="K17" s="890" t="n">
        <x:f>D43</x:f>
        <x:v>16</x:v>
      </x:c>
      <x:c r="L17" s="890" t="n">
        <x:f>E43</x:f>
        <x:v>0</x:v>
      </x:c>
      <x:c r="M17" s="890" t="n">
        <x:f>F43</x:f>
        <x:v>0</x:v>
      </x:c>
      <x:c r="N17" s="890" t="n">
        <x:f>G43</x:f>
        <x:v>1</x:v>
      </x:c>
      <x:c r="O17" s="890" t="n">
        <x:f>H43</x:f>
        <x:v>4</x:v>
      </x:c>
      <x:c r="P17" s="890" t="n">
        <x:f>I43</x:f>
        <x:v>62.5</x:v>
      </x:c>
    </x:row>
    <x:row r="18" ht="32.400001525878906" hidden="0" customHeight="1">
      <x:c r="A18" s="890" t="str">
        <x:v>교감 전문 + 관계투자</x:v>
      </x:c>
      <x:c r="B18" s="890" t="n">
        <x:v>0</x:v>
      </x:c>
      <x:c r="C18" s="890" t="n">
        <x:v>8</x:v>
      </x:c>
      <x:c r="D18" s="890" t="n">
        <x:v>2</x:v>
      </x:c>
      <x:c r="E18" s="890" t="str">
        <x:v>벤자민·페이 둘 다 이동 가능 Proxy</x:v>
      </x:c>
      <x:c r="F18" s="890" t="str">
        <x:v>두 전문가가 서로 다른 Root를 동시 2h 처리</x:v>
      </x:c>
      <x:c r="G18" s="890" t="str">
        <x:v>전문가 사망/Unavailable에 취약</x:v>
      </x:c>
      <x:c r="H18" s="890"/>
      <x:c r="I18" s="890"/>
      <x:c r="J18" s="890" t="str">
        <x:v>교감+관계</x:v>
      </x:c>
      <x:c r="K18" s="890" t="n">
        <x:f>D55</x:f>
        <x:v>4</x:v>
      </x:c>
      <x:c r="L18" s="890" t="n">
        <x:f>E55</x:f>
        <x:v>0</x:v>
      </x:c>
      <x:c r="M18" s="890" t="n">
        <x:f>F55</x:f>
        <x:v>8</x:v>
      </x:c>
      <x:c r="N18" s="890" t="n">
        <x:f>G55</x:f>
        <x:v>0</x:v>
      </x:c>
      <x:c r="O18" s="890" t="n">
        <x:f>H55</x:f>
        <x:v>0</x:v>
      </x:c>
      <x:c r="P18" s="890" t="n">
        <x:f>I55</x:f>
        <x:v>46.5</x:v>
      </x:c>
    </x:row>
    <x:row r="19" ht="32.400001525878906" hidden="0" customHeight="1">
      <x:c r="A19" s="890" t="str">
        <x:v>균형형</x:v>
      </x:c>
      <x:c r="B19" s="890" t="n">
        <x:v>4</x:v>
      </x:c>
      <x:c r="C19" s="890" t="n">
        <x:v>4</x:v>
      </x:c>
      <x:c r="D19" s="890" t="n">
        <x:v>4</x:v>
      </x:c>
      <x:c r="E19" s="890" t="str">
        <x:v>Cluster에 전문가 1명 배치 Proxy</x:v>
      </x:c>
      <x:c r="F19" s="890" t="str">
        <x:v>NPC 한쪽 2h + Jay 다른쪽 4h → T+4 완료</x:v>
      </x:c>
      <x:c r="G19" s="890" t="str">
        <x:v>관계 준비 없으면 Cluster 1 Tick/Overtime 위험</x:v>
      </x:c>
      <x:c r="H19" s="890"/>
      <x:c r="I19" s="890"/>
      <x:c r="J19" s="890" t="str">
        <x:v>균형</x:v>
      </x:c>
      <x:c r="K19" s="890" t="n">
        <x:f>D67</x:f>
        <x:v>16</x:v>
      </x:c>
      <x:c r="L19" s="890" t="n">
        <x:f>E67</x:f>
        <x:v>0</x:v>
      </x:c>
      <x:c r="M19" s="890" t="n">
        <x:f>F67</x:f>
        <x:v>2</x:v>
      </x:c>
      <x:c r="N19" s="890" t="n">
        <x:f>G67</x:f>
        <x:v>0</x:v>
      </x:c>
      <x:c r="O19" s="890" t="n">
        <x:f>H67</x:f>
        <x:v>0</x:v>
      </x:c>
      <x:c r="P19" s="890" t="n">
        <x:f>I67</x:f>
        <x:v>58.5</x:v>
      </x:c>
    </x:row>
    <x:row r="20" ht="15" hidden="0" customHeight="1">
      <x:c r="A20" s="890"/>
      <x:c r="B20" s="890"/>
      <x:c r="C20" s="890"/>
      <x:c r="D20" s="890"/>
      <x:c r="E20" s="890"/>
      <x:c r="F20" s="890"/>
      <x:c r="G20" s="890"/>
      <x:c r="H20" s="890"/>
      <x:c r="I20" s="890"/>
      <x:c r="J20" s="890"/>
      <x:c r="K20" s="890"/>
      <x:c r="L20" s="890"/>
      <x:c r="M20" s="890"/>
      <x:c r="N20" s="890"/>
      <x:c r="O20" s="890"/>
      <x:c r="P20" s="890"/>
    </x:row>
    <x:row r="21" ht="15" hidden="0" customHeight="1">
      <x:c r="A21" s="890"/>
      <x:c r="B21" s="890"/>
      <x:c r="C21" s="890"/>
      <x:c r="D21" s="890"/>
      <x:c r="E21" s="890"/>
      <x:c r="F21" s="890"/>
      <x:c r="G21" s="890"/>
      <x:c r="H21" s="890"/>
      <x:c r="I21" s="890"/>
      <x:c r="J21" s="890"/>
      <x:c r="K21" s="890"/>
      <x:c r="L21" s="890"/>
      <x:c r="M21" s="890"/>
      <x:c r="N21" s="890"/>
      <x:c r="O21" s="890"/>
      <x:c r="P21" s="890"/>
    </x:row>
    <x:row r="22" ht="26" hidden="0" customHeight="1">
      <x:c r="A22" s="911" t="str">
        <x:v>3A. 기술 전문 — 직접 빠른 해결</x:v>
      </x:c>
      <x:c r="B22" s="911"/>
      <x:c r="C22" s="911"/>
      <x:c r="D22" s="911"/>
      <x:c r="E22" s="911"/>
      <x:c r="F22" s="911"/>
      <x:c r="G22" s="911"/>
      <x:c r="H22" s="911"/>
      <x:c r="I22" s="911"/>
      <x:c r="J22" s="911"/>
      <x:c r="K22" s="911"/>
      <x:c r="L22" s="911"/>
      <x:c r="M22" s="911"/>
      <x:c r="N22" s="911"/>
      <x:c r="O22" s="911"/>
      <x:c r="P22" s="911"/>
    </x:row>
    <x:row r="23" ht="30" hidden="0" customHeight="1">
      <x:c r="A23" s="916" t="str">
        <x:v>Day</x:v>
      </x:c>
      <x:c r="B23" s="916" t="str">
        <x:v>기본 서사/수리</x:v>
      </x:c>
      <x:c r="C23" s="916" t="str">
        <x:v>Root/상황</x:v>
      </x:c>
      <x:c r="D23" s="916" t="str">
        <x:v>제이 Emergency h</x:v>
      </x:c>
      <x:c r="E23" s="916" t="str">
        <x:v>Will 사용</x:v>
      </x:c>
      <x:c r="F23" s="916" t="str">
        <x:v>NPC 작업 h</x:v>
      </x:c>
      <x:c r="G23" s="916" t="str">
        <x:v>허용 Tick</x:v>
      </x:c>
      <x:c r="H23" s="916" t="str">
        <x:v>추가 수리 h</x:v>
      </x:c>
      <x:c r="I23" s="916" t="str">
        <x:v>총 제이시간</x:v>
      </x:c>
      <x:c r="J23" s="916" t="str">
        <x:v>14h 대비 여유</x:v>
      </x:c>
      <x:c r="K23" s="916" t="str">
        <x:v>핵심 선택/결과</x:v>
      </x:c>
      <x:c r="L23" s="916" t="str">
        <x:v>판정</x:v>
      </x:c>
      <x:c r="M23" s="916"/>
      <x:c r="N23" s="916"/>
      <x:c r="O23" s="916"/>
      <x:c r="P23" s="916"/>
    </x:row>
    <x:row r="24" ht="15" hidden="0" customHeight="1">
      <x:c r="A24" s="890" t="n">
        <x:v>15</x:v>
      </x:c>
      <x:c r="B24" s="890" t="n">
        <x:v>5.5</x:v>
      </x:c>
      <x:c r="C24" s="890" t="str">
        <x:v>함교 Breach</x:v>
      </x:c>
      <x:c r="D24" s="890" t="n">
        <x:v>2</x:v>
      </x:c>
      <x:c r="E24" s="890" t="n">
        <x:v>0</x:v>
      </x:c>
      <x:c r="F24" s="890" t="n">
        <x:v>0</x:v>
      </x:c>
      <x:c r="G24" s="890" t="n">
        <x:v>0</x:v>
      </x:c>
      <x:c r="H24" s="890" t="n">
        <x:v>0</x:v>
      </x:c>
      <x:c r="I24" s="890" t="n">
        <x:f>B24+D24+H24</x:f>
        <x:v>7.5</x:v>
      </x:c>
      <x:c r="J24" s="890" t="n">
        <x:f>14-I24</x:f>
        <x:v>6.5</x:v>
      </x:c>
      <x:c r="K24" s="890" t="str">
        <x:v>기술7로 2h</x:v>
      </x:c>
      <x:c r="L24" s="890" t="str">
        <x:f>IF(J24&lt;0,"OVER","OK")</x:f>
        <x:v>OK</x:v>
      </x:c>
      <x:c r="M24" s="890"/>
      <x:c r="N24" s="890"/>
      <x:c r="O24" s="890"/>
      <x:c r="P24" s="890"/>
    </x:row>
    <x:row r="25" ht="15" hidden="0" customHeight="1">
      <x:c r="A25" s="890" t="n">
        <x:v>16</x:v>
      </x:c>
      <x:c r="B25" s="890" t="n">
        <x:v>7</x:v>
      </x:c>
      <x:c r="C25" s="890" t="str">
        <x:v>연구 Oxygen</x:v>
      </x:c>
      <x:c r="D25" s="890" t="n">
        <x:v>2</x:v>
      </x:c>
      <x:c r="E25" s="890" t="n">
        <x:v>0</x:v>
      </x:c>
      <x:c r="F25" s="890" t="n">
        <x:v>0</x:v>
      </x:c>
      <x:c r="G25" s="890" t="n">
        <x:v>0</x:v>
      </x:c>
      <x:c r="H25" s="890" t="n">
        <x:v>0</x:v>
      </x:c>
      <x:c r="I25" s="890" t="n">
        <x:f>B25+D25+H25</x:f>
        <x:v>9</x:v>
      </x:c>
      <x:c r="J25" s="890" t="n">
        <x:f>14-I25</x:f>
        <x:v>5</x:v>
      </x:c>
      <x:c r="K25" s="890" t="str">
        <x:v>기술7로 2h</x:v>
      </x:c>
      <x:c r="L25" s="890" t="str">
        <x:f>IF(J25&lt;0,"OVER","OK")</x:f>
        <x:v>OK</x:v>
      </x:c>
      <x:c r="M25" s="890"/>
      <x:c r="N25" s="890"/>
      <x:c r="O25" s="890"/>
      <x:c r="P25" s="890"/>
    </x:row>
    <x:row r="26" ht="15" hidden="0" customHeight="1">
      <x:c r="A26" s="890" t="n">
        <x:v>17</x:v>
      </x:c>
      <x:c r="B26" s="890" t="n">
        <x:v>6.5</x:v>
      </x:c>
      <x:c r="C26" s="890" t="str">
        <x:v>신규 Root 없음</x:v>
      </x:c>
      <x:c r="D26" s="890" t="n">
        <x:v>0</x:v>
      </x:c>
      <x:c r="E26" s="890" t="n">
        <x:v>0</x:v>
      </x:c>
      <x:c r="F26" s="890" t="n">
        <x:v>0</x:v>
      </x:c>
      <x:c r="G26" s="890" t="n">
        <x:v>0</x:v>
      </x:c>
      <x:c r="H26" s="890" t="n">
        <x:v>0</x:v>
      </x:c>
      <x:c r="I26" s="890" t="n">
        <x:f>B26+D26+H26</x:f>
        <x:v>6.5</x:v>
      </x:c>
      <x:c r="J26" s="890" t="n">
        <x:f>14-I26</x:f>
        <x:v>7.5</x:v>
      </x:c>
      <x:c r="K26" s="890" t="str">
        <x:v>Quiet Day</x:v>
      </x:c>
      <x:c r="L26" s="890" t="str">
        <x:f>IF(J26&lt;0,"OVER","OK")</x:f>
        <x:v>OK</x:v>
      </x:c>
      <x:c r="M26" s="890"/>
      <x:c r="N26" s="890"/>
      <x:c r="O26" s="890"/>
      <x:c r="P26" s="890"/>
    </x:row>
    <x:row r="27" ht="32.400001525878906" hidden="0" customHeight="1">
      <x:c r="A27" s="890" t="n">
        <x:v>18</x:v>
      </x:c>
      <x:c r="B27" s="890" t="n">
        <x:v>6.5</x:v>
      </x:c>
      <x:c r="C27" s="890" t="str">
        <x:v>거주 Oxygen + 엔지니어 Breach 동시</x:v>
      </x:c>
      <x:c r="D27" s="890" t="n">
        <x:v>4</x:v>
      </x:c>
      <x:c r="E27" s="890" t="n">
        <x:v>0</x:v>
      </x:c>
      <x:c r="F27" s="890" t="n">
        <x:v>0</x:v>
      </x:c>
      <x:c r="G27" s="890" t="n">
        <x:v>0</x:v>
      </x:c>
      <x:c r="H27" s="890" t="n">
        <x:v>0</x:v>
      </x:c>
      <x:c r="I27" s="890" t="n">
        <x:f>B27+D27+H27</x:f>
        <x:v>10.5</x:v>
      </x:c>
      <x:c r="J27" s="890" t="n">
        <x:f>14-I27</x:f>
        <x:v>3.5</x:v>
      </x:c>
      <x:c r="K27" s="890" t="str">
        <x:v>동시2건을 2h+2h로 처리, 정확히 T+4 완료 → 무피해</x:v>
      </x:c>
      <x:c r="L27" s="890" t="str">
        <x:f>IF(J27&lt;0,"OVER","OK")</x:f>
        <x:v>OK</x:v>
      </x:c>
      <x:c r="M27" s="890"/>
      <x:c r="N27" s="890"/>
      <x:c r="O27" s="890"/>
      <x:c r="P27" s="890"/>
    </x:row>
    <x:row r="28" ht="15" hidden="0" customHeight="1">
      <x:c r="A28" s="890" t="n">
        <x:v>19</x:v>
      </x:c>
      <x:c r="B28" s="890" t="n">
        <x:v>5.5</x:v>
      </x:c>
      <x:c r="C28" s="890" t="str">
        <x:v>연구 Breach</x:v>
      </x:c>
      <x:c r="D28" s="890" t="n">
        <x:v>2</x:v>
      </x:c>
      <x:c r="E28" s="890" t="n">
        <x:v>0</x:v>
      </x:c>
      <x:c r="F28" s="890" t="n">
        <x:v>0</x:v>
      </x:c>
      <x:c r="G28" s="890" t="n">
        <x:v>0</x:v>
      </x:c>
      <x:c r="H28" s="890" t="n">
        <x:v>0</x:v>
      </x:c>
      <x:c r="I28" s="890" t="n">
        <x:f>B28+D28+H28</x:f>
        <x:v>7.5</x:v>
      </x:c>
      <x:c r="J28" s="890" t="n">
        <x:f>14-I28</x:f>
        <x:v>6.5</x:v>
      </x:c>
      <x:c r="K28" s="890" t="str">
        <x:v>기술7로 2h</x:v>
      </x:c>
      <x:c r="L28" s="890" t="str">
        <x:f>IF(J28&lt;0,"OVER","OK")</x:f>
        <x:v>OK</x:v>
      </x:c>
      <x:c r="M28" s="890"/>
      <x:c r="N28" s="890"/>
      <x:c r="O28" s="890"/>
      <x:c r="P28" s="890"/>
    </x:row>
    <x:row r="29" ht="15" hidden="0" customHeight="1">
      <x:c r="A29" s="890" t="n">
        <x:v>20</x:v>
      </x:c>
      <x:c r="B29" s="890" t="n">
        <x:v>6.5</x:v>
      </x:c>
      <x:c r="C29" s="890" t="str">
        <x:v>신규 Root 없음</x:v>
      </x:c>
      <x:c r="D29" s="890" t="n">
        <x:v>0</x:v>
      </x:c>
      <x:c r="E29" s="890" t="n">
        <x:v>0</x:v>
      </x:c>
      <x:c r="F29" s="890" t="n">
        <x:v>0</x:v>
      </x:c>
      <x:c r="G29" s="890" t="n">
        <x:v>0</x:v>
      </x:c>
      <x:c r="H29" s="890" t="n">
        <x:v>0</x:v>
      </x:c>
      <x:c r="I29" s="890" t="n">
        <x:f>B29+D29+H29</x:f>
        <x:v>6.5</x:v>
      </x:c>
      <x:c r="J29" s="890" t="n">
        <x:f>14-I29</x:f>
        <x:v>7.5</x:v>
      </x:c>
      <x:c r="K29" s="890" t="str">
        <x:v>누적 손상 없음</x:v>
      </x:c>
      <x:c r="L29" s="890" t="str">
        <x:f>IF(J29&lt;0,"OVER","OK")</x:f>
        <x:v>OK</x:v>
      </x:c>
      <x:c r="M29" s="890"/>
      <x:c r="N29" s="890"/>
      <x:c r="O29" s="890"/>
      <x:c r="P29" s="890"/>
    </x:row>
    <x:row r="30" ht="15" hidden="0" customHeight="1">
      <x:c r="A30" s="890" t="n">
        <x:v>21</x:v>
      </x:c>
      <x:c r="B30" s="890" t="n">
        <x:v>5</x:v>
      </x:c>
      <x:c r="C30" s="890" t="str">
        <x:v>폭풍 종료</x:v>
      </x:c>
      <x:c r="D30" s="890" t="n">
        <x:v>0</x:v>
      </x:c>
      <x:c r="E30" s="890" t="n">
        <x:v>0</x:v>
      </x:c>
      <x:c r="F30" s="890" t="n">
        <x:v>0</x:v>
      </x:c>
      <x:c r="G30" s="890" t="n">
        <x:v>0</x:v>
      </x:c>
      <x:c r="H30" s="890" t="n">
        <x:v>0</x:v>
      </x:c>
      <x:c r="I30" s="890" t="n">
        <x:f>B30+D30+H30</x:f>
        <x:v>5</x:v>
      </x:c>
      <x:c r="J30" s="890" t="n">
        <x:f>14-I30</x:f>
        <x:v>9</x:v>
      </x:c>
      <x:c r="K30" s="890" t="str">
        <x:v>Ending</x:v>
      </x:c>
      <x:c r="L30" s="890" t="str">
        <x:f>IF(J30&lt;0,"OVER","OK")</x:f>
        <x:v>OK</x:v>
      </x:c>
      <x:c r="M30" s="890"/>
      <x:c r="N30" s="890"/>
      <x:c r="O30" s="890"/>
      <x:c r="P30" s="890"/>
    </x:row>
    <x:row r="31" ht="15" hidden="0" customHeight="1">
      <x:c r="A31" s="894" t="str">
        <x:v>합계</x:v>
      </x:c>
      <x:c r="B31" s="894" t="n">
        <x:f>SUM(B24:B30)</x:f>
        <x:v>42.5</x:v>
      </x:c>
      <x:c r="C31" s="894"/>
      <x:c r="D31" s="894" t="n">
        <x:f>SUM(D24:D30)</x:f>
        <x:v>10</x:v>
      </x:c>
      <x:c r="E31" s="894" t="n">
        <x:f>SUM(E24:E30)</x:f>
        <x:v>0</x:v>
      </x:c>
      <x:c r="F31" s="894" t="n">
        <x:f>SUM(F24:F30)</x:f>
        <x:v>0</x:v>
      </x:c>
      <x:c r="G31" s="894" t="n">
        <x:f>SUM(G24:G30)</x:f>
        <x:v>0</x:v>
      </x:c>
      <x:c r="H31" s="894" t="n">
        <x:f>SUM(H24:H30)</x:f>
        <x:v>0</x:v>
      </x:c>
      <x:c r="I31" s="894" t="n">
        <x:f>SUM(I24:I30)</x:f>
        <x:v>52.5</x:v>
      </x:c>
      <x:c r="J31" s="894" t="n">
        <x:f>SUM(J24:J30)</x:f>
        <x:v>45.5</x:v>
      </x:c>
      <x:c r="K31" s="894" t="str"/>
      <x:c r="L31" s="894" t="str">
        <x:f>IF(COUNTIF(L24:L30,"OVER")&gt;0,"일일 과밀 발생","시간 PASS")</x:f>
        <x:v>시간 PASS</x:v>
      </x:c>
      <x:c r="M31" s="890"/>
      <x:c r="N31" s="890"/>
      <x:c r="O31" s="890"/>
      <x:c r="P31" s="890"/>
    </x:row>
    <x:row r="32" ht="15" hidden="0" customHeight="1">
      <x:c r="A32" s="890"/>
      <x:c r="B32" s="890"/>
      <x:c r="C32" s="890"/>
      <x:c r="D32" s="890"/>
      <x:c r="E32" s="890"/>
      <x:c r="F32" s="890"/>
      <x:c r="G32" s="890"/>
      <x:c r="H32" s="890"/>
      <x:c r="I32" s="890"/>
      <x:c r="J32" s="890"/>
      <x:c r="K32" s="890"/>
      <x:c r="L32" s="890"/>
      <x:c r="M32" s="890"/>
      <x:c r="N32" s="890"/>
      <x:c r="O32" s="890"/>
      <x:c r="P32" s="890"/>
    </x:row>
    <x:row r="33" ht="15" hidden="0" customHeight="1">
      <x:c r="A33" s="890"/>
      <x:c r="B33" s="890"/>
      <x:c r="C33" s="890"/>
      <x:c r="D33" s="890"/>
      <x:c r="E33" s="890"/>
      <x:c r="F33" s="890"/>
      <x:c r="G33" s="890"/>
      <x:c r="H33" s="890"/>
      <x:c r="I33" s="890"/>
      <x:c r="J33" s="890"/>
      <x:c r="K33" s="890"/>
      <x:c r="L33" s="890"/>
      <x:c r="M33" s="890"/>
      <x:c r="N33" s="890"/>
      <x:c r="O33" s="890"/>
      <x:c r="P33" s="890"/>
    </x:row>
    <x:row r="34" ht="26" hidden="0" customHeight="1">
      <x:c r="A34" s="911" t="str">
        <x:v>3B. 강인함 전문 — Oxygen은 빠르지만 Breach 1 Tick을 선택</x:v>
      </x:c>
      <x:c r="B34" s="911"/>
      <x:c r="C34" s="911"/>
      <x:c r="D34" s="911"/>
      <x:c r="E34" s="911"/>
      <x:c r="F34" s="911"/>
      <x:c r="G34" s="911"/>
      <x:c r="H34" s="911"/>
      <x:c r="I34" s="911"/>
      <x:c r="J34" s="911"/>
      <x:c r="K34" s="911"/>
      <x:c r="L34" s="911"/>
      <x:c r="M34" s="911"/>
      <x:c r="N34" s="911"/>
      <x:c r="O34" s="911"/>
      <x:c r="P34" s="911"/>
    </x:row>
    <x:row r="35" ht="30" hidden="0" customHeight="1">
      <x:c r="A35" s="916" t="str">
        <x:v>Day</x:v>
      </x:c>
      <x:c r="B35" s="916" t="str">
        <x:v>기본 서사/수리</x:v>
      </x:c>
      <x:c r="C35" s="916" t="str">
        <x:v>Root/상황</x:v>
      </x:c>
      <x:c r="D35" s="916" t="str">
        <x:v>제이 Emergency h</x:v>
      </x:c>
      <x:c r="E35" s="916" t="str">
        <x:v>Will 사용</x:v>
      </x:c>
      <x:c r="F35" s="916" t="str">
        <x:v>NPC 작업 h</x:v>
      </x:c>
      <x:c r="G35" s="916" t="str">
        <x:v>허용 Tick</x:v>
      </x:c>
      <x:c r="H35" s="916" t="str">
        <x:v>추가 수리 h</x:v>
      </x:c>
      <x:c r="I35" s="916" t="str">
        <x:v>총 제이시간</x:v>
      </x:c>
      <x:c r="J35" s="916" t="str">
        <x:v>14h 대비 여유</x:v>
      </x:c>
      <x:c r="K35" s="916" t="str">
        <x:v>핵심 선택/결과</x:v>
      </x:c>
      <x:c r="L35" s="916" t="str">
        <x:v>판정</x:v>
      </x:c>
      <x:c r="M35" s="916"/>
      <x:c r="N35" s="916"/>
      <x:c r="O35" s="916"/>
      <x:c r="P35" s="916"/>
    </x:row>
    <x:row r="36" ht="15" hidden="0" customHeight="1">
      <x:c r="A36" s="890" t="n">
        <x:v>15</x:v>
      </x:c>
      <x:c r="B36" s="890" t="n">
        <x:v>5.5</x:v>
      </x:c>
      <x:c r="C36" s="890" t="str">
        <x:v>함교 Breach</x:v>
      </x:c>
      <x:c r="D36" s="890" t="n">
        <x:v>4</x:v>
      </x:c>
      <x:c r="E36" s="890" t="n">
        <x:v>0</x:v>
      </x:c>
      <x:c r="F36" s="890" t="n">
        <x:v>0</x:v>
      </x:c>
      <x:c r="G36" s="890" t="n">
        <x:v>0</x:v>
      </x:c>
      <x:c r="H36" s="890" t="n">
        <x:v>0</x:v>
      </x:c>
      <x:c r="I36" s="890" t="n">
        <x:f>B36+D36+H36</x:f>
        <x:v>9.5</x:v>
      </x:c>
      <x:c r="J36" s="890" t="n">
        <x:f>14-I36</x:f>
        <x:v>4.5</x:v>
      </x:c>
      <x:c r="K36" s="890" t="str">
        <x:v>Breach 기본4h</x:v>
      </x:c>
      <x:c r="L36" s="890" t="str">
        <x:f>IF(J36&lt;0,"OVER","OK")</x:f>
        <x:v>OK</x:v>
      </x:c>
      <x:c r="M36" s="890"/>
      <x:c r="N36" s="890"/>
      <x:c r="O36" s="890"/>
      <x:c r="P36" s="890"/>
    </x:row>
    <x:row r="37" ht="15" hidden="0" customHeight="1">
      <x:c r="A37" s="890" t="n">
        <x:v>16</x:v>
      </x:c>
      <x:c r="B37" s="890" t="n">
        <x:v>7</x:v>
      </x:c>
      <x:c r="C37" s="890" t="str">
        <x:v>연구 Oxygen</x:v>
      </x:c>
      <x:c r="D37" s="890" t="n">
        <x:v>2</x:v>
      </x:c>
      <x:c r="E37" s="890" t="n">
        <x:v>0</x:v>
      </x:c>
      <x:c r="F37" s="890" t="n">
        <x:v>0</x:v>
      </x:c>
      <x:c r="G37" s="890" t="n">
        <x:v>0</x:v>
      </x:c>
      <x:c r="H37" s="890" t="n">
        <x:v>0</x:v>
      </x:c>
      <x:c r="I37" s="890" t="n">
        <x:f>B37+D37+H37</x:f>
        <x:v>9</x:v>
      </x:c>
      <x:c r="J37" s="890" t="n">
        <x:f>14-I37</x:f>
        <x:v>5</x:v>
      </x:c>
      <x:c r="K37" s="890" t="str">
        <x:v>강인함7 Oxygen 2h</x:v>
      </x:c>
      <x:c r="L37" s="890" t="str">
        <x:f>IF(J37&lt;0,"OVER","OK")</x:f>
        <x:v>OK</x:v>
      </x:c>
      <x:c r="M37" s="890"/>
      <x:c r="N37" s="890"/>
      <x:c r="O37" s="890"/>
      <x:c r="P37" s="890"/>
    </x:row>
    <x:row r="38" ht="15" hidden="0" customHeight="1">
      <x:c r="A38" s="890" t="n">
        <x:v>17</x:v>
      </x:c>
      <x:c r="B38" s="890" t="n">
        <x:v>6.5</x:v>
      </x:c>
      <x:c r="C38" s="890" t="str">
        <x:v>신규 Root 없음</x:v>
      </x:c>
      <x:c r="D38" s="890" t="n">
        <x:v>0</x:v>
      </x:c>
      <x:c r="E38" s="890" t="n">
        <x:v>0</x:v>
      </x:c>
      <x:c r="F38" s="890" t="n">
        <x:v>0</x:v>
      </x:c>
      <x:c r="G38" s="890" t="n">
        <x:v>0</x:v>
      </x:c>
      <x:c r="H38" s="890" t="n">
        <x:v>0</x:v>
      </x:c>
      <x:c r="I38" s="890" t="n">
        <x:f>B38+D38+H38</x:f>
        <x:v>6.5</x:v>
      </x:c>
      <x:c r="J38" s="890" t="n">
        <x:f>14-I38</x:f>
        <x:v>7.5</x:v>
      </x:c>
      <x:c r="K38" s="890" t="str">
        <x:v>Quiet Day</x:v>
      </x:c>
      <x:c r="L38" s="890" t="str">
        <x:f>IF(J38&lt;0,"OVER","OK")</x:f>
        <x:v>OK</x:v>
      </x:c>
      <x:c r="M38" s="890"/>
      <x:c r="N38" s="890"/>
      <x:c r="O38" s="890"/>
      <x:c r="P38" s="890"/>
    </x:row>
    <x:row r="39" ht="64.80000305175781" hidden="0" customHeight="1">
      <x:c r="A39" s="890" t="n">
        <x:v>18</x:v>
      </x:c>
      <x:c r="B39" s="890" t="n">
        <x:v>6.5</x:v>
      </x:c>
      <x:c r="C39" s="890" t="str">
        <x:v>거주 Oxygen + 엔지니어 Breach 동시</x:v>
      </x:c>
      <x:c r="D39" s="890" t="n">
        <x:v>6</x:v>
      </x:c>
      <x:c r="E39" s="890" t="n">
        <x:v>0</x:v>
      </x:c>
      <x:c r="F39" s="890" t="n">
        <x:v>0</x:v>
      </x:c>
      <x:c r="G39" s="890" t="n">
        <x:v>1</x:v>
      </x:c>
      <x:c r="H39" s="890" t="n">
        <x:v>0</x:v>
      </x:c>
      <x:c r="I39" s="890" t="n">
        <x:f>B39+D39+H39</x:f>
        <x:v>12.5</x:v>
      </x:c>
      <x:c r="J39" s="890" t="n">
        <x:f>14-I39</x:f>
        <x:v>1.5</x:v>
      </x:c>
      <x:c r="K39" s="890" t="str">
        <x:v>Living Oxygen 2h 우선. Engineering Breach는 T+4에 1 Tick → Engine/Oxygen/Hull -1</x:v>
      </x:c>
      <x:c r="L39" s="890" t="str">
        <x:f>IF(J39&lt;0,"OVER","OK")</x:f>
        <x:v>OK</x:v>
      </x:c>
      <x:c r="M39" s="890"/>
      <x:c r="N39" s="890"/>
      <x:c r="O39" s="890"/>
      <x:c r="P39" s="890"/>
    </x:row>
    <x:row r="40" ht="15" hidden="0" customHeight="1">
      <x:c r="A40" s="890" t="n">
        <x:v>19</x:v>
      </x:c>
      <x:c r="B40" s="890" t="n">
        <x:v>5.5</x:v>
      </x:c>
      <x:c r="C40" s="890" t="str">
        <x:v>연구 Breach</x:v>
      </x:c>
      <x:c r="D40" s="890" t="n">
        <x:v>4</x:v>
      </x:c>
      <x:c r="E40" s="890" t="n">
        <x:v>0</x:v>
      </x:c>
      <x:c r="F40" s="890" t="n">
        <x:v>0</x:v>
      </x:c>
      <x:c r="G40" s="890" t="n">
        <x:v>0</x:v>
      </x:c>
      <x:c r="H40" s="890" t="n">
        <x:v>0</x:v>
      </x:c>
      <x:c r="I40" s="890" t="n">
        <x:f>B40+D40+H40</x:f>
        <x:v>9.5</x:v>
      </x:c>
      <x:c r="J40" s="890" t="n">
        <x:f>14-I40</x:f>
        <x:v>4.5</x:v>
      </x:c>
      <x:c r="K40" s="890" t="str">
        <x:v>Breach 기본4h</x:v>
      </x:c>
      <x:c r="L40" s="890" t="str">
        <x:f>IF(J40&lt;0,"OVER","OK")</x:f>
        <x:v>OK</x:v>
      </x:c>
      <x:c r="M40" s="890"/>
      <x:c r="N40" s="890"/>
      <x:c r="O40" s="890"/>
      <x:c r="P40" s="890"/>
    </x:row>
    <x:row r="41" ht="43.20000076293945" hidden="0" customHeight="1">
      <x:c r="A41" s="890" t="n">
        <x:v>20</x:v>
      </x:c>
      <x:c r="B41" s="890" t="n">
        <x:v>6.5</x:v>
      </x:c>
      <x:c r="C41" s="890" t="str">
        <x:v>신규 Root 없음</x:v>
      </x:c>
      <x:c r="D41" s="890" t="n">
        <x:v>0</x:v>
      </x:c>
      <x:c r="E41" s="890" t="n">
        <x:v>0</x:v>
      </x:c>
      <x:c r="F41" s="890" t="n">
        <x:v>0</x:v>
      </x:c>
      <x:c r="G41" s="890" t="n">
        <x:v>0</x:v>
      </x:c>
      <x:c r="H41" s="890" t="n">
        <x:v>4</x:v>
      </x:c>
      <x:c r="I41" s="890" t="n">
        <x:f>B41+D41+H41</x:f>
        <x:v>10.5</x:v>
      </x:c>
      <x:c r="J41" s="890" t="n">
        <x:f>14-I41</x:f>
        <x:v>3.5</x:v>
      </x:c>
      <x:c r="K41" s="890" t="str">
        <x:v>D18 손상 3종 중 기본 계획에 포함된 1회 수리 외 추가 2회(4h) 가정</x:v>
      </x:c>
      <x:c r="L41" s="890" t="str">
        <x:f>IF(J41&lt;0,"OVER","OK")</x:f>
        <x:v>OK</x:v>
      </x:c>
      <x:c r="M41" s="890"/>
      <x:c r="N41" s="890"/>
      <x:c r="O41" s="890"/>
      <x:c r="P41" s="890"/>
    </x:row>
    <x:row r="42" ht="15" hidden="0" customHeight="1">
      <x:c r="A42" s="890" t="n">
        <x:v>21</x:v>
      </x:c>
      <x:c r="B42" s="890" t="n">
        <x:v>5</x:v>
      </x:c>
      <x:c r="C42" s="890" t="str">
        <x:v>폭풍 종료</x:v>
      </x:c>
      <x:c r="D42" s="890" t="n">
        <x:v>0</x:v>
      </x:c>
      <x:c r="E42" s="890" t="n">
        <x:v>0</x:v>
      </x:c>
      <x:c r="F42" s="890" t="n">
        <x:v>0</x:v>
      </x:c>
      <x:c r="G42" s="890" t="n">
        <x:v>0</x:v>
      </x:c>
      <x:c r="H42" s="890" t="n">
        <x:v>0</x:v>
      </x:c>
      <x:c r="I42" s="890" t="n">
        <x:f>B42+D42+H42</x:f>
        <x:v>5</x:v>
      </x:c>
      <x:c r="J42" s="890" t="n">
        <x:f>14-I42</x:f>
        <x:v>9</x:v>
      </x:c>
      <x:c r="K42" s="890" t="str">
        <x:v>Ending</x:v>
      </x:c>
      <x:c r="L42" s="890" t="str">
        <x:f>IF(J42&lt;0,"OVER","OK")</x:f>
        <x:v>OK</x:v>
      </x:c>
      <x:c r="M42" s="890"/>
      <x:c r="N42" s="890"/>
      <x:c r="O42" s="890"/>
      <x:c r="P42" s="890"/>
    </x:row>
    <x:row r="43" ht="15" hidden="0" customHeight="1">
      <x:c r="A43" s="894" t="str">
        <x:v>합계</x:v>
      </x:c>
      <x:c r="B43" s="894" t="n">
        <x:f>SUM(B36:B42)</x:f>
        <x:v>42.5</x:v>
      </x:c>
      <x:c r="C43" s="894"/>
      <x:c r="D43" s="894" t="n">
        <x:f>SUM(D36:D42)</x:f>
        <x:v>16</x:v>
      </x:c>
      <x:c r="E43" s="894" t="n">
        <x:f>SUM(E36:E42)</x:f>
        <x:v>0</x:v>
      </x:c>
      <x:c r="F43" s="894" t="n">
        <x:f>SUM(F36:F42)</x:f>
        <x:v>0</x:v>
      </x:c>
      <x:c r="G43" s="894" t="n">
        <x:f>SUM(G36:G42)</x:f>
        <x:v>1</x:v>
      </x:c>
      <x:c r="H43" s="894" t="n">
        <x:f>SUM(H36:H42)</x:f>
        <x:v>4</x:v>
      </x:c>
      <x:c r="I43" s="894" t="n">
        <x:f>SUM(I36:I42)</x:f>
        <x:v>62.5</x:v>
      </x:c>
      <x:c r="J43" s="894" t="n">
        <x:f>SUM(J36:J42)</x:f>
        <x:v>35.5</x:v>
      </x:c>
      <x:c r="K43" s="894" t="str"/>
      <x:c r="L43" s="894" t="str">
        <x:f>IF(COUNTIF(L36:L42,"OVER")&gt;0,"일일 과밀 발생","시간 PASS")</x:f>
        <x:v>시간 PASS</x:v>
      </x:c>
      <x:c r="M43" s="890"/>
      <x:c r="N43" s="890"/>
      <x:c r="O43" s="890"/>
      <x:c r="P43" s="890"/>
    </x:row>
    <x:row r="44" ht="15" hidden="0" customHeight="1">
      <x:c r="A44" s="890"/>
      <x:c r="B44" s="890"/>
      <x:c r="C44" s="890"/>
      <x:c r="D44" s="890"/>
      <x:c r="E44" s="890"/>
      <x:c r="F44" s="890"/>
      <x:c r="G44" s="890"/>
      <x:c r="H44" s="890"/>
      <x:c r="I44" s="890"/>
      <x:c r="J44" s="890"/>
      <x:c r="K44" s="890"/>
      <x:c r="L44" s="890"/>
      <x:c r="M44" s="890"/>
      <x:c r="N44" s="890"/>
      <x:c r="O44" s="890"/>
      <x:c r="P44" s="890"/>
    </x:row>
    <x:row r="45" ht="15" hidden="0" customHeight="1">
      <x:c r="A45" s="890"/>
      <x:c r="B45" s="890"/>
      <x:c r="C45" s="890"/>
      <x:c r="D45" s="890"/>
      <x:c r="E45" s="890"/>
      <x:c r="F45" s="890"/>
      <x:c r="G45" s="890"/>
      <x:c r="H45" s="890"/>
      <x:c r="I45" s="890"/>
      <x:c r="J45" s="890"/>
      <x:c r="K45" s="890"/>
      <x:c r="L45" s="890"/>
      <x:c r="M45" s="890"/>
      <x:c r="N45" s="890"/>
      <x:c r="O45" s="890"/>
      <x:c r="P45" s="890"/>
    </x:row>
    <x:row r="46" ht="26" hidden="0" customHeight="1">
      <x:c r="A46" s="911" t="str">
        <x:v>3C. 교감 전문 + 관계투자 — 배치로 동시사고를 해결</x:v>
      </x:c>
      <x:c r="B46" s="911"/>
      <x:c r="C46" s="911"/>
      <x:c r="D46" s="911"/>
      <x:c r="E46" s="911"/>
      <x:c r="F46" s="911"/>
      <x:c r="G46" s="911"/>
      <x:c r="H46" s="911"/>
      <x:c r="I46" s="911"/>
      <x:c r="J46" s="911"/>
      <x:c r="K46" s="911"/>
      <x:c r="L46" s="911"/>
      <x:c r="M46" s="911"/>
      <x:c r="N46" s="911"/>
      <x:c r="O46" s="911"/>
      <x:c r="P46" s="911"/>
    </x:row>
    <x:row r="47" ht="30" hidden="0" customHeight="1">
      <x:c r="A47" s="916" t="str">
        <x:v>Day</x:v>
      </x:c>
      <x:c r="B47" s="916" t="str">
        <x:v>기본 서사/수리</x:v>
      </x:c>
      <x:c r="C47" s="916" t="str">
        <x:v>Root/상황</x:v>
      </x:c>
      <x:c r="D47" s="916" t="str">
        <x:v>제이 Emergency h</x:v>
      </x:c>
      <x:c r="E47" s="916" t="str">
        <x:v>Will 사용</x:v>
      </x:c>
      <x:c r="F47" s="916" t="str">
        <x:v>NPC 작업 h</x:v>
      </x:c>
      <x:c r="G47" s="916" t="str">
        <x:v>허용 Tick</x:v>
      </x:c>
      <x:c r="H47" s="916" t="str">
        <x:v>추가 수리 h</x:v>
      </x:c>
      <x:c r="I47" s="916" t="str">
        <x:v>총 제이시간</x:v>
      </x:c>
      <x:c r="J47" s="916" t="str">
        <x:v>14h 대비 여유</x:v>
      </x:c>
      <x:c r="K47" s="916" t="str">
        <x:v>핵심 선택/결과</x:v>
      </x:c>
      <x:c r="L47" s="916" t="str">
        <x:v>판정</x:v>
      </x:c>
      <x:c r="M47" s="916"/>
      <x:c r="N47" s="916"/>
      <x:c r="O47" s="916"/>
      <x:c r="P47" s="916"/>
    </x:row>
    <x:row r="48" ht="21.600000381469727" hidden="0" customHeight="1">
      <x:c r="A48" s="890" t="n">
        <x:v>15</x:v>
      </x:c>
      <x:c r="B48" s="890" t="n">
        <x:v>5.5</x:v>
      </x:c>
      <x:c r="C48" s="890" t="str">
        <x:v>함교 Breach</x:v>
      </x:c>
      <x:c r="D48" s="890" t="n">
        <x:v>4</x:v>
      </x:c>
      <x:c r="E48" s="890" t="n">
        <x:v>0</x:v>
      </x:c>
      <x:c r="F48" s="890" t="n">
        <x:v>0</x:v>
      </x:c>
      <x:c r="G48" s="890" t="n">
        <x:v>0</x:v>
      </x:c>
      <x:c r="H48" s="890" t="n">
        <x:v>0</x:v>
      </x:c>
      <x:c r="I48" s="890" t="n">
        <x:f>B48+D48+H48</x:f>
        <x:v>9.5</x:v>
      </x:c>
      <x:c r="J48" s="890" t="n">
        <x:f>14-I48</x:f>
        <x:v>4.5</x:v>
      </x:c>
      <x:c r="K48" s="890" t="str">
        <x:v>튜토리얼은 Jay가 기본4h로 직접 대응</x:v>
      </x:c>
      <x:c r="L48" s="890" t="str">
        <x:f>IF(J48&lt;0,"OVER","OK")</x:f>
        <x:v>OK</x:v>
      </x:c>
      <x:c r="M48" s="890"/>
      <x:c r="N48" s="890"/>
      <x:c r="O48" s="890"/>
      <x:c r="P48" s="890"/>
    </x:row>
    <x:row r="49" ht="32.400001525878906" hidden="0" customHeight="1">
      <x:c r="A49" s="890" t="n">
        <x:v>16</x:v>
      </x:c>
      <x:c r="B49" s="890" t="n">
        <x:v>7</x:v>
      </x:c>
      <x:c r="C49" s="890" t="str">
        <x:v>연구 Oxygen</x:v>
      </x:c>
      <x:c r="D49" s="890" t="n">
        <x:v>0</x:v>
      </x:c>
      <x:c r="E49" s="890" t="n">
        <x:v>0</x:v>
      </x:c>
      <x:c r="F49" s="890" t="n">
        <x:v>2</x:v>
      </x:c>
      <x:c r="G49" s="890" t="n">
        <x:v>0</x:v>
      </x:c>
      <x:c r="H49" s="890" t="n">
        <x:v>0</x:v>
      </x:c>
      <x:c r="I49" s="890" t="n">
        <x:f>B49+D49+H49</x:f>
        <x:v>7</x:v>
      </x:c>
      <x:c r="J49" s="890" t="n">
        <x:f>14-I49</x:f>
        <x:v>7</x:v>
      </x:c>
      <x:c r="K49" s="890" t="str">
        <x:v>예보 후 전문가 1명을 연구 구역에 배치, NPC 2h 해결</x:v>
      </x:c>
      <x:c r="L49" s="890" t="str">
        <x:f>IF(J49&lt;0,"OVER","OK")</x:f>
        <x:v>OK</x:v>
      </x:c>
      <x:c r="M49" s="890"/>
      <x:c r="N49" s="890"/>
      <x:c r="O49" s="890"/>
      <x:c r="P49" s="890"/>
    </x:row>
    <x:row r="50" ht="15" hidden="0" customHeight="1">
      <x:c r="A50" s="890" t="n">
        <x:v>17</x:v>
      </x:c>
      <x:c r="B50" s="890" t="n">
        <x:v>6.5</x:v>
      </x:c>
      <x:c r="C50" s="890" t="str">
        <x:v>신규 Root 없음</x:v>
      </x:c>
      <x:c r="D50" s="890" t="n">
        <x:v>0</x:v>
      </x:c>
      <x:c r="E50" s="890" t="n">
        <x:v>0</x:v>
      </x:c>
      <x:c r="F50" s="890" t="n">
        <x:v>0</x:v>
      </x:c>
      <x:c r="G50" s="890" t="n">
        <x:v>0</x:v>
      </x:c>
      <x:c r="H50" s="890" t="n">
        <x:v>0</x:v>
      </x:c>
      <x:c r="I50" s="890" t="n">
        <x:f>B50+D50+H50</x:f>
        <x:v>6.5</x:v>
      </x:c>
      <x:c r="J50" s="890" t="n">
        <x:f>14-I50</x:f>
        <x:v>7.5</x:v>
      </x:c>
      <x:c r="K50" s="890" t="str">
        <x:v>Quiet Day</x:v>
      </x:c>
      <x:c r="L50" s="890" t="str">
        <x:f>IF(J50&lt;0,"OVER","OK")</x:f>
        <x:v>OK</x:v>
      </x:c>
      <x:c r="M50" s="890"/>
      <x:c r="N50" s="890"/>
      <x:c r="O50" s="890"/>
      <x:c r="P50" s="890"/>
    </x:row>
    <x:row r="51" ht="43.20000076293945" hidden="0" customHeight="1">
      <x:c r="A51" s="890" t="n">
        <x:v>18</x:v>
      </x:c>
      <x:c r="B51" s="890" t="n">
        <x:v>6.5</x:v>
      </x:c>
      <x:c r="C51" s="890" t="str">
        <x:v>거주 Oxygen + 엔지니어 Breach 동시</x:v>
      </x:c>
      <x:c r="D51" s="890" t="n">
        <x:v>0</x:v>
      </x:c>
      <x:c r="E51" s="890" t="n">
        <x:v>0</x:v>
      </x:c>
      <x:c r="F51" s="890" t="n">
        <x:v>4</x:v>
      </x:c>
      <x:c r="G51" s="890" t="n">
        <x:v>0</x:v>
      </x:c>
      <x:c r="H51" s="890" t="n">
        <x:v>0</x:v>
      </x:c>
      <x:c r="I51" s="890" t="n">
        <x:f>B51+D51+H51</x:f>
        <x:v>6.5</x:v>
      </x:c>
      <x:c r="J51" s="890" t="n">
        <x:f>14-I51</x:f>
        <x:v>7.5</x:v>
      </x:c>
      <x:c r="K51" s="890" t="str">
        <x:v>벤자민/페이를 두 구역에 나눠 배치 → 동시 2h, Jay는 서사/수리 계속</x:v>
      </x:c>
      <x:c r="L51" s="890" t="str">
        <x:f>IF(J51&lt;0,"OVER","OK")</x:f>
        <x:v>OK</x:v>
      </x:c>
      <x:c r="M51" s="890"/>
      <x:c r="N51" s="890"/>
      <x:c r="O51" s="890"/>
      <x:c r="P51" s="890"/>
    </x:row>
    <x:row r="52" ht="21.600000381469727" hidden="0" customHeight="1">
      <x:c r="A52" s="890" t="n">
        <x:v>19</x:v>
      </x:c>
      <x:c r="B52" s="890" t="n">
        <x:v>5.5</x:v>
      </x:c>
      <x:c r="C52" s="890" t="str">
        <x:v>연구 Breach</x:v>
      </x:c>
      <x:c r="D52" s="890" t="n">
        <x:v>0</x:v>
      </x:c>
      <x:c r="E52" s="890" t="n">
        <x:v>0</x:v>
      </x:c>
      <x:c r="F52" s="890" t="n">
        <x:v>2</x:v>
      </x:c>
      <x:c r="G52" s="890" t="n">
        <x:v>0</x:v>
      </x:c>
      <x:c r="H52" s="890" t="n">
        <x:v>0</x:v>
      </x:c>
      <x:c r="I52" s="890" t="n">
        <x:f>B52+D52+H52</x:f>
        <x:v>5.5</x:v>
      </x:c>
      <x:c r="J52" s="890" t="n">
        <x:f>14-I52</x:f>
        <x:v>8.5</x:v>
      </x:c>
      <x:c r="K52" s="890" t="str">
        <x:v>전문가 1명 연구 구역 2h 해결</x:v>
      </x:c>
      <x:c r="L52" s="890" t="str">
        <x:f>IF(J52&lt;0,"OVER","OK")</x:f>
        <x:v>OK</x:v>
      </x:c>
      <x:c r="M52" s="890"/>
      <x:c r="N52" s="890"/>
      <x:c r="O52" s="890"/>
      <x:c r="P52" s="890"/>
    </x:row>
    <x:row r="53" ht="15" hidden="0" customHeight="1">
      <x:c r="A53" s="890" t="n">
        <x:v>20</x:v>
      </x:c>
      <x:c r="B53" s="890" t="n">
        <x:v>6.5</x:v>
      </x:c>
      <x:c r="C53" s="890" t="str">
        <x:v>신규 Root 없음</x:v>
      </x:c>
      <x:c r="D53" s="890" t="n">
        <x:v>0</x:v>
      </x:c>
      <x:c r="E53" s="890" t="n">
        <x:v>0</x:v>
      </x:c>
      <x:c r="F53" s="890" t="n">
        <x:v>0</x:v>
      </x:c>
      <x:c r="G53" s="890" t="n">
        <x:v>0</x:v>
      </x:c>
      <x:c r="H53" s="890" t="n">
        <x:v>0</x:v>
      </x:c>
      <x:c r="I53" s="890" t="n">
        <x:f>B53+D53+H53</x:f>
        <x:v>6.5</x:v>
      </x:c>
      <x:c r="J53" s="890" t="n">
        <x:f>14-I53</x:f>
        <x:v>7.5</x:v>
      </x:c>
      <x:c r="K53" s="890" t="str">
        <x:v>누적 손상 없음</x:v>
      </x:c>
      <x:c r="L53" s="890" t="str">
        <x:f>IF(J53&lt;0,"OVER","OK")</x:f>
        <x:v>OK</x:v>
      </x:c>
      <x:c r="M53" s="890"/>
      <x:c r="N53" s="890"/>
      <x:c r="O53" s="890"/>
      <x:c r="P53" s="890"/>
    </x:row>
    <x:row r="54" ht="15" hidden="0" customHeight="1">
      <x:c r="A54" s="890" t="n">
        <x:v>21</x:v>
      </x:c>
      <x:c r="B54" s="890" t="n">
        <x:v>5</x:v>
      </x:c>
      <x:c r="C54" s="890" t="str">
        <x:v>폭풍 종료</x:v>
      </x:c>
      <x:c r="D54" s="890" t="n">
        <x:v>0</x:v>
      </x:c>
      <x:c r="E54" s="890" t="n">
        <x:v>0</x:v>
      </x:c>
      <x:c r="F54" s="890" t="n">
        <x:v>0</x:v>
      </x:c>
      <x:c r="G54" s="890" t="n">
        <x:v>0</x:v>
      </x:c>
      <x:c r="H54" s="890" t="n">
        <x:v>0</x:v>
      </x:c>
      <x:c r="I54" s="890" t="n">
        <x:f>B54+D54+H54</x:f>
        <x:v>5</x:v>
      </x:c>
      <x:c r="J54" s="890" t="n">
        <x:f>14-I54</x:f>
        <x:v>9</x:v>
      </x:c>
      <x:c r="K54" s="890" t="str">
        <x:v>Ending</x:v>
      </x:c>
      <x:c r="L54" s="890" t="str">
        <x:f>IF(J54&lt;0,"OVER","OK")</x:f>
        <x:v>OK</x:v>
      </x:c>
      <x:c r="M54" s="890"/>
      <x:c r="N54" s="890"/>
      <x:c r="O54" s="890"/>
      <x:c r="P54" s="890"/>
    </x:row>
    <x:row r="55" ht="15" hidden="0" customHeight="1">
      <x:c r="A55" s="894" t="str">
        <x:v>합계</x:v>
      </x:c>
      <x:c r="B55" s="894" t="n">
        <x:f>SUM(B48:B54)</x:f>
        <x:v>42.5</x:v>
      </x:c>
      <x:c r="C55" s="894"/>
      <x:c r="D55" s="894" t="n">
        <x:f>SUM(D48:D54)</x:f>
        <x:v>4</x:v>
      </x:c>
      <x:c r="E55" s="894" t="n">
        <x:f>SUM(E48:E54)</x:f>
        <x:v>0</x:v>
      </x:c>
      <x:c r="F55" s="894" t="n">
        <x:f>SUM(F48:F54)</x:f>
        <x:v>8</x:v>
      </x:c>
      <x:c r="G55" s="894" t="n">
        <x:f>SUM(G48:G54)</x:f>
        <x:v>0</x:v>
      </x:c>
      <x:c r="H55" s="894" t="n">
        <x:f>SUM(H48:H54)</x:f>
        <x:v>0</x:v>
      </x:c>
      <x:c r="I55" s="894" t="n">
        <x:f>SUM(I48:I54)</x:f>
        <x:v>46.5</x:v>
      </x:c>
      <x:c r="J55" s="894" t="n">
        <x:f>SUM(J48:J54)</x:f>
        <x:v>51.5</x:v>
      </x:c>
      <x:c r="K55" s="894" t="str"/>
      <x:c r="L55" s="894" t="str">
        <x:f>IF(COUNTIF(L48:L54,"OVER")&gt;0,"일일 과밀 발생","시간 PASS")</x:f>
        <x:v>시간 PASS</x:v>
      </x:c>
      <x:c r="M55" s="890"/>
      <x:c r="N55" s="890"/>
      <x:c r="O55" s="890"/>
      <x:c r="P55" s="890"/>
    </x:row>
    <x:row r="56" ht="15" hidden="0" customHeight="1">
      <x:c r="A56" s="890"/>
      <x:c r="B56" s="890"/>
      <x:c r="C56" s="890"/>
      <x:c r="D56" s="890"/>
      <x:c r="E56" s="890"/>
      <x:c r="F56" s="890"/>
      <x:c r="G56" s="890"/>
      <x:c r="H56" s="890"/>
      <x:c r="I56" s="890"/>
      <x:c r="J56" s="890"/>
      <x:c r="K56" s="890"/>
      <x:c r="L56" s="890"/>
      <x:c r="M56" s="890"/>
      <x:c r="N56" s="890"/>
      <x:c r="O56" s="890"/>
      <x:c r="P56" s="890"/>
    </x:row>
    <x:row r="57" ht="15" hidden="0" customHeight="1">
      <x:c r="A57" s="890"/>
      <x:c r="B57" s="890"/>
      <x:c r="C57" s="890"/>
      <x:c r="D57" s="890"/>
      <x:c r="E57" s="890"/>
      <x:c r="F57" s="890"/>
      <x:c r="G57" s="890"/>
      <x:c r="H57" s="890"/>
      <x:c r="I57" s="890"/>
      <x:c r="J57" s="890"/>
      <x:c r="K57" s="890"/>
      <x:c r="L57" s="890"/>
      <x:c r="M57" s="890"/>
      <x:c r="N57" s="890"/>
      <x:c r="O57" s="890"/>
      <x:c r="P57" s="890"/>
    </x:row>
    <x:row r="58" ht="26" hidden="0" customHeight="1">
      <x:c r="A58" s="911" t="str">
        <x:v>3D. 균형형 — Cluster에서 NPC 1명이 있느냐가 갈림</x:v>
      </x:c>
      <x:c r="B58" s="911"/>
      <x:c r="C58" s="911"/>
      <x:c r="D58" s="911"/>
      <x:c r="E58" s="911"/>
      <x:c r="F58" s="911"/>
      <x:c r="G58" s="911"/>
      <x:c r="H58" s="911"/>
      <x:c r="I58" s="911"/>
      <x:c r="J58" s="911"/>
      <x:c r="K58" s="911"/>
      <x:c r="L58" s="911"/>
      <x:c r="M58" s="911"/>
      <x:c r="N58" s="911"/>
      <x:c r="O58" s="911"/>
      <x:c r="P58" s="911"/>
    </x:row>
    <x:row r="59" ht="30" hidden="0" customHeight="1">
      <x:c r="A59" s="916" t="str">
        <x:v>Day</x:v>
      </x:c>
      <x:c r="B59" s="916" t="str">
        <x:v>기본 서사/수리</x:v>
      </x:c>
      <x:c r="C59" s="916" t="str">
        <x:v>Root/상황</x:v>
      </x:c>
      <x:c r="D59" s="916" t="str">
        <x:v>제이 Emergency h</x:v>
      </x:c>
      <x:c r="E59" s="916" t="str">
        <x:v>Will 사용</x:v>
      </x:c>
      <x:c r="F59" s="916" t="str">
        <x:v>NPC 작업 h</x:v>
      </x:c>
      <x:c r="G59" s="916" t="str">
        <x:v>허용 Tick</x:v>
      </x:c>
      <x:c r="H59" s="916" t="str">
        <x:v>추가 수리 h</x:v>
      </x:c>
      <x:c r="I59" s="916" t="str">
        <x:v>총 제이시간</x:v>
      </x:c>
      <x:c r="J59" s="916" t="str">
        <x:v>14h 대비 여유</x:v>
      </x:c>
      <x:c r="K59" s="916" t="str">
        <x:v>핵심 선택/결과</x:v>
      </x:c>
      <x:c r="L59" s="916" t="str">
        <x:v>판정</x:v>
      </x:c>
      <x:c r="M59" s="916"/>
      <x:c r="N59" s="916"/>
      <x:c r="O59" s="916"/>
      <x:c r="P59" s="916"/>
    </x:row>
    <x:row r="60" ht="15" hidden="0" customHeight="1">
      <x:c r="A60" s="890" t="n">
        <x:v>15</x:v>
      </x:c>
      <x:c r="B60" s="890" t="n">
        <x:v>5.5</x:v>
      </x:c>
      <x:c r="C60" s="890" t="str">
        <x:v>함교 Breach</x:v>
      </x:c>
      <x:c r="D60" s="890" t="n">
        <x:v>4</x:v>
      </x:c>
      <x:c r="E60" s="890" t="n">
        <x:v>0</x:v>
      </x:c>
      <x:c r="F60" s="890" t="n">
        <x:v>0</x:v>
      </x:c>
      <x:c r="G60" s="890" t="n">
        <x:v>0</x:v>
      </x:c>
      <x:c r="H60" s="890" t="n">
        <x:v>0</x:v>
      </x:c>
      <x:c r="I60" s="890" t="n">
        <x:f>B60+D60+H60</x:f>
        <x:v>9.5</x:v>
      </x:c>
      <x:c r="J60" s="890" t="n">
        <x:f>14-I60</x:f>
        <x:v>4.5</x:v>
      </x:c>
      <x:c r="K60" s="890" t="str">
        <x:v>Breach 기본4h</x:v>
      </x:c>
      <x:c r="L60" s="890" t="str">
        <x:f>IF(J60&lt;0,"OVER","OK")</x:f>
        <x:v>OK</x:v>
      </x:c>
      <x:c r="M60" s="890"/>
      <x:c r="N60" s="890"/>
      <x:c r="O60" s="890"/>
      <x:c r="P60" s="890"/>
    </x:row>
    <x:row r="61" ht="15" hidden="0" customHeight="1">
      <x:c r="A61" s="890" t="n">
        <x:v>16</x:v>
      </x:c>
      <x:c r="B61" s="890" t="n">
        <x:v>7</x:v>
      </x:c>
      <x:c r="C61" s="890" t="str">
        <x:v>연구 Oxygen</x:v>
      </x:c>
      <x:c r="D61" s="890" t="n">
        <x:v>4</x:v>
      </x:c>
      <x:c r="E61" s="890" t="n">
        <x:v>0</x:v>
      </x:c>
      <x:c r="F61" s="890" t="n">
        <x:v>0</x:v>
      </x:c>
      <x:c r="G61" s="890" t="n">
        <x:v>0</x:v>
      </x:c>
      <x:c r="H61" s="890" t="n">
        <x:v>0</x:v>
      </x:c>
      <x:c r="I61" s="890" t="n">
        <x:f>B61+D61+H61</x:f>
        <x:v>11</x:v>
      </x:c>
      <x:c r="J61" s="890" t="n">
        <x:f>14-I61</x:f>
        <x:v>3</x:v>
      </x:c>
      <x:c r="K61" s="890" t="str">
        <x:v>Oxygen 기본4h</x:v>
      </x:c>
      <x:c r="L61" s="890" t="str">
        <x:f>IF(J61&lt;0,"OVER","OK")</x:f>
        <x:v>OK</x:v>
      </x:c>
      <x:c r="M61" s="890"/>
      <x:c r="N61" s="890"/>
      <x:c r="O61" s="890"/>
      <x:c r="P61" s="890"/>
    </x:row>
    <x:row r="62" ht="15" hidden="0" customHeight="1">
      <x:c r="A62" s="890" t="n">
        <x:v>17</x:v>
      </x:c>
      <x:c r="B62" s="890" t="n">
        <x:v>6.5</x:v>
      </x:c>
      <x:c r="C62" s="890" t="str">
        <x:v>신규 Root 없음</x:v>
      </x:c>
      <x:c r="D62" s="890" t="n">
        <x:v>0</x:v>
      </x:c>
      <x:c r="E62" s="890" t="n">
        <x:v>0</x:v>
      </x:c>
      <x:c r="F62" s="890" t="n">
        <x:v>0</x:v>
      </x:c>
      <x:c r="G62" s="890" t="n">
        <x:v>0</x:v>
      </x:c>
      <x:c r="H62" s="890" t="n">
        <x:v>0</x:v>
      </x:c>
      <x:c r="I62" s="890" t="n">
        <x:f>B62+D62+H62</x:f>
        <x:v>6.5</x:v>
      </x:c>
      <x:c r="J62" s="890" t="n">
        <x:f>14-I62</x:f>
        <x:v>7.5</x:v>
      </x:c>
      <x:c r="K62" s="890" t="str">
        <x:v>Quiet Day</x:v>
      </x:c>
      <x:c r="L62" s="890" t="str">
        <x:f>IF(J62&lt;0,"OVER","OK")</x:f>
        <x:v>OK</x:v>
      </x:c>
      <x:c r="M62" s="890"/>
      <x:c r="N62" s="890"/>
      <x:c r="O62" s="890"/>
      <x:c r="P62" s="890"/>
    </x:row>
    <x:row r="63" ht="43.20000076293945" hidden="0" customHeight="1">
      <x:c r="A63" s="890" t="n">
        <x:v>18</x:v>
      </x:c>
      <x:c r="B63" s="890" t="n">
        <x:v>6.5</x:v>
      </x:c>
      <x:c r="C63" s="890" t="str">
        <x:v>거주 Oxygen + 엔지니어 Breach 동시</x:v>
      </x:c>
      <x:c r="D63" s="890" t="n">
        <x:v>4</x:v>
      </x:c>
      <x:c r="E63" s="890" t="n">
        <x:v>0</x:v>
      </x:c>
      <x:c r="F63" s="890" t="n">
        <x:v>2</x:v>
      </x:c>
      <x:c r="G63" s="890" t="n">
        <x:v>0</x:v>
      </x:c>
      <x:c r="H63" s="890" t="n">
        <x:v>0</x:v>
      </x:c>
      <x:c r="I63" s="890" t="n">
        <x:f>B63+D63+H63</x:f>
        <x:v>10.5</x:v>
      </x:c>
      <x:c r="J63" s="890" t="n">
        <x:f>14-I63</x:f>
        <x:v>3.5</x:v>
      </x:c>
      <x:c r="K63" s="890" t="str">
        <x:v>전문가가 한 Root 2h, Jay가 다른 Root 4h → 둘 다 T+4 이전/동시 해결</x:v>
      </x:c>
      <x:c r="L63" s="890" t="str">
        <x:f>IF(J63&lt;0,"OVER","OK")</x:f>
        <x:v>OK</x:v>
      </x:c>
      <x:c r="M63" s="890"/>
      <x:c r="N63" s="890"/>
      <x:c r="O63" s="890"/>
      <x:c r="P63" s="890"/>
    </x:row>
    <x:row r="64" ht="15" hidden="0" customHeight="1">
      <x:c r="A64" s="890" t="n">
        <x:v>19</x:v>
      </x:c>
      <x:c r="B64" s="890" t="n">
        <x:v>5.5</x:v>
      </x:c>
      <x:c r="C64" s="890" t="str">
        <x:v>연구 Breach</x:v>
      </x:c>
      <x:c r="D64" s="890" t="n">
        <x:v>4</x:v>
      </x:c>
      <x:c r="E64" s="890" t="n">
        <x:v>0</x:v>
      </x:c>
      <x:c r="F64" s="890" t="n">
        <x:v>0</x:v>
      </x:c>
      <x:c r="G64" s="890" t="n">
        <x:v>0</x:v>
      </x:c>
      <x:c r="H64" s="890" t="n">
        <x:v>0</x:v>
      </x:c>
      <x:c r="I64" s="890" t="n">
        <x:f>B64+D64+H64</x:f>
        <x:v>9.5</x:v>
      </x:c>
      <x:c r="J64" s="890" t="n">
        <x:f>14-I64</x:f>
        <x:v>4.5</x:v>
      </x:c>
      <x:c r="K64" s="890" t="str">
        <x:v>Breach 기본4h</x:v>
      </x:c>
      <x:c r="L64" s="890" t="str">
        <x:f>IF(J64&lt;0,"OVER","OK")</x:f>
        <x:v>OK</x:v>
      </x:c>
      <x:c r="M64" s="890"/>
      <x:c r="N64" s="890"/>
      <x:c r="O64" s="890"/>
      <x:c r="P64" s="890"/>
    </x:row>
    <x:row r="65" ht="15" hidden="0" customHeight="1">
      <x:c r="A65" s="890" t="n">
        <x:v>20</x:v>
      </x:c>
      <x:c r="B65" s="890" t="n">
        <x:v>6.5</x:v>
      </x:c>
      <x:c r="C65" s="890" t="str">
        <x:v>신규 Root 없음</x:v>
      </x:c>
      <x:c r="D65" s="890" t="n">
        <x:v>0</x:v>
      </x:c>
      <x:c r="E65" s="890" t="n">
        <x:v>0</x:v>
      </x:c>
      <x:c r="F65" s="890" t="n">
        <x:v>0</x:v>
      </x:c>
      <x:c r="G65" s="890" t="n">
        <x:v>0</x:v>
      </x:c>
      <x:c r="H65" s="890" t="n">
        <x:v>0</x:v>
      </x:c>
      <x:c r="I65" s="890" t="n">
        <x:f>B65+D65+H65</x:f>
        <x:v>6.5</x:v>
      </x:c>
      <x:c r="J65" s="890" t="n">
        <x:f>14-I65</x:f>
        <x:v>7.5</x:v>
      </x:c>
      <x:c r="K65" s="890" t="str">
        <x:v>무피해</x:v>
      </x:c>
      <x:c r="L65" s="890" t="str">
        <x:f>IF(J65&lt;0,"OVER","OK")</x:f>
        <x:v>OK</x:v>
      </x:c>
      <x:c r="M65" s="890"/>
      <x:c r="N65" s="890"/>
      <x:c r="O65" s="890"/>
      <x:c r="P65" s="890"/>
    </x:row>
    <x:row r="66" ht="15" hidden="0" customHeight="1">
      <x:c r="A66" s="890" t="n">
        <x:v>21</x:v>
      </x:c>
      <x:c r="B66" s="890" t="n">
        <x:v>5</x:v>
      </x:c>
      <x:c r="C66" s="890" t="str">
        <x:v>폭풍 종료</x:v>
      </x:c>
      <x:c r="D66" s="890" t="n">
        <x:v>0</x:v>
      </x:c>
      <x:c r="E66" s="890" t="n">
        <x:v>0</x:v>
      </x:c>
      <x:c r="F66" s="890" t="n">
        <x:v>0</x:v>
      </x:c>
      <x:c r="G66" s="890" t="n">
        <x:v>0</x:v>
      </x:c>
      <x:c r="H66" s="890" t="n">
        <x:v>0</x:v>
      </x:c>
      <x:c r="I66" s="890" t="n">
        <x:f>B66+D66+H66</x:f>
        <x:v>5</x:v>
      </x:c>
      <x:c r="J66" s="890" t="n">
        <x:f>14-I66</x:f>
        <x:v>9</x:v>
      </x:c>
      <x:c r="K66" s="890" t="str">
        <x:v>Ending</x:v>
      </x:c>
      <x:c r="L66" s="890" t="str">
        <x:f>IF(J66&lt;0,"OVER","OK")</x:f>
        <x:v>OK</x:v>
      </x:c>
      <x:c r="M66" s="890"/>
      <x:c r="N66" s="890"/>
      <x:c r="O66" s="890"/>
      <x:c r="P66" s="890"/>
    </x:row>
    <x:row r="67" ht="15" hidden="0" customHeight="1">
      <x:c r="A67" s="894" t="str">
        <x:v>합계</x:v>
      </x:c>
      <x:c r="B67" s="894" t="n">
        <x:f>SUM(B60:B66)</x:f>
        <x:v>42.5</x:v>
      </x:c>
      <x:c r="C67" s="894"/>
      <x:c r="D67" s="894" t="n">
        <x:f>SUM(D60:D66)</x:f>
        <x:v>16</x:v>
      </x:c>
      <x:c r="E67" s="894" t="n">
        <x:f>SUM(E60:E66)</x:f>
        <x:v>0</x:v>
      </x:c>
      <x:c r="F67" s="894" t="n">
        <x:f>SUM(F60:F66)</x:f>
        <x:v>2</x:v>
      </x:c>
      <x:c r="G67" s="894" t="n">
        <x:f>SUM(G60:G66)</x:f>
        <x:v>0</x:v>
      </x:c>
      <x:c r="H67" s="894" t="n">
        <x:f>SUM(H60:H66)</x:f>
        <x:v>0</x:v>
      </x:c>
      <x:c r="I67" s="894" t="n">
        <x:f>SUM(I60:I66)</x:f>
        <x:v>58.5</x:v>
      </x:c>
      <x:c r="J67" s="894" t="n">
        <x:f>SUM(J60:J66)</x:f>
        <x:v>39.5</x:v>
      </x:c>
      <x:c r="K67" s="894" t="str"/>
      <x:c r="L67" s="894" t="str">
        <x:f>IF(COUNTIF(L60:L66,"OVER")&gt;0,"일일 과밀 발생","시간 PASS")</x:f>
        <x:v>시간 PASS</x:v>
      </x:c>
      <x:c r="M67" s="890"/>
      <x:c r="N67" s="890"/>
      <x:c r="O67" s="890"/>
      <x:c r="P67" s="890"/>
    </x:row>
    <x:row r="68" ht="15" hidden="0" customHeight="1">
      <x:c r="A68" s="890"/>
      <x:c r="B68" s="890"/>
      <x:c r="C68" s="890"/>
      <x:c r="D68" s="890"/>
      <x:c r="E68" s="890"/>
      <x:c r="F68" s="890"/>
      <x:c r="G68" s="890"/>
      <x:c r="H68" s="890"/>
      <x:c r="I68" s="890"/>
      <x:c r="J68" s="890"/>
      <x:c r="K68" s="890"/>
      <x:c r="L68" s="890"/>
      <x:c r="M68" s="890"/>
      <x:c r="N68" s="890"/>
      <x:c r="O68" s="890"/>
      <x:c r="P68" s="890"/>
    </x:row>
    <x:row r="69" ht="15" hidden="0" customHeight="1">
      <x:c r="A69" s="890"/>
      <x:c r="B69" s="890"/>
      <x:c r="C69" s="890"/>
      <x:c r="D69" s="890"/>
      <x:c r="E69" s="890"/>
      <x:c r="F69" s="890"/>
      <x:c r="G69" s="890"/>
      <x:c r="H69" s="890"/>
      <x:c r="I69" s="890"/>
      <x:c r="J69" s="890"/>
      <x:c r="K69" s="890"/>
      <x:c r="L69" s="890"/>
      <x:c r="M69" s="890"/>
      <x:c r="N69" s="890"/>
      <x:c r="O69" s="890"/>
      <x:c r="P69" s="890"/>
    </x:row>
    <x:row r="70" ht="26" hidden="0" customHeight="1">
      <x:c r="A70" s="911" t="str">
        <x:v>4. D18 Cluster만 따로 보면 — 방치 / Will / NPC의 차이</x:v>
      </x:c>
      <x:c r="B70" s="911"/>
      <x:c r="C70" s="911"/>
      <x:c r="D70" s="911"/>
      <x:c r="E70" s="911"/>
      <x:c r="F70" s="911"/>
      <x:c r="G70" s="911"/>
      <x:c r="H70" s="911"/>
      <x:c r="I70" s="911"/>
      <x:c r="J70" s="911"/>
      <x:c r="K70" s="911"/>
      <x:c r="L70" s="911"/>
      <x:c r="M70" s="911"/>
      <x:c r="N70" s="911"/>
      <x:c r="O70" s="911"/>
      <x:c r="P70" s="911"/>
    </x:row>
    <x:row r="71" ht="30" hidden="0" customHeight="1">
      <x:c r="A71" s="916" t="str">
        <x:v>전략</x:v>
      </x:c>
      <x:c r="B71" s="916" t="str">
        <x:v>Jay 시간</x:v>
      </x:c>
      <x:c r="C71" s="916" t="str">
        <x:v>Will</x:v>
      </x:c>
      <x:c r="D71" s="916" t="str">
        <x:v>NPC</x:v>
      </x:c>
      <x:c r="E71" s="916" t="str">
        <x:v>Tick</x:v>
      </x:c>
      <x:c r="F71" s="916" t="str">
        <x:v>D18 총시간(서사6.5h 포함)</x:v>
      </x:c>
      <x:c r="G71" s="916" t="str">
        <x:v>결과</x:v>
      </x:c>
      <x:c r="H71" s="916" t="str">
        <x:v>판정</x:v>
      </x:c>
      <x:c r="I71" s="916"/>
      <x:c r="J71" s="916"/>
      <x:c r="K71" s="916"/>
      <x:c r="L71" s="916"/>
      <x:c r="M71" s="916"/>
      <x:c r="N71" s="916"/>
      <x:c r="O71" s="916"/>
      <x:c r="P71" s="916"/>
    </x:row>
    <x:row r="72" ht="15" hidden="0" customHeight="1">
      <x:c r="A72" s="890" t="str">
        <x:v>기술8 직접</x:v>
      </x:c>
      <x:c r="B72" s="890" t="n">
        <x:v>4</x:v>
      </x:c>
      <x:c r="C72" s="890" t="str">
        <x:v>0</x:v>
      </x:c>
      <x:c r="D72" s="890" t="str">
        <x:v>없음</x:v>
      </x:c>
      <x:c r="E72" s="890" t="n">
        <x:v>0</x:v>
      </x:c>
      <x:c r="F72" s="890" t="n">
        <x:f>6.5+B72</x:f>
        <x:v>10.5</x:v>
      </x:c>
      <x:c r="G72" s="890" t="str">
        <x:v>2h+2h → T+4 해결</x:v>
      </x:c>
      <x:c r="H72" s="890" t="str">
        <x:f>IF(F72&gt;14,"OVER",IF(E72&gt;0,"TICK 감수","무피해"))</x:f>
        <x:v>무피해</x:v>
      </x:c>
      <x:c r="I72" s="890"/>
      <x:c r="J72" s="890"/>
      <x:c r="K72" s="890"/>
      <x:c r="L72" s="890"/>
      <x:c r="M72" s="890"/>
      <x:c r="N72" s="890"/>
      <x:c r="O72" s="890"/>
      <x:c r="P72" s="890"/>
    </x:row>
    <x:row r="73" ht="21.600000381469727" hidden="0" customHeight="1">
      <x:c r="A73" s="890" t="str">
        <x:v>강인함8 직접</x:v>
      </x:c>
      <x:c r="B73" s="890" t="str">
        <x:v>6</x:v>
      </x:c>
      <x:c r="C73" s="890" t="str">
        <x:v>0</x:v>
      </x:c>
      <x:c r="D73" s="890" t="str">
        <x:v>없음</x:v>
      </x:c>
      <x:c r="E73" s="890" t="n">
        <x:v>1</x:v>
      </x:c>
      <x:c r="F73" s="890" t="n">
        <x:f>6.5+B73</x:f>
        <x:v>12.5</x:v>
      </x:c>
      <x:c r="G73" s="890" t="str">
        <x:v>Living 먼저 해결, Engineering 1 Tick</x:v>
      </x:c>
      <x:c r="H73" s="890" t="str">
        <x:f>IF(F73&gt;14,"OVER",IF(E73&gt;0,"TICK 감수","무피해"))</x:f>
        <x:v>TICK 감수</x:v>
      </x:c>
      <x:c r="I73" s="890"/>
      <x:c r="J73" s="890"/>
      <x:c r="K73" s="890"/>
      <x:c r="L73" s="890"/>
      <x:c r="M73" s="890"/>
      <x:c r="N73" s="890"/>
      <x:c r="O73" s="890"/>
      <x:c r="P73" s="890"/>
    </x:row>
    <x:row r="74" ht="15" hidden="0" customHeight="1">
      <x:c r="A74" s="890" t="str">
        <x:v>교감8+관계</x:v>
      </x:c>
      <x:c r="B74" s="890" t="str">
        <x:v>0</x:v>
      </x:c>
      <x:c r="C74" s="890" t="str">
        <x:v>0</x:v>
      </x:c>
      <x:c r="D74" s="890" t="str">
        <x:v>전문가2명 4 NPC-h</x:v>
      </x:c>
      <x:c r="E74" s="890" t="n">
        <x:v>0</x:v>
      </x:c>
      <x:c r="F74" s="890" t="n">
        <x:f>6.5+B74</x:f>
        <x:v>6.5</x:v>
      </x:c>
      <x:c r="G74" s="890" t="str">
        <x:v>동시 병렬 해결</x:v>
      </x:c>
      <x:c r="H74" s="890" t="str">
        <x:f>IF(F74&gt;14,"OVER",IF(E74&gt;0,"TICK 감수","무피해"))</x:f>
        <x:v>무피해</x:v>
      </x:c>
      <x:c r="I74" s="890"/>
      <x:c r="J74" s="890"/>
      <x:c r="K74" s="890"/>
      <x:c r="L74" s="890"/>
      <x:c r="M74" s="890"/>
      <x:c r="N74" s="890"/>
      <x:c r="O74" s="890"/>
      <x:c r="P74" s="890"/>
    </x:row>
    <x:row r="75" ht="15" hidden="0" customHeight="1">
      <x:c r="A75" s="890" t="str">
        <x:v>균형4 + 전문가1</x:v>
      </x:c>
      <x:c r="B75" s="890" t="str">
        <x:v>4</x:v>
      </x:c>
      <x:c r="C75" s="890" t="str">
        <x:v>0</x:v>
      </x:c>
      <x:c r="D75" s="890" t="str">
        <x:v>전문가1명 2 NPC-h</x:v>
      </x:c>
      <x:c r="E75" s="890" t="n">
        <x:v>0</x:v>
      </x:c>
      <x:c r="F75" s="890" t="n">
        <x:f>6.5+B75</x:f>
        <x:v>10.5</x:v>
      </x:c>
      <x:c r="G75" s="890" t="str">
        <x:v>Jay4h + NPC2h 병렬</x:v>
      </x:c>
      <x:c r="H75" s="890" t="str">
        <x:f>IF(F75&gt;14,"OVER",IF(E75&gt;0,"TICK 감수","무피해"))</x:f>
        <x:v>무피해</x:v>
      </x:c>
      <x:c r="I75" s="890"/>
      <x:c r="J75" s="890"/>
      <x:c r="K75" s="890"/>
      <x:c r="L75" s="890"/>
      <x:c r="M75" s="890"/>
      <x:c r="N75" s="890"/>
      <x:c r="O75" s="890"/>
      <x:c r="P75" s="890"/>
    </x:row>
    <x:row r="76" ht="21.600000381469727" hidden="0" customHeight="1">
      <x:c r="A76" s="890" t="str">
        <x:v>균형4, NPC 없음</x:v>
      </x:c>
      <x:c r="B76" s="890" t="str">
        <x:v>8</x:v>
      </x:c>
      <x:c r="C76" s="890" t="str">
        <x:v>0</x:v>
      </x:c>
      <x:c r="D76" s="890" t="str">
        <x:v>없음</x:v>
      </x:c>
      <x:c r="E76" s="890" t="n">
        <x:v>1</x:v>
      </x:c>
      <x:c r="F76" s="890" t="n">
        <x:f>6.5+B76</x:f>
        <x:v>14.5</x:v>
      </x:c>
      <x:c r="G76" s="890" t="str">
        <x:v>순차 4h+4h, 두 번째 1 Tick</x:v>
      </x:c>
      <x:c r="H76" s="890" t="str">
        <x:f>IF(F76&gt;14,"OVER",IF(E76&gt;0,"TICK 감수","무피해"))</x:f>
        <x:v>OVER</x:v>
      </x:c>
      <x:c r="I76" s="890"/>
      <x:c r="J76" s="890"/>
      <x:c r="K76" s="890"/>
      <x:c r="L76" s="890"/>
      <x:c r="M76" s="890"/>
      <x:c r="N76" s="890"/>
      <x:c r="O76" s="890"/>
      <x:c r="P76" s="890"/>
    </x:row>
    <x:row r="77" ht="43.20000076293945" hidden="0" customHeight="1">
      <x:c r="A77" s="890" t="str">
        <x:v>균형4, NPC 없음 + 기술9 Will</x:v>
      </x:c>
      <x:c r="B77" s="890" t="str">
        <x:v>5</x:v>
      </x:c>
      <x:c r="C77" s="890" t="str">
        <x:v>5</x:v>
      </x:c>
      <x:c r="D77" s="890" t="str">
        <x:v>없음</x:v>
      </x:c>
      <x:c r="E77" s="890" t="n">
        <x:v>1</x:v>
      </x:c>
      <x:c r="F77" s="890" t="n">
        <x:f>6.5+B77</x:f>
        <x:v>11.5</x:v>
      </x:c>
      <x:c r="G77" s="890" t="str">
        <x:v>1h 특수 + 4h 기본. 시간은 줄지만 동시성 때문에 1 Tick은 남음</x:v>
      </x:c>
      <x:c r="H77" s="890" t="str">
        <x:f>IF(F77&gt;14,"OVER",IF(E77&gt;0,"TICK 감수","무피해"))</x:f>
        <x:v>TICK 감수</x:v>
      </x:c>
      <x:c r="I77" s="890"/>
      <x:c r="J77" s="890"/>
      <x:c r="K77" s="890"/>
      <x:c r="L77" s="890"/>
      <x:c r="M77" s="890"/>
      <x:c r="N77" s="890"/>
      <x:c r="O77" s="890"/>
      <x:c r="P77" s="890"/>
    </x:row>
    <x:row r="78" ht="15" hidden="0" customHeight="1">
      <x:c r="A78" s="890"/>
      <x:c r="B78" s="890"/>
      <x:c r="C78" s="890"/>
      <x:c r="D78" s="890"/>
      <x:c r="E78" s="890"/>
      <x:c r="F78" s="890"/>
      <x:c r="G78" s="890"/>
      <x:c r="H78" s="890"/>
      <x:c r="I78" s="890"/>
      <x:c r="J78" s="890"/>
      <x:c r="K78" s="890"/>
      <x:c r="L78" s="890"/>
      <x:c r="M78" s="890"/>
      <x:c r="N78" s="890"/>
      <x:c r="O78" s="890"/>
      <x:c r="P78" s="890"/>
    </x:row>
    <x:row r="79" ht="26" hidden="0" customHeight="1">
      <x:c r="A79" s="911" t="str">
        <x:v>5. Simulation Findings</x:v>
      </x:c>
      <x:c r="B79" s="911"/>
      <x:c r="C79" s="911"/>
      <x:c r="D79" s="911"/>
      <x:c r="E79" s="911"/>
      <x:c r="F79" s="911"/>
      <x:c r="G79" s="911"/>
      <x:c r="H79" s="911"/>
      <x:c r="I79" s="911"/>
      <x:c r="J79" s="911"/>
      <x:c r="K79" s="911"/>
      <x:c r="L79" s="911"/>
      <x:c r="M79" s="911"/>
      <x:c r="N79" s="911"/>
      <x:c r="O79" s="911"/>
      <x:c r="P79" s="911"/>
    </x:row>
    <x:row r="80" ht="15" hidden="0" customHeight="1">
      <x:c r="A80" s="894" t="str">
        <x:v>#</x:v>
      </x:c>
      <x:c r="B80" s="894" t="str">
        <x:v>발견</x:v>
      </x:c>
      <x:c r="C80" s="894" t="str">
        <x:v>판정</x:v>
      </x:c>
      <x:c r="D80" s="890"/>
      <x:c r="E80" s="890"/>
      <x:c r="F80" s="890"/>
      <x:c r="G80" s="890"/>
      <x:c r="H80" s="890"/>
      <x:c r="I80" s="890"/>
      <x:c r="J80" s="890"/>
      <x:c r="K80" s="890"/>
      <x:c r="L80" s="890"/>
      <x:c r="M80" s="890"/>
      <x:c r="N80" s="890"/>
      <x:c r="O80" s="890"/>
      <x:c r="P80" s="890"/>
    </x:row>
    <x:row r="81" ht="43.20000076293945" hidden="0" customHeight="1">
      <x:c r="A81" s="890" t="n">
        <x:v>1</x:v>
      </x:c>
      <x:c r="B81" s="890" t="str">
        <x:v>사용자 지적대로 하루 1 Root 구조에서는 대부분 '그날 숙제'가 되어 방치/배치의 의미가 약했다. Cluster를 넣으면 두 사건을 동시에 무피해 처리할 수 없는 빌드가 생긴다.</x:v>
      </x:c>
      <x:c r="C81" s="890" t="str">
        <x:v>수용</x:v>
      </x:c>
      <x:c r="D81" s="890"/>
      <x:c r="E81" s="890"/>
      <x:c r="F81" s="890"/>
      <x:c r="G81" s="890"/>
      <x:c r="H81" s="890"/>
      <x:c r="I81" s="890"/>
      <x:c r="J81" s="890"/>
      <x:c r="K81" s="890"/>
      <x:c r="L81" s="890"/>
      <x:c r="M81" s="890"/>
      <x:c r="N81" s="890"/>
      <x:c r="O81" s="890"/>
      <x:c r="P81" s="890"/>
    </x:row>
    <x:row r="82" ht="43.20000076293945" hidden="0" customHeight="1">
      <x:c r="A82" s="890" t="n">
        <x:v>2</x:v>
      </x:c>
      <x:c r="B82" s="890" t="str">
        <x:v>Pattern B D18에서 Living=3이면 거주 Oxygen을 1 Tick 방치할 경우 Panic까지 열린다. 따라서 강인함 빌드는 Living을 먼저 살리고 Engineering 손상을 감수하는 Triage가 합리적이다.</x:v>
      </x:c>
      <x:c r="C82" s="890" t="str">
        <x:v>좋음</x:v>
      </x:c>
      <x:c r="D82" s="890"/>
      <x:c r="E82" s="890"/>
      <x:c r="F82" s="890"/>
      <x:c r="G82" s="890"/>
      <x:c r="H82" s="890"/>
      <x:c r="I82" s="890"/>
      <x:c r="J82" s="890"/>
      <x:c r="K82" s="890"/>
      <x:c r="L82" s="890"/>
      <x:c r="M82" s="890"/>
      <x:c r="N82" s="890"/>
      <x:c r="O82" s="890"/>
      <x:c r="P82" s="890"/>
    </x:row>
    <x:row r="83" ht="32.400001525878906" hidden="0" customHeight="1">
      <x:c r="A83" s="890" t="n">
        <x:v>3</x:v>
      </x:c>
      <x:c r="B83" s="890" t="str">
        <x:v>기술8은 동시2건도 2h+2h로 정확히 T+4에 처리해 무피해. '내가 직접 해결하는 빌드' 정체성이 명확하다.</x:v>
      </x:c>
      <x:c r="C83" s="890" t="str">
        <x:v>좋음</x:v>
      </x:c>
      <x:c r="D83" s="890"/>
      <x:c r="E83" s="890"/>
      <x:c r="F83" s="890"/>
      <x:c r="G83" s="890"/>
      <x:c r="H83" s="890"/>
      <x:c r="I83" s="890"/>
      <x:c r="J83" s="890"/>
      <x:c r="K83" s="890"/>
      <x:c r="L83" s="890"/>
      <x:c r="M83" s="890"/>
      <x:c r="N83" s="890"/>
      <x:c r="O83" s="890"/>
      <x:c r="P83" s="890"/>
    </x:row>
    <x:row r="84" ht="30" hidden="0" customHeight="1">
      <x:c r="A84" s="892" t="n">
        <x:v>4</x:v>
      </x:c>
      <x:c r="B84" s="892" t="str">
        <x:v>교감8+관계투자는 두 전문가를 나눠 배치하면 Jay 시간 0h로 Cluster를 넘길 수 있다. 교감 자체가 아니라 W1~2 관계투자의 시스템 보상이라는 점을 유지해야 한다.</x:v>
      </x:c>
      <x:c r="C84" s="892" t="str">
        <x:v>좋음/조건부</x:v>
      </x:c>
      <x:c r="D84" s="892"/>
      <x:c r="E84" s="892"/>
      <x:c r="F84" s="892"/>
      <x:c r="G84" s="892"/>
      <x:c r="H84" s="892"/>
      <x:c r="I84" s="892"/>
      <x:c r="J84" s="892"/>
      <x:c r="K84" s="892"/>
      <x:c r="L84" s="892"/>
      <x:c r="M84" s="892"/>
      <x:c r="N84" s="892"/>
      <x:c r="O84" s="892"/>
      <x:c r="P84" s="892"/>
    </x:row>
    <x:row r="85" ht="32.400001525878906" hidden="0" customHeight="1">
      <x:c r="A85" s="890" t="n">
        <x:v>5</x:v>
      </x:c>
      <x:c r="B85" s="890" t="str">
        <x:v>균형4는 NPC가 없으면 D18 14.5h로 하루 계획을 넘기고 1 Tick까지 감수한다. 전문가 1명만 배치해도 Jay4h로 줄고 무피해가 된다.</x:v>
      </x:c>
      <x:c r="C85" s="890" t="str">
        <x:v>배치 의미 확인</x:v>
      </x:c>
      <x:c r="D85" s="890"/>
      <x:c r="E85" s="890"/>
      <x:c r="F85" s="890"/>
      <x:c r="G85" s="890"/>
      <x:c r="H85" s="890"/>
      <x:c r="I85" s="890"/>
      <x:c r="J85" s="890"/>
      <x:c r="K85" s="890"/>
      <x:c r="L85" s="890"/>
      <x:c r="M85" s="890"/>
      <x:c r="N85" s="890"/>
      <x:c r="O85" s="890"/>
      <x:c r="P85" s="890"/>
    </x:row>
    <x:row r="86" ht="32.400001525878906" hidden="0" customHeight="1">
      <x:c r="A86" s="890" t="n">
        <x:v>6</x:v>
      </x:c>
      <x:c r="B86" s="890" t="str">
        <x:v>Will5로 기술4→9 특수를 한 번 써도 동시사건의 다른 쪽은 T+4에 1 Tick을 맞는다. Will은 '배치를 완전히 대체'하지 않고 시간만 사준다.</x:v>
      </x:c>
      <x:c r="C86" s="890" t="str">
        <x:v>매우 좋음</x:v>
      </x:c>
      <x:c r="D86" s="890"/>
      <x:c r="E86" s="890"/>
      <x:c r="F86" s="890"/>
      <x:c r="G86" s="890"/>
      <x:c r="H86" s="890"/>
      <x:c r="I86" s="890"/>
      <x:c r="J86" s="890"/>
      <x:c r="K86" s="890"/>
      <x:c r="L86" s="890"/>
      <x:c r="M86" s="890"/>
      <x:c r="N86" s="890"/>
      <x:c r="O86" s="890"/>
      <x:c r="P86" s="890"/>
    </x:row>
    <x:row r="87" ht="32.400001525878906" hidden="0" customHeight="1">
      <x:c r="A87" s="890" t="n">
        <x:v>7</x:v>
      </x:c>
      <x:c r="B87" s="890" t="str">
        <x:v>현재 전체 W3 총시간은 여전히 여유가 있다. 압력은 총량보다 Cluster Day의 순간 선택과 후속 수리/Derived에 집중된다.</x:v>
      </x:c>
      <x:c r="C87" s="890" t="str">
        <x:v>의도 확인</x:v>
      </x:c>
      <x:c r="D87" s="890"/>
      <x:c r="E87" s="890"/>
      <x:c r="F87" s="890"/>
      <x:c r="G87" s="890"/>
      <x:c r="H87" s="890"/>
      <x:c r="I87" s="890"/>
      <x:c r="J87" s="890"/>
      <x:c r="K87" s="890"/>
      <x:c r="L87" s="890"/>
      <x:c r="M87" s="890"/>
      <x:c r="N87" s="890"/>
      <x:c r="O87" s="890"/>
      <x:c r="P87" s="890"/>
    </x:row>
    <x:row r="88" ht="32.400001525878906" hidden="0" customHeight="1">
      <x:c r="A88" s="890" t="n">
        <x:v>8</x:v>
      </x:c>
      <x:c r="B88" s="890" t="str">
        <x:v>다음 핵심 검증은 실제 W2 종료 시설값을 넣어 Pattern A/B/C 모두에서 Tick 1회가 언제 Panic/Recovery/Hull0로 이어지는지 계산하는 것.</x:v>
      </x:c>
      <x:c r="C88" s="890" t="str">
        <x:v>다음</x:v>
      </x:c>
      <x:c r="D88" s="890"/>
      <x:c r="E88" s="890"/>
      <x:c r="F88" s="890"/>
      <x:c r="G88" s="890"/>
      <x:c r="H88" s="890"/>
      <x:c r="I88" s="890"/>
      <x:c r="J88" s="890"/>
      <x:c r="K88" s="890"/>
      <x:c r="L88" s="890"/>
      <x:c r="M88" s="890"/>
      <x:c r="N88" s="890"/>
      <x:c r="O88" s="890"/>
      <x:c r="P88" s="890"/>
    </x:row>
    <x:row r="89" ht="15" hidden="0" customHeight="1">
      <x:c r="A89" s="890"/>
      <x:c r="B89" s="890"/>
      <x:c r="C89" s="890"/>
      <x:c r="D89" s="890"/>
      <x:c r="E89" s="890"/>
      <x:c r="F89" s="890"/>
      <x:c r="G89" s="890"/>
      <x:c r="H89" s="890"/>
      <x:c r="I89" s="890"/>
      <x:c r="J89" s="890"/>
      <x:c r="K89" s="890"/>
      <x:c r="L89" s="890"/>
      <x:c r="M89" s="890"/>
      <x:c r="N89" s="890"/>
      <x:c r="O89" s="890"/>
      <x:c r="P89" s="890"/>
    </x:row>
    <x:row r="90" ht="26" hidden="0" customHeight="1">
      <x:c r="A90" s="911" t="str">
        <x:v>6. Pattern A/B/C Sensitivity — Cluster가 어느 날 와도 선택 압력이 생기는가?</x:v>
      </x:c>
      <x:c r="B90" s="911"/>
      <x:c r="C90" s="911"/>
      <x:c r="D90" s="911"/>
      <x:c r="E90" s="911"/>
      <x:c r="F90" s="911"/>
      <x:c r="G90" s="911"/>
      <x:c r="H90" s="911"/>
      <x:c r="I90" s="911"/>
      <x:c r="J90" s="911"/>
      <x:c r="K90" s="911"/>
      <x:c r="L90" s="911"/>
      <x:c r="M90" s="911"/>
      <x:c r="N90" s="911"/>
      <x:c r="O90" s="911"/>
      <x:c r="P90" s="911"/>
    </x:row>
    <x:row r="91" ht="30" hidden="0" customHeight="1">
      <x:c r="A91" s="892" t="str">
        <x:v>Pattern</x:v>
      </x:c>
      <x:c r="B91" s="892" t="str">
        <x:v>Cluster Day</x:v>
      </x:c>
      <x:c r="C91" s="892" t="str">
        <x:v>그날 기본 서사/수리</x:v>
      </x:c>
      <x:c r="D91" s="892" t="str">
        <x:v>저스탯 직접 4h+4h</x:v>
      </x:c>
      <x:c r="E91" s="892" t="str">
        <x:v>총시간</x:v>
      </x:c>
      <x:c r="F91" s="892" t="str">
        <x:v>예상</x:v>
      </x:c>
      <x:c r="G91" s="892" t="str">
        <x:v>강인함 2h+4h</x:v>
      </x:c>
      <x:c r="H91" s="892" t="str">
        <x:v>기술8 2h+2h</x:v>
      </x:c>
      <x:c r="I91" s="892" t="str">
        <x:v>전문가2명</x:v>
      </x:c>
      <x:c r="J91" s="892" t="str">
        <x:v>판정</x:v>
      </x:c>
      <x:c r="K91" s="892"/>
      <x:c r="L91" s="892"/>
      <x:c r="M91" s="892"/>
      <x:c r="N91" s="892"/>
      <x:c r="O91" s="892"/>
      <x:c r="P91" s="892"/>
    </x:row>
    <x:row r="92" ht="21.600000381469727" hidden="0" customHeight="1">
      <x:c r="A92" s="890" t="str">
        <x:v>A</x:v>
      </x:c>
      <x:c r="B92" s="890" t="str">
        <x:v>D16</x:v>
      </x:c>
      <x:c r="C92" s="890" t="n">
        <x:v>7</x:v>
      </x:c>
      <x:c r="D92" s="890" t="n">
        <x:v>8</x:v>
      </x:c>
      <x:c r="E92" s="890" t="n">
        <x:f>C92+D92</x:f>
        <x:v>15</x:v>
      </x:c>
      <x:c r="F92" s="890" t="str">
        <x:v>1h 초과 + 두 번째 Root 1 Tick</x:v>
      </x:c>
      <x:c r="G92" s="890" t="n">
        <x:v>6</x:v>
      </x:c>
      <x:c r="H92" s="890" t="n">
        <x:v>4</x:v>
      </x:c>
      <x:c r="I92" s="890" t="n">
        <x:v>0</x:v>
      </x:c>
      <x:c r="J92" s="890" t="str">
        <x:v>Cluster 의미 있음</x:v>
      </x:c>
      <x:c r="K92" s="890"/>
      <x:c r="L92" s="890"/>
      <x:c r="M92" s="890"/>
      <x:c r="N92" s="890"/>
      <x:c r="O92" s="890"/>
      <x:c r="P92" s="890"/>
    </x:row>
    <x:row r="93" ht="21.600000381469727" hidden="0" customHeight="1">
      <x:c r="A93" s="890" t="str">
        <x:v>B</x:v>
      </x:c>
      <x:c r="B93" s="890" t="str">
        <x:v>D18</x:v>
      </x:c>
      <x:c r="C93" s="890" t="n">
        <x:v>6.5</x:v>
      </x:c>
      <x:c r="D93" s="890" t="n">
        <x:v>8</x:v>
      </x:c>
      <x:c r="E93" s="890" t="n">
        <x:f>C93+D93</x:f>
        <x:v>14.5</x:v>
      </x:c>
      <x:c r="F93" s="890" t="str">
        <x:v>0.5h 초과 + 두 번째 Root 1 Tick</x:v>
      </x:c>
      <x:c r="G93" s="890" t="n">
        <x:v>6</x:v>
      </x:c>
      <x:c r="H93" s="890" t="n">
        <x:v>4</x:v>
      </x:c>
      <x:c r="I93" s="890" t="n">
        <x:v>0</x:v>
      </x:c>
      <x:c r="J93" s="890" t="str">
        <x:v>Cluster 의미 있음</x:v>
      </x:c>
      <x:c r="K93" s="890"/>
      <x:c r="L93" s="890"/>
      <x:c r="M93" s="890"/>
      <x:c r="N93" s="890"/>
      <x:c r="O93" s="890"/>
      <x:c r="P93" s="890"/>
    </x:row>
    <x:row r="94" ht="21.600000381469727" hidden="0" customHeight="1">
      <x:c r="A94" s="890" t="str">
        <x:v>C</x:v>
      </x:c>
      <x:c r="B94" s="890" t="str">
        <x:v>D17</x:v>
      </x:c>
      <x:c r="C94" s="890" t="n">
        <x:v>6.5</x:v>
      </x:c>
      <x:c r="D94" s="890" t="n">
        <x:v>8</x:v>
      </x:c>
      <x:c r="E94" s="890" t="n">
        <x:f>C94+D94</x:f>
        <x:v>14.5</x:v>
      </x:c>
      <x:c r="F94" s="890" t="str">
        <x:v>0.5h 초과 + 두 번째 Root 1 Tick</x:v>
      </x:c>
      <x:c r="G94" s="890" t="n">
        <x:v>6</x:v>
      </x:c>
      <x:c r="H94" s="890" t="n">
        <x:v>4</x:v>
      </x:c>
      <x:c r="I94" s="890" t="n">
        <x:v>0</x:v>
      </x:c>
      <x:c r="J94" s="890" t="str">
        <x:v>Cluster 의미 있음</x:v>
      </x:c>
      <x:c r="K94" s="890"/>
      <x:c r="L94" s="890"/>
      <x:c r="M94" s="890"/>
      <x:c r="N94" s="890"/>
      <x:c r="O94" s="890"/>
      <x:c r="P94" s="890"/>
    </x:row>
    <x:row r="95" ht="15" hidden="0" customHeight="1">
      <x:c r="A95" s="890"/>
      <x:c r="B95" s="890"/>
      <x:c r="C95" s="890"/>
      <x:c r="D95" s="890"/>
      <x:c r="E95" s="890"/>
      <x:c r="F95" s="890"/>
      <x:c r="G95" s="890"/>
      <x:c r="H95" s="890"/>
      <x:c r="I95" s="890"/>
      <x:c r="J95" s="890"/>
      <x:c r="K95" s="890"/>
      <x:c r="L95" s="890"/>
      <x:c r="M95" s="890"/>
      <x:c r="N95" s="890"/>
      <x:c r="O95" s="890"/>
      <x:c r="P95" s="890"/>
    </x:row>
    <x:row r="96" ht="15" hidden="0" customHeight="1">
      <x:c r="A96" s="890" t="str">
        <x:v>결론: Cluster Day가 D16/D17/D18 어느 날로 이동해도, 기술/전문가가 없는 4h+4h 직접 대응은 그날의 기존 콘텐츠와 합쳐 14h를 넘긴다. 따라서 Pattern 변화가 단순 연출 차이가 아니라 실제로 '어느 날 무엇을 포기하거나 1 Tick을 감수할지'를 바꾼다. 기술8은 4h 내 두 건을 직접 끝내고, 강인함8은 한 건을 빠르게 처리해 한 Tick을 선택적으로 감수하며, 관계투자는 NPC 병렬처리로 이 문제를 푼다.</x:v>
      </x:c>
      <x:c r="B96" s="890"/>
      <x:c r="C96" s="890"/>
      <x:c r="D96" s="890"/>
      <x:c r="E96" s="890"/>
      <x:c r="F96" s="890"/>
      <x:c r="G96" s="890"/>
      <x:c r="H96" s="890"/>
      <x:c r="I96" s="890"/>
      <x:c r="J96" s="890"/>
      <x:c r="K96" s="890"/>
      <x:c r="L96" s="890"/>
      <x:c r="M96" s="890"/>
      <x:c r="N96" s="890"/>
      <x:c r="O96" s="890"/>
      <x:c r="P96" s="890"/>
    </x:row>
    <x:row r="97">
      <x:c r="A97" s="285"/>
      <x:c r="B97" s="285"/>
      <x:c r="C97" s="285"/>
      <x:c r="D97" s="285"/>
      <x:c r="E97" s="285"/>
      <x:c r="F97" s="285"/>
      <x:c r="G97" s="285"/>
      <x:c r="H97" s="285"/>
      <x:c r="I97" s="285"/>
      <x:c r="J97" s="285"/>
    </x:row>
    <x:row r="98">
      <x:c r="A98" s="285"/>
      <x:c r="B98" s="285"/>
      <x:c r="C98" s="285"/>
      <x:c r="D98" s="285"/>
      <x:c r="E98" s="285"/>
      <x:c r="F98" s="285"/>
      <x:c r="G98" s="285"/>
      <x:c r="H98" s="285"/>
      <x:c r="I98" s="285"/>
      <x:c r="J98" s="285"/>
    </x:row>
    <x:row r="99">
      <x:c r="A99" s="285"/>
      <x:c r="B99" s="285"/>
      <x:c r="C99" s="285"/>
      <x:c r="D99" s="285"/>
      <x:c r="E99" s="285"/>
      <x:c r="F99" s="285"/>
      <x:c r="G99" s="285"/>
      <x:c r="H99" s="285"/>
      <x:c r="I99" s="285"/>
      <x:c r="J99" s="285"/>
    </x:row>
  </x:sheetData>
  <x:mergeCells>
    <x:mergeCell ref="A1:P1"/>
    <x:mergeCell ref="A2:P2"/>
    <x:mergeCell ref="A4:P4"/>
    <x:mergeCell ref="A14:P14"/>
    <x:mergeCell ref="A22:P22"/>
    <x:mergeCell ref="A34:P34"/>
    <x:mergeCell ref="A46:P46"/>
    <x:mergeCell ref="A58:P58"/>
    <x:mergeCell ref="A70:P70"/>
    <x:mergeCell ref="A79:P79"/>
    <x:mergeCell ref="J14:P14"/>
    <x:mergeCell ref="A90:P90"/>
    <x:mergeCell ref="A96:J99"/>
  </x:mergeCells>
  <x:pageMargins left="0.7" right="0.7" top="0.75" bottom="0.75" header="0.3" footer="0.3"/>
  <x:drawing xmlns:r="http://schemas.openxmlformats.org/officeDocument/2006/relationships" r:id="Rb9a137fa58a844dc"/>
</x:worksheet>
</file>

<file path=xl/worksheets/sheet1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6" hidden="0" customWidth="1"/>
    <x:col min="12" max="12" width="26" hidden="0" customWidth="1"/>
    <x:col min="13" max="13" width="14" hidden="0" customWidth="1"/>
    <x:col min="14" max="14" width="14" hidden="0" customWidth="1"/>
    <x:col min="15" max="15" width="14" hidden="0" customWidth="1"/>
    <x:col min="16" max="16" width="18" hidden="0" customWidth="1"/>
  </x:cols>
  <x:sheetData>
    <x:row r="1" ht="30" hidden="0" customHeight="1">
      <x:c r="A1" s="905" t="str">
        <x:v>W1~W3 Facility Transition — Repair Investment / D15 Start / Storm Buffer (v3.1 baseline preserved)</x:v>
      </x:c>
      <x:c r="B1" s="905"/>
      <x:c r="C1" s="905"/>
      <x:c r="D1" s="905"/>
      <x:c r="E1" s="905"/>
      <x:c r="F1" s="905"/>
      <x:c r="G1" s="905"/>
      <x:c r="H1" s="905"/>
      <x:c r="I1" s="905"/>
      <x:c r="J1" s="905"/>
      <x:c r="K1" s="905"/>
      <x:c r="L1" s="905"/>
      <x:c r="M1" s="905"/>
      <x:c r="N1" s="905"/>
      <x:c r="O1" s="905"/>
      <x:c r="P1" s="292"/>
    </x:row>
    <x:row r="2" ht="42" hidden="0" customHeight="1">
      <x:c r="A2" s="908" t="str">
        <x:v>v3.1 Canon Sync에서는 수송선 계산을 재설계하지 않는다. W1 Standard Repair 5회(D3~D7 하루 1회) + W2 Standard Repair 7회(D8~D14 하루 1회), 시설별 Integrity 시작값/수리효율/Repair Profile/Ending 역산은 v3.0 기준을 유지한다. W3 최신 2/2/3 Wave Director와 D19 Boss 결과는 15_W3BossRebalance를 우선 참고.</x:v>
      </x:c>
      <x:c r="B2" s="908"/>
      <x:c r="C2" s="908"/>
      <x:c r="D2" s="908"/>
      <x:c r="E2" s="908"/>
      <x:c r="F2" s="908"/>
      <x:c r="G2" s="908"/>
      <x:c r="H2" s="908"/>
      <x:c r="I2" s="908"/>
      <x:c r="J2" s="908"/>
      <x:c r="K2" s="908"/>
      <x:c r="L2" s="908"/>
      <x:c r="M2" s="908"/>
      <x:c r="N2" s="908"/>
      <x:c r="O2" s="908"/>
      <x:c r="P2" s="295"/>
    </x:row>
    <x:row r="3" ht="15" hidden="0" customHeight="1">
      <x:c r="A3" s="890"/>
      <x:c r="B3" s="890"/>
      <x:c r="C3" s="890"/>
      <x:c r="D3" s="890"/>
      <x:c r="E3" s="890"/>
      <x:c r="F3" s="890"/>
      <x:c r="G3" s="890"/>
      <x:c r="H3" s="890"/>
      <x:c r="I3" s="890"/>
      <x:c r="J3" s="890"/>
      <x:c r="K3" s="890"/>
      <x:c r="L3" s="890"/>
      <x:c r="M3" s="890"/>
      <x:c r="N3" s="890"/>
      <x:c r="O3" s="890"/>
    </x:row>
    <x:row r="4" ht="26" hidden="0" customHeight="1">
      <x:c r="A4" s="911" t="str">
        <x:v>1. 공통 입력 / D13 온실 후유증</x:v>
      </x:c>
      <x:c r="B4" s="911"/>
      <x:c r="C4" s="911"/>
      <x:c r="D4" s="911"/>
      <x:c r="E4" s="911"/>
      <x:c r="F4" s="911"/>
      <x:c r="G4" s="911"/>
      <x:c r="H4" s="911"/>
      <x:c r="I4" s="911"/>
      <x:c r="J4" s="911"/>
      <x:c r="K4" s="911"/>
      <x:c r="L4" s="911"/>
      <x:c r="M4" s="911"/>
      <x:c r="N4" s="911"/>
      <x:c r="O4" s="911"/>
      <x:c r="P4" s="296"/>
    </x:row>
    <x:row r="5" ht="30" hidden="0" customHeight="1">
      <x:c r="A5" s="916" t="str">
        <x:v>항목</x:v>
      </x:c>
      <x:c r="B5" s="916" t="str">
        <x:v>값</x:v>
      </x:c>
      <x:c r="C5" s="916" t="str">
        <x:v>근거/의미</x:v>
      </x:c>
      <x:c r="D5" s="916" t="str">
        <x:v>상태</x:v>
      </x:c>
      <x:c r="E5" s="916"/>
      <x:c r="F5" s="916"/>
      <x:c r="G5" s="916"/>
      <x:c r="H5" s="916"/>
      <x:c r="I5" s="916"/>
      <x:c r="J5" s="916"/>
      <x:c r="K5" s="916"/>
      <x:c r="L5" s="916"/>
      <x:c r="M5" s="916"/>
      <x:c r="N5" s="916"/>
      <x:c r="O5" s="916"/>
    </x:row>
    <x:row r="6" ht="21.600000381469727" hidden="0" customHeight="1">
      <x:c r="A6" s="890" t="str">
        <x:v>W1 Standard Repair Slots</x:v>
      </x:c>
      <x:c r="B6" s="890" t="n">
        <x:v>5</x:v>
      </x:c>
      <x:c r="C6" s="890" t="str">
        <x:v>D3~7 하루 1회 authored repair</x:v>
      </x:c>
      <x:c r="D6" s="890" t="str">
        <x:v>확정 콘텐츠 기준 / v3.1 보존</x:v>
      </x:c>
      <x:c r="E6" s="890"/>
      <x:c r="F6" s="890"/>
      <x:c r="G6" s="890"/>
      <x:c r="H6" s="890"/>
      <x:c r="I6" s="890"/>
      <x:c r="J6" s="890"/>
      <x:c r="K6" s="890"/>
      <x:c r="L6" s="890"/>
      <x:c r="M6" s="890"/>
      <x:c r="N6" s="890"/>
      <x:c r="O6" s="890"/>
    </x:row>
    <x:row r="7" ht="21.600000381469727" hidden="0" customHeight="1">
      <x:c r="A7" s="890" t="str">
        <x:v>W2 Standard Repair Slots</x:v>
      </x:c>
      <x:c r="B7" s="890" t="n">
        <x:v>7</x:v>
      </x:c>
      <x:c r="C7" s="890" t="str">
        <x:v>D8~14 하루 1회 authored repair</x:v>
      </x:c>
      <x:c r="D7" s="890" t="str">
        <x:v>확정 콘텐츠 기준 / v3.1 보존</x:v>
      </x:c>
      <x:c r="E7" s="890"/>
      <x:c r="F7" s="890"/>
      <x:c r="G7" s="890"/>
      <x:c r="H7" s="890"/>
      <x:c r="I7" s="890"/>
      <x:c r="J7" s="890"/>
      <x:c r="K7" s="890"/>
      <x:c r="L7" s="890"/>
      <x:c r="M7" s="890"/>
      <x:c r="N7" s="890"/>
      <x:c r="O7" s="890"/>
    </x:row>
    <x:row r="8" ht="15" hidden="0" customHeight="1">
      <x:c r="A8" s="890" t="str">
        <x:v>전체 최대 Slots</x:v>
      </x:c>
      <x:c r="B8" s="890" t="n">
        <x:f>B6+B7</x:f>
        <x:v>12</x:v>
      </x:c>
      <x:c r="C8" s="890" t="str">
        <x:v>W1+W2</x:v>
      </x:c>
      <x:c r="D8" s="890"/>
      <x:c r="E8" s="890"/>
      <x:c r="F8" s="890"/>
      <x:c r="G8" s="890"/>
      <x:c r="H8" s="890"/>
      <x:c r="I8" s="890"/>
      <x:c r="J8" s="890"/>
      <x:c r="K8" s="890"/>
      <x:c r="L8" s="890"/>
      <x:c r="M8" s="890"/>
      <x:c r="N8" s="890"/>
      <x:c r="O8" s="890"/>
    </x:row>
    <x:row r="9" ht="21.600000381469727" hidden="0" customHeight="1">
      <x:c r="A9" s="890" t="str">
        <x:v>5-Max 수리 효율</x:v>
      </x:c>
      <x:c r="B9" s="890" t="n">
        <x:v>1</x:v>
      </x:c>
      <x:c r="C9" s="890" t="str">
        <x:v>Standard Repair 1회 = +1</x:v>
      </x:c>
      <x:c r="D9" s="890" t="str">
        <x:v>TEMP</x:v>
      </x:c>
      <x:c r="E9" s="890"/>
      <x:c r="F9" s="890"/>
      <x:c r="G9" s="890"/>
      <x:c r="H9" s="890"/>
      <x:c r="I9" s="890"/>
      <x:c r="J9" s="890"/>
      <x:c r="K9" s="890"/>
      <x:c r="L9" s="890"/>
      <x:c r="M9" s="890"/>
      <x:c r="N9" s="890"/>
      <x:c r="O9" s="890"/>
    </x:row>
    <x:row r="10" ht="21.600000381469727" hidden="0" customHeight="1">
      <x:c r="A10" s="890" t="str">
        <x:v>Hull 수리 효율</x:v>
      </x:c>
      <x:c r="B10" s="890" t="n">
        <x:v>4</x:v>
      </x:c>
      <x:c r="C10" s="890" t="str">
        <x:v>Standard Repair 1회 = +4 Hull</x:v>
      </x:c>
      <x:c r="D10" s="890" t="str">
        <x:v>TEMP</x:v>
      </x:c>
      <x:c r="E10" s="890"/>
      <x:c r="F10" s="890"/>
      <x:c r="G10" s="890"/>
      <x:c r="H10" s="890"/>
      <x:c r="I10" s="890"/>
      <x:c r="J10" s="890"/>
      <x:c r="K10" s="890"/>
      <x:c r="L10" s="890"/>
      <x:c r="M10" s="890"/>
      <x:c r="N10" s="890"/>
      <x:c r="O10" s="890"/>
    </x:row>
    <x:row r="11" ht="64.80000305175781" hidden="0" customHeight="1">
      <x:c r="A11" s="890" t="str">
        <x:v>D13 온실 사건 직후</x:v>
      </x:c>
      <x:c r="B11" s="890" t="n">
        <x:v>3</x:v>
      </x:c>
      <x:c r="C11" s="890" t="str">
        <x:v>샘이 온실 인력을 남겨 안정화에는 성공하지만 완전 정상(5)은 아님. Greenhouse 5→3 제안.</x:v>
      </x:c>
      <x:c r="D11" s="890" t="str">
        <x:v>TEMP 추천</x:v>
      </x:c>
      <x:c r="E11" s="890"/>
      <x:c r="F11" s="890"/>
      <x:c r="G11" s="890"/>
      <x:c r="H11" s="890"/>
      <x:c r="I11" s="890"/>
      <x:c r="J11" s="890"/>
      <x:c r="K11" s="890"/>
      <x:c r="L11" s="890"/>
      <x:c r="M11" s="890"/>
      <x:c r="N11" s="890"/>
      <x:c r="O11" s="890"/>
    </x:row>
    <x:row r="12" ht="15" hidden="0" customHeight="1">
      <x:c r="A12" s="890"/>
      <x:c r="B12" s="890"/>
      <x:c r="C12" s="890"/>
      <x:c r="D12" s="890"/>
      <x:c r="E12" s="890"/>
      <x:c r="F12" s="890"/>
      <x:c r="G12" s="890"/>
      <x:c r="H12" s="890"/>
      <x:c r="I12" s="890"/>
      <x:c r="J12" s="890"/>
      <x:c r="K12" s="890"/>
      <x:c r="L12" s="890"/>
      <x:c r="M12" s="890"/>
      <x:c r="N12" s="890"/>
      <x:c r="O12" s="890"/>
    </x:row>
    <x:row r="13" ht="26" hidden="0" customHeight="1">
      <x:c r="A13" s="911" t="str">
        <x:v>2. Repair Profile — 무엇을 고쳤는가</x:v>
      </x:c>
      <x:c r="B13" s="911"/>
      <x:c r="C13" s="911"/>
      <x:c r="D13" s="911"/>
      <x:c r="E13" s="911"/>
      <x:c r="F13" s="911"/>
      <x:c r="G13" s="911"/>
      <x:c r="H13" s="911"/>
      <x:c r="I13" s="911"/>
      <x:c r="J13" s="911"/>
      <x:c r="K13" s="911"/>
      <x:c r="L13" s="911"/>
      <x:c r="M13" s="911"/>
      <x:c r="N13" s="911"/>
      <x:c r="O13" s="911"/>
      <x:c r="P13" s="296"/>
    </x:row>
    <x:row r="14" ht="30" hidden="0" customHeight="1">
      <x:c r="A14" s="916" t="str">
        <x:v>Profile</x:v>
      </x:c>
      <x:c r="B14" s="916" t="str">
        <x:v>W1 수리</x:v>
      </x:c>
      <x:c r="C14" s="916" t="str">
        <x:v>W2 수리</x:v>
      </x:c>
      <x:c r="D14" s="916" t="str">
        <x:v>총 수리</x:v>
      </x:c>
      <x:c r="E14" s="916" t="str">
        <x:v>Hull</x:v>
      </x:c>
      <x:c r="F14" s="916" t="str">
        <x:v>Bridge</x:v>
      </x:c>
      <x:c r="G14" s="916" t="str">
        <x:v>Engine</x:v>
      </x:c>
      <x:c r="H14" s="916" t="str">
        <x:v>Oxygen</x:v>
      </x:c>
      <x:c r="I14" s="916" t="str">
        <x:v>Research</x:v>
      </x:c>
      <x:c r="J14" s="916" t="str">
        <x:v>Living</x:v>
      </x:c>
      <x:c r="K14" s="916" t="str">
        <x:v>의도</x:v>
      </x:c>
      <x:c r="L14" s="916" t="str">
        <x:v>W1 수리시간</x:v>
      </x:c>
      <x:c r="M14" s="916" t="str">
        <x:v>W2 수리시간</x:v>
      </x:c>
      <x:c r="N14" s="916"/>
      <x:c r="O14" s="916"/>
    </x:row>
    <x:row r="15" ht="15" hidden="0" customHeight="1">
      <x:c r="A15" s="890" t="str">
        <x:v>Shelter Minimum</x:v>
      </x:c>
      <x:c r="B15" s="890" t="n">
        <x:v>0</x:v>
      </x:c>
      <x:c r="C15" s="890" t="n">
        <x:v>3</x:v>
      </x:c>
      <x:c r="D15" s="890" t="n">
        <x:f>B15+C15</x:f>
        <x:v>3</x:v>
      </x:c>
      <x:c r="E15" s="890" t="n">
        <x:v>1</x:v>
      </x:c>
      <x:c r="F15" s="890" t="n">
        <x:v>0</x:v>
      </x:c>
      <x:c r="G15" s="890" t="n">
        <x:v>0</x:v>
      </x:c>
      <x:c r="H15" s="890" t="n">
        <x:v>1</x:v>
      </x:c>
      <x:c r="I15" s="890" t="n">
        <x:v>0</x:v>
      </x:c>
      <x:c r="J15" s="890" t="n">
        <x:v>1</x:v>
      </x:c>
      <x:c r="K15" s="890" t="str">
        <x:v>Bad2만 피하는 최소 피난처</x:v>
      </x:c>
      <x:c r="L15" s="895" t="n">
        <x:f>B15*2</x:f>
        <x:v>0</x:v>
      </x:c>
      <x:c r="M15" s="895" t="n">
        <x:f>C15*2</x:f>
        <x:v>6</x:v>
      </x:c>
      <x:c r="N15" s="890"/>
      <x:c r="O15" s="890"/>
    </x:row>
    <x:row r="16" ht="15" hidden="0" customHeight="1">
      <x:c r="A16" s="890" t="str">
        <x:v>Departure Normal</x:v>
      </x:c>
      <x:c r="B16" s="890" t="n">
        <x:v>0</x:v>
      </x:c>
      <x:c r="C16" s="890" t="n">
        <x:v>5</x:v>
      </x:c>
      <x:c r="D16" s="890" t="n">
        <x:f>B16+C16</x:f>
        <x:v>5</x:v>
      </x:c>
      <x:c r="E16" s="890" t="n">
        <x:v>2</x:v>
      </x:c>
      <x:c r="F16" s="890" t="n">
        <x:v>0</x:v>
      </x:c>
      <x:c r="G16" s="890" t="n">
        <x:v>1</x:v>
      </x:c>
      <x:c r="H16" s="890" t="n">
        <x:v>1</x:v>
      </x:c>
      <x:c r="I16" s="890" t="n">
        <x:v>0</x:v>
      </x:c>
      <x:c r="J16" s="890" t="n">
        <x:v>1</x:v>
      </x:c>
      <x:c r="K16" s="890" t="str">
        <x:v>D15부터 출항 Normal 최소선</x:v>
      </x:c>
      <x:c r="L16" s="895" t="n">
        <x:f>B16*2</x:f>
        <x:v>0</x:v>
      </x:c>
      <x:c r="M16" s="895" t="n">
        <x:f>C16*2</x:f>
        <x:v>10</x:v>
      </x:c>
      <x:c r="N16" s="890"/>
      <x:c r="O16" s="890"/>
    </x:row>
    <x:row r="17" ht="21.600000381469727" hidden="0" customHeight="1">
      <x:c r="A17" s="890" t="str">
        <x:v>Living Buffer</x:v>
      </x:c>
      <x:c r="B17" s="890" t="n">
        <x:v>0</x:v>
      </x:c>
      <x:c r="C17" s="890" t="n">
        <x:v>6</x:v>
      </x:c>
      <x:c r="D17" s="890" t="n">
        <x:f>B17+C17</x:f>
        <x:v>6</x:v>
      </x:c>
      <x:c r="E17" s="890" t="n">
        <x:v>2</x:v>
      </x:c>
      <x:c r="F17" s="890" t="n">
        <x:v>0</x:v>
      </x:c>
      <x:c r="G17" s="890" t="n">
        <x:v>1</x:v>
      </x:c>
      <x:c r="H17" s="890" t="n">
        <x:v>1</x:v>
      </x:c>
      <x:c r="I17" s="890" t="n">
        <x:v>0</x:v>
      </x:c>
      <x:c r="J17" s="890" t="n">
        <x:v>2</x:v>
      </x:c>
      <x:c r="K17" s="890" t="str">
        <x:v>Departure Normal + D18 Living 1 Tick 버퍼</x:v>
      </x:c>
      <x:c r="L17" s="895" t="n">
        <x:f>B17*2</x:f>
        <x:v>0</x:v>
      </x:c>
      <x:c r="M17" s="895" t="n">
        <x:f>C17*2</x:f>
        <x:v>12</x:v>
      </x:c>
      <x:c r="N17" s="890"/>
      <x:c r="O17" s="890"/>
    </x:row>
    <x:row r="18" ht="15" hidden="0" customHeight="1">
      <x:c r="A18" s="890" t="str">
        <x:v>Storm Buffer</x:v>
      </x:c>
      <x:c r="B18" s="890" t="n">
        <x:v>1</x:v>
      </x:c>
      <x:c r="C18" s="890" t="n">
        <x:v>7</x:v>
      </x:c>
      <x:c r="D18" s="890" t="n">
        <x:f>B18+C18</x:f>
        <x:v>8</x:v>
      </x:c>
      <x:c r="E18" s="890" t="n">
        <x:v>2</x:v>
      </x:c>
      <x:c r="F18" s="890" t="n">
        <x:v>0</x:v>
      </x:c>
      <x:c r="G18" s="890" t="n">
        <x:v>2</x:v>
      </x:c>
      <x:c r="H18" s="890" t="n">
        <x:v>2</x:v>
      </x:c>
      <x:c r="I18" s="890" t="n">
        <x:v>0</x:v>
      </x:c>
      <x:c r="J18" s="890" t="n">
        <x:v>2</x:v>
      </x:c>
      <x:c r="K18" s="890" t="str">
        <x:v>Cluster 1 Tick을 흡수하는 W3 생존 특화</x:v>
      </x:c>
      <x:c r="L18" s="895" t="n">
        <x:f>B18*2</x:f>
        <x:v>2</x:v>
      </x:c>
      <x:c r="M18" s="895" t="n">
        <x:f>C18*2</x:f>
        <x:v>14</x:v>
      </x:c>
      <x:c r="N18" s="890"/>
      <x:c r="O18" s="890"/>
    </x:row>
    <x:row r="19" ht="21.600000381469727" hidden="0" customHeight="1">
      <x:c r="A19" s="890" t="str">
        <x:v>Hidden/Recheck</x:v>
      </x:c>
      <x:c r="B19" s="890" t="n">
        <x:v>3</x:v>
      </x:c>
      <x:c r="C19" s="890" t="n">
        <x:v>5</x:v>
      </x:c>
      <x:c r="D19" s="890" t="n">
        <x:f>B19+C19</x:f>
        <x:v>8</x:v>
      </x:c>
      <x:c r="E19" s="890" t="n">
        <x:v>2</x:v>
      </x:c>
      <x:c r="F19" s="890" t="n">
        <x:v>0</x:v>
      </x:c>
      <x:c r="G19" s="890" t="n">
        <x:v>1</x:v>
      </x:c>
      <x:c r="H19" s="890" t="n">
        <x:v>1</x:v>
      </x:c>
      <x:c r="I19" s="890" t="n">
        <x:v>3</x:v>
      </x:c>
      <x:c r="J19" s="890" t="n">
        <x:v>1</x:v>
      </x:c>
      <x:c r="K19" s="890" t="str">
        <x:v>Research5 + Normal, 재점검/Hidden 특화</x:v>
      </x:c>
      <x:c r="L19" s="895" t="n">
        <x:f>B19*2</x:f>
        <x:v>6</x:v>
      </x:c>
      <x:c r="M19" s="895" t="n">
        <x:f>C19*2</x:f>
        <x:v>10</x:v>
      </x:c>
      <x:c r="N19" s="890"/>
      <x:c r="O19" s="890"/>
    </x:row>
    <x:row r="20" ht="15" hidden="0" customHeight="1">
      <x:c r="A20" s="890" t="str">
        <x:v>Maximum Ship Good</x:v>
      </x:c>
      <x:c r="B20" s="890" t="n">
        <x:v>5</x:v>
      </x:c>
      <x:c r="C20" s="890" t="n">
        <x:v>7</x:v>
      </x:c>
      <x:c r="D20" s="890" t="n">
        <x:f>B20+C20</x:f>
        <x:v>12</x:v>
      </x:c>
      <x:c r="E20" s="890" t="n">
        <x:v>3</x:v>
      </x:c>
      <x:c r="F20" s="890" t="n">
        <x:v>2</x:v>
      </x:c>
      <x:c r="G20" s="890" t="n">
        <x:v>2</x:v>
      </x:c>
      <x:c r="H20" s="890" t="n">
        <x:v>2</x:v>
      </x:c>
      <x:c r="I20" s="890" t="n">
        <x:v>0</x:v>
      </x:c>
      <x:c r="J20" s="890" t="n">
        <x:v>3</x:v>
      </x:c>
      <x:c r="K20" s="890" t="str">
        <x:v>12개 Repair Slot 전부 수송선에 투자</x:v>
      </x:c>
      <x:c r="L20" s="895" t="n">
        <x:f>B20*2</x:f>
        <x:v>10</x:v>
      </x:c>
      <x:c r="M20" s="895" t="n">
        <x:f>C20*2</x:f>
        <x:v>14</x:v>
      </x:c>
      <x:c r="N20" s="890"/>
      <x:c r="O20" s="890"/>
    </x:row>
    <x:row r="21" ht="15" hidden="0" customHeight="1">
      <x:c r="A21" s="890"/>
      <x:c r="B21" s="890"/>
      <x:c r="C21" s="890"/>
      <x:c r="D21" s="890"/>
      <x:c r="E21" s="890"/>
      <x:c r="F21" s="890"/>
      <x:c r="G21" s="890"/>
      <x:c r="H21" s="890"/>
      <x:c r="I21" s="890"/>
      <x:c r="J21" s="890"/>
      <x:c r="K21" s="890"/>
      <x:c r="L21" s="890"/>
      <x:c r="M21" s="890"/>
      <x:c r="N21" s="890"/>
      <x:c r="O21" s="890"/>
    </x:row>
    <x:row r="22" ht="26" hidden="0" customHeight="1">
      <x:c r="A22" s="911" t="str">
        <x:v>3. 계산된 D15 시작 시설값 — D13 Greenhouse 3/5 TEMP 적용</x:v>
      </x:c>
      <x:c r="B22" s="911"/>
      <x:c r="C22" s="911"/>
      <x:c r="D22" s="911"/>
      <x:c r="E22" s="911"/>
      <x:c r="F22" s="911"/>
      <x:c r="G22" s="911"/>
      <x:c r="H22" s="911"/>
      <x:c r="I22" s="911"/>
      <x:c r="J22" s="911"/>
      <x:c r="K22" s="911"/>
      <x:c r="L22" s="911"/>
      <x:c r="M22" s="911"/>
      <x:c r="N22" s="911"/>
      <x:c r="O22" s="911"/>
      <x:c r="P22" s="296"/>
    </x:row>
    <x:row r="23" ht="30" hidden="0" customHeight="1">
      <x:c r="A23" s="916" t="str">
        <x:v>Profile</x:v>
      </x:c>
      <x:c r="B23" s="916" t="str">
        <x:v>Hull</x:v>
      </x:c>
      <x:c r="C23" s="916" t="str">
        <x:v>Bridge</x:v>
      </x:c>
      <x:c r="D23" s="916" t="str">
        <x:v>Engine</x:v>
      </x:c>
      <x:c r="E23" s="916" t="str">
        <x:v>Oxygen</x:v>
      </x:c>
      <x:c r="F23" s="916" t="str">
        <x:v>Research</x:v>
      </x:c>
      <x:c r="G23" s="916" t="str">
        <x:v>Freezer</x:v>
      </x:c>
      <x:c r="H23" s="916" t="str">
        <x:v>Greenhouse</x:v>
      </x:c>
      <x:c r="I23" s="916" t="str">
        <x:v>Living</x:v>
      </x:c>
      <x:c r="J23" s="916" t="str">
        <x:v>Total</x:v>
      </x:c>
      <x:c r="K23" s="916" t="str">
        <x:v>Shelter Ready</x:v>
      </x:c>
      <x:c r="L23" s="916" t="str">
        <x:v>D15 ShipCondition</x:v>
      </x:c>
      <x:c r="M23" s="916" t="str">
        <x:v>Repair Slot 사용률</x:v>
      </x:c>
      <x:c r="N23" s="916" t="str">
        <x:v>W2만으로 가능?</x:v>
      </x:c>
      <x:c r="O23" s="916" t="str">
        <x:v>Benjamin 전환 Proxy</x:v>
      </x:c>
    </x:row>
    <x:row r="24" ht="15" hidden="0" customHeight="1">
      <x:c r="A24" s="890" t="str">
        <x:f>A15</x:f>
        <x:v>Shelter Minimum</x:v>
      </x:c>
      <x:c r="B24" s="890" t="n">
        <x:f>MIN('08_ShipDesign'!$C$15,'08_ShipDesign'!$B$15+4*E15)</x:f>
        <x:v>9</x:v>
      </x:c>
      <x:c r="C24" s="890" t="n">
        <x:f>MIN('08_ShipDesign'!$C$16,'08_ShipDesign'!$B$16+F15)</x:f>
        <x:v>2</x:v>
      </x:c>
      <x:c r="D24" s="890" t="n">
        <x:f>MIN('08_ShipDesign'!$C$17,'08_ShipDesign'!$B$17+G15)</x:f>
        <x:v>2</x:v>
      </x:c>
      <x:c r="E24" s="890" t="n">
        <x:f>MIN('08_ShipDesign'!$C$18,'08_ShipDesign'!$B$18+H15)</x:f>
        <x:v>3</x:v>
      </x:c>
      <x:c r="F24" s="890" t="n">
        <x:f>MIN('08_ShipDesign'!$C$19,'08_ShipDesign'!$B$19+I15)</x:f>
        <x:v>2</x:v>
      </x:c>
      <x:c r="G24" s="890" t="n">
        <x:f>'08_ShipDesign'!$B$20</x:f>
        <x:v>5</x:v>
      </x:c>
      <x:c r="H24" s="890" t="n">
        <x:f>$B$11</x:f>
        <x:v>3</x:v>
      </x:c>
      <x:c r="I24" s="890" t="n">
        <x:f>MIN('08_ShipDesign'!$C$22,'08_ShipDesign'!$B$22+J15)</x:f>
        <x:v>3</x:v>
      </x:c>
      <x:c r="J24" s="890" t="n">
        <x:f>SUM(B24:I24)</x:f>
        <x:v>29</x:v>
      </x:c>
      <x:c r="K24" s="890" t="str">
        <x:f>IF(AND(B24&gt;=8,D24&gt;=2,E24&gt;=3,I24&gt;=3),"PASS","FAIL")</x:f>
        <x:v>PASS</x:v>
      </x:c>
      <x:c r="L24" s="890" t="str">
        <x:f>IF(OR(G24&lt;=0,H24&lt;=0,C24&lt;1,D24&lt;2,E24&lt;2),"항해 불가",IF(AND(B24&gt;=15,C24&gt;=4,D24&gt;=4,E24&gt;=4,J24&gt;=44),"좋음",IF(AND(B24&gt;=10,C24&gt;=2,D24&gt;=3,E24&gt;=3,J24&gt;=34),"보통","수리 필요")))</x:f>
        <x:v>수리 필요</x:v>
      </x:c>
      <x:c r="M24" s="923" t="n">
        <x:f>D15/$B$8</x:f>
        <x:v>0.25</x:v>
      </x:c>
      <x:c r="N24" s="890" t="str">
        <x:f>IF(D15&lt;=7,"예","아니오 (W1 수리 필요)")</x:f>
        <x:v>예</x:v>
      </x:c>
      <x:c r="O24" s="890" t="str">
        <x:f>IF(AND(B24&gt;=10,(--(C24&gt;=3)+--(D24&gt;=3)+--(E24&gt;=3)+--(F24&gt;=3)+--(I24&gt;=3))&gt;=3),"OPEN","LOCKED")</x:f>
        <x:v>LOCKED</x:v>
      </x:c>
    </x:row>
    <x:row r="25" ht="15" hidden="0" customHeight="1">
      <x:c r="A25" s="890" t="str">
        <x:f>A16</x:f>
        <x:v>Departure Normal</x:v>
      </x:c>
      <x:c r="B25" s="890" t="n">
        <x:f>MIN('08_ShipDesign'!$C$15,'08_ShipDesign'!$B$15+4*E16)</x:f>
        <x:v>13</x:v>
      </x:c>
      <x:c r="C25" s="890" t="n">
        <x:f>MIN('08_ShipDesign'!$C$16,'08_ShipDesign'!$B$16+F16)</x:f>
        <x:v>2</x:v>
      </x:c>
      <x:c r="D25" s="890" t="n">
        <x:f>MIN('08_ShipDesign'!$C$17,'08_ShipDesign'!$B$17+G16)</x:f>
        <x:v>3</x:v>
      </x:c>
      <x:c r="E25" s="890" t="n">
        <x:f>MIN('08_ShipDesign'!$C$18,'08_ShipDesign'!$B$18+H16)</x:f>
        <x:v>3</x:v>
      </x:c>
      <x:c r="F25" s="890" t="n">
        <x:f>MIN('08_ShipDesign'!$C$19,'08_ShipDesign'!$B$19+I16)</x:f>
        <x:v>2</x:v>
      </x:c>
      <x:c r="G25" s="890" t="n">
        <x:f>'08_ShipDesign'!$B$20</x:f>
        <x:v>5</x:v>
      </x:c>
      <x:c r="H25" s="890" t="n">
        <x:f>$B$11</x:f>
        <x:v>3</x:v>
      </x:c>
      <x:c r="I25" s="890" t="n">
        <x:f>MIN('08_ShipDesign'!$C$22,'08_ShipDesign'!$B$22+J16)</x:f>
        <x:v>3</x:v>
      </x:c>
      <x:c r="J25" s="890" t="n">
        <x:f>SUM(B25:I25)</x:f>
        <x:v>34</x:v>
      </x:c>
      <x:c r="K25" s="890" t="str">
        <x:f>IF(AND(B25&gt;=8,D25&gt;=2,E25&gt;=3,I25&gt;=3),"PASS","FAIL")</x:f>
        <x:v>PASS</x:v>
      </x:c>
      <x:c r="L25" s="890" t="str">
        <x:f>IF(OR(G25&lt;=0,H25&lt;=0,C25&lt;1,D25&lt;2,E25&lt;2),"항해 불가",IF(AND(B25&gt;=15,C25&gt;=4,D25&gt;=4,E25&gt;=4,J25&gt;=44),"좋음",IF(AND(B25&gt;=10,C25&gt;=2,D25&gt;=3,E25&gt;=3,J25&gt;=34),"보통","수리 필요")))</x:f>
        <x:v>보통</x:v>
      </x:c>
      <x:c r="M25" s="923" t="n">
        <x:f>D16/$B$8</x:f>
        <x:v>0.4166666666666667</x:v>
      </x:c>
      <x:c r="N25" s="890" t="str">
        <x:f>IF(D16&lt;=7,"예","아니오 (W1 수리 필요)")</x:f>
        <x:v>예</x:v>
      </x:c>
      <x:c r="O25" s="890" t="str">
        <x:f>IF(AND(B25&gt;=10,(--(C25&gt;=3)+--(D25&gt;=3)+--(E25&gt;=3)+--(F25&gt;=3)+--(I25&gt;=3))&gt;=3),"OPEN","LOCKED")</x:f>
        <x:v>OPEN</x:v>
      </x:c>
    </x:row>
    <x:row r="26" ht="15" hidden="0" customHeight="1">
      <x:c r="A26" s="890" t="str">
        <x:f>A17</x:f>
        <x:v>Living Buffer</x:v>
      </x:c>
      <x:c r="B26" s="890" t="n">
        <x:f>MIN('08_ShipDesign'!$C$15,'08_ShipDesign'!$B$15+4*E17)</x:f>
        <x:v>13</x:v>
      </x:c>
      <x:c r="C26" s="890" t="n">
        <x:f>MIN('08_ShipDesign'!$C$16,'08_ShipDesign'!$B$16+F17)</x:f>
        <x:v>2</x:v>
      </x:c>
      <x:c r="D26" s="890" t="n">
        <x:f>MIN('08_ShipDesign'!$C$17,'08_ShipDesign'!$B$17+G17)</x:f>
        <x:v>3</x:v>
      </x:c>
      <x:c r="E26" s="890" t="n">
        <x:f>MIN('08_ShipDesign'!$C$18,'08_ShipDesign'!$B$18+H17)</x:f>
        <x:v>3</x:v>
      </x:c>
      <x:c r="F26" s="890" t="n">
        <x:f>MIN('08_ShipDesign'!$C$19,'08_ShipDesign'!$B$19+I17)</x:f>
        <x:v>2</x:v>
      </x:c>
      <x:c r="G26" s="890" t="n">
        <x:f>'08_ShipDesign'!$B$20</x:f>
        <x:v>5</x:v>
      </x:c>
      <x:c r="H26" s="890" t="n">
        <x:f>$B$11</x:f>
        <x:v>3</x:v>
      </x:c>
      <x:c r="I26" s="890" t="n">
        <x:f>MIN('08_ShipDesign'!$C$22,'08_ShipDesign'!$B$22+J17)</x:f>
        <x:v>4</x:v>
      </x:c>
      <x:c r="J26" s="890" t="n">
        <x:f>SUM(B26:I26)</x:f>
        <x:v>35</x:v>
      </x:c>
      <x:c r="K26" s="890" t="str">
        <x:f>IF(AND(B26&gt;=8,D26&gt;=2,E26&gt;=3,I26&gt;=3),"PASS","FAIL")</x:f>
        <x:v>PASS</x:v>
      </x:c>
      <x:c r="L26" s="890" t="str">
        <x:f>IF(OR(G26&lt;=0,H26&lt;=0,C26&lt;1,D26&lt;2,E26&lt;2),"항해 불가",IF(AND(B26&gt;=15,C26&gt;=4,D26&gt;=4,E26&gt;=4,J26&gt;=44),"좋음",IF(AND(B26&gt;=10,C26&gt;=2,D26&gt;=3,E26&gt;=3,J26&gt;=34),"보통","수리 필요")))</x:f>
        <x:v>보통</x:v>
      </x:c>
      <x:c r="M26" s="923" t="n">
        <x:f>D17/$B$8</x:f>
        <x:v>0.5</x:v>
      </x:c>
      <x:c r="N26" s="890" t="str">
        <x:f>IF(D17&lt;=7,"예","아니오 (W1 수리 필요)")</x:f>
        <x:v>예</x:v>
      </x:c>
      <x:c r="O26" s="890" t="str">
        <x:f>IF(AND(B26&gt;=10,(--(C26&gt;=3)+--(D26&gt;=3)+--(E26&gt;=3)+--(F26&gt;=3)+--(I26&gt;=3))&gt;=3),"OPEN","LOCKED")</x:f>
        <x:v>OPEN</x:v>
      </x:c>
    </x:row>
    <x:row r="27" ht="21.600000381469727" hidden="0" customHeight="1">
      <x:c r="A27" s="890" t="str">
        <x:f>A18</x:f>
        <x:v>Storm Buffer</x:v>
      </x:c>
      <x:c r="B27" s="890" t="n">
        <x:f>MIN('08_ShipDesign'!$C$15,'08_ShipDesign'!$B$15+4*E18)</x:f>
        <x:v>13</x:v>
      </x:c>
      <x:c r="C27" s="890" t="n">
        <x:f>MIN('08_ShipDesign'!$C$16,'08_ShipDesign'!$B$16+F18)</x:f>
        <x:v>2</x:v>
      </x:c>
      <x:c r="D27" s="890" t="n">
        <x:f>MIN('08_ShipDesign'!$C$17,'08_ShipDesign'!$B$17+G18)</x:f>
        <x:v>4</x:v>
      </x:c>
      <x:c r="E27" s="890" t="n">
        <x:f>MIN('08_ShipDesign'!$C$18,'08_ShipDesign'!$B$18+H18)</x:f>
        <x:v>4</x:v>
      </x:c>
      <x:c r="F27" s="890" t="n">
        <x:f>MIN('08_ShipDesign'!$C$19,'08_ShipDesign'!$B$19+I18)</x:f>
        <x:v>2</x:v>
      </x:c>
      <x:c r="G27" s="890" t="n">
        <x:f>'08_ShipDesign'!$B$20</x:f>
        <x:v>5</x:v>
      </x:c>
      <x:c r="H27" s="890" t="n">
        <x:f>$B$11</x:f>
        <x:v>3</x:v>
      </x:c>
      <x:c r="I27" s="890" t="n">
        <x:f>MIN('08_ShipDesign'!$C$22,'08_ShipDesign'!$B$22+J18)</x:f>
        <x:v>4</x:v>
      </x:c>
      <x:c r="J27" s="890" t="n">
        <x:f>SUM(B27:I27)</x:f>
        <x:v>37</x:v>
      </x:c>
      <x:c r="K27" s="890" t="str">
        <x:f>IF(AND(B27&gt;=8,D27&gt;=2,E27&gt;=3,I27&gt;=3),"PASS","FAIL")</x:f>
        <x:v>PASS</x:v>
      </x:c>
      <x:c r="L27" s="890" t="str">
        <x:f>IF(OR(G27&lt;=0,H27&lt;=0,C27&lt;1,D27&lt;2,E27&lt;2),"항해 불가",IF(AND(B27&gt;=15,C27&gt;=4,D27&gt;=4,E27&gt;=4,J27&gt;=44),"좋음",IF(AND(B27&gt;=10,C27&gt;=2,D27&gt;=3,E27&gt;=3,J27&gt;=34),"보통","수리 필요")))</x:f>
        <x:v>보통</x:v>
      </x:c>
      <x:c r="M27" s="923" t="n">
        <x:f>D18/$B$8</x:f>
        <x:v>0.6666666666666666</x:v>
      </x:c>
      <x:c r="N27" s="890" t="str">
        <x:f>IF(D18&lt;=7,"예","아니오 (W1 수리 필요)")</x:f>
        <x:v>아니오 (W1 수리 필요)</x:v>
      </x:c>
      <x:c r="O27" s="890" t="str">
        <x:f>IF(AND(B27&gt;=10,(--(C27&gt;=3)+--(D27&gt;=3)+--(E27&gt;=3)+--(F27&gt;=3)+--(I27&gt;=3))&gt;=3),"OPEN","LOCKED")</x:f>
        <x:v>OPEN</x:v>
      </x:c>
    </x:row>
    <x:row r="28" ht="21.600000381469727" hidden="0" customHeight="1">
      <x:c r="A28" s="890" t="str">
        <x:f>A19</x:f>
        <x:v>Hidden/Recheck</x:v>
      </x:c>
      <x:c r="B28" s="890" t="n">
        <x:f>MIN('08_ShipDesign'!$C$15,'08_ShipDesign'!$B$15+4*E19)</x:f>
        <x:v>13</x:v>
      </x:c>
      <x:c r="C28" s="890" t="n">
        <x:f>MIN('08_ShipDesign'!$C$16,'08_ShipDesign'!$B$16+F19)</x:f>
        <x:v>2</x:v>
      </x:c>
      <x:c r="D28" s="890" t="n">
        <x:f>MIN('08_ShipDesign'!$C$17,'08_ShipDesign'!$B$17+G19)</x:f>
        <x:v>3</x:v>
      </x:c>
      <x:c r="E28" s="890" t="n">
        <x:f>MIN('08_ShipDesign'!$C$18,'08_ShipDesign'!$B$18+H19)</x:f>
        <x:v>3</x:v>
      </x:c>
      <x:c r="F28" s="890" t="n">
        <x:f>MIN('08_ShipDesign'!$C$19,'08_ShipDesign'!$B$19+I19)</x:f>
        <x:v>5</x:v>
      </x:c>
      <x:c r="G28" s="890" t="n">
        <x:f>'08_ShipDesign'!$B$20</x:f>
        <x:v>5</x:v>
      </x:c>
      <x:c r="H28" s="890" t="n">
        <x:f>$B$11</x:f>
        <x:v>3</x:v>
      </x:c>
      <x:c r="I28" s="890" t="n">
        <x:f>MIN('08_ShipDesign'!$C$22,'08_ShipDesign'!$B$22+J19)</x:f>
        <x:v>3</x:v>
      </x:c>
      <x:c r="J28" s="890" t="n">
        <x:f>SUM(B28:I28)</x:f>
        <x:v>37</x:v>
      </x:c>
      <x:c r="K28" s="890" t="str">
        <x:f>IF(AND(B28&gt;=8,D28&gt;=2,E28&gt;=3,I28&gt;=3),"PASS","FAIL")</x:f>
        <x:v>PASS</x:v>
      </x:c>
      <x:c r="L28" s="890" t="str">
        <x:f>IF(OR(G28&lt;=0,H28&lt;=0,C28&lt;1,D28&lt;2,E28&lt;2),"항해 불가",IF(AND(B28&gt;=15,C28&gt;=4,D28&gt;=4,E28&gt;=4,J28&gt;=44),"좋음",IF(AND(B28&gt;=10,C28&gt;=2,D28&gt;=3,E28&gt;=3,J28&gt;=34),"보통","수리 필요")))</x:f>
        <x:v>보통</x:v>
      </x:c>
      <x:c r="M28" s="923" t="n">
        <x:f>D19/$B$8</x:f>
        <x:v>0.6666666666666666</x:v>
      </x:c>
      <x:c r="N28" s="890" t="str">
        <x:f>IF(D19&lt;=7,"예","아니오 (W1 수리 필요)")</x:f>
        <x:v>아니오 (W1 수리 필요)</x:v>
      </x:c>
      <x:c r="O28" s="890" t="str">
        <x:f>IF(AND(B28&gt;=10,(--(C28&gt;=3)+--(D28&gt;=3)+--(E28&gt;=3)+--(F28&gt;=3)+--(I28&gt;=3))&gt;=3),"OPEN","LOCKED")</x:f>
        <x:v>OPEN</x:v>
      </x:c>
    </x:row>
    <x:row r="29" ht="21.600000381469727" hidden="0" customHeight="1">
      <x:c r="A29" s="890" t="str">
        <x:f>A20</x:f>
        <x:v>Maximum Ship Good</x:v>
      </x:c>
      <x:c r="B29" s="890" t="n">
        <x:f>MIN('08_ShipDesign'!$C$15,'08_ShipDesign'!$B$15+4*E20)</x:f>
        <x:v>17</x:v>
      </x:c>
      <x:c r="C29" s="890" t="n">
        <x:f>MIN('08_ShipDesign'!$C$16,'08_ShipDesign'!$B$16+F20)</x:f>
        <x:v>4</x:v>
      </x:c>
      <x:c r="D29" s="890" t="n">
        <x:f>MIN('08_ShipDesign'!$C$17,'08_ShipDesign'!$B$17+G20)</x:f>
        <x:v>4</x:v>
      </x:c>
      <x:c r="E29" s="890" t="n">
        <x:f>MIN('08_ShipDesign'!$C$18,'08_ShipDesign'!$B$18+H20)</x:f>
        <x:v>4</x:v>
      </x:c>
      <x:c r="F29" s="890" t="n">
        <x:f>MIN('08_ShipDesign'!$C$19,'08_ShipDesign'!$B$19+I20)</x:f>
        <x:v>2</x:v>
      </x:c>
      <x:c r="G29" s="890" t="n">
        <x:f>'08_ShipDesign'!$B$20</x:f>
        <x:v>5</x:v>
      </x:c>
      <x:c r="H29" s="890" t="n">
        <x:f>$B$11</x:f>
        <x:v>3</x:v>
      </x:c>
      <x:c r="I29" s="890" t="n">
        <x:f>MIN('08_ShipDesign'!$C$22,'08_ShipDesign'!$B$22+J20)</x:f>
        <x:v>5</x:v>
      </x:c>
      <x:c r="J29" s="890" t="n">
        <x:f>SUM(B29:I29)</x:f>
        <x:v>44</x:v>
      </x:c>
      <x:c r="K29" s="890" t="str">
        <x:f>IF(AND(B29&gt;=8,D29&gt;=2,E29&gt;=3,I29&gt;=3),"PASS","FAIL")</x:f>
        <x:v>PASS</x:v>
      </x:c>
      <x:c r="L29" s="890" t="str">
        <x:f>IF(OR(G29&lt;=0,H29&lt;=0,C29&lt;1,D29&lt;2,E29&lt;2),"항해 불가",IF(AND(B29&gt;=15,C29&gt;=4,D29&gt;=4,E29&gt;=4,J29&gt;=44),"좋음",IF(AND(B29&gt;=10,C29&gt;=2,D29&gt;=3,E29&gt;=3,J29&gt;=34),"보통","수리 필요")))</x:f>
        <x:v>좋음</x:v>
      </x:c>
      <x:c r="M29" s="923" t="n">
        <x:f>D20/$B$8</x:f>
        <x:v>1</x:v>
      </x:c>
      <x:c r="N29" s="890" t="str">
        <x:f>IF(D20&lt;=7,"예","아니오 (W1 수리 필요)")</x:f>
        <x:v>아니오 (W1 수리 필요)</x:v>
      </x:c>
      <x:c r="O29" s="890" t="str">
        <x:f>IF(AND(B29&gt;=10,(--(C29&gt;=3)+--(D29&gt;=3)+--(E29&gt;=3)+--(F29&gt;=3)+--(I29&gt;=3))&gt;=3),"OPEN","LOCKED")</x:f>
        <x:v>OPEN</x:v>
      </x:c>
    </x:row>
    <x:row r="30" ht="15" hidden="0" customHeight="1">
      <x:c r="A30" s="890"/>
      <x:c r="B30" s="890"/>
      <x:c r="C30" s="890"/>
      <x:c r="D30" s="890"/>
      <x:c r="E30" s="890"/>
      <x:c r="F30" s="890"/>
      <x:c r="G30" s="890"/>
      <x:c r="H30" s="890"/>
      <x:c r="I30" s="890"/>
      <x:c r="J30" s="890"/>
      <x:c r="K30" s="890"/>
      <x:c r="L30" s="890"/>
      <x:c r="M30" s="890"/>
      <x:c r="N30" s="890"/>
      <x:c r="O30" s="890"/>
    </x:row>
    <x:row r="31" ht="26" hidden="0" customHeight="1">
      <x:c r="A31" s="911" t="str">
        <x:v>4. Repair 1~3회의 '버퍼'가 실제로 무엇을 사는가</x:v>
      </x:c>
      <x:c r="B31" s="911"/>
      <x:c r="C31" s="911"/>
      <x:c r="D31" s="911"/>
      <x:c r="E31" s="911"/>
      <x:c r="F31" s="911"/>
      <x:c r="G31" s="911"/>
      <x:c r="H31" s="911"/>
      <x:c r="I31" s="911"/>
      <x:c r="J31" s="911"/>
      <x:c r="K31" s="911"/>
      <x:c r="L31" s="911"/>
      <x:c r="M31" s="911"/>
      <x:c r="N31" s="911"/>
      <x:c r="O31" s="911"/>
      <x:c r="P31" s="296"/>
    </x:row>
    <x:row r="32" ht="21.600000381469727" hidden="0" customHeight="1">
      <x:c r="A32" s="894" t="str">
        <x:v>추가 투자</x:v>
      </x:c>
      <x:c r="B32" s="894" t="str">
        <x:v>Departure Normal에서 변화</x:v>
      </x:c>
      <x:c r="C32" s="894" t="str">
        <x:v>Storm에서 얻는 권리</x:v>
      </x:c>
      <x:c r="D32" s="894" t="str">
        <x:v>비용</x:v>
      </x:c>
      <x:c r="E32" s="894" t="str">
        <x:v>해석</x:v>
      </x:c>
      <x:c r="F32" s="890"/>
      <x:c r="G32" s="890"/>
      <x:c r="H32" s="890"/>
      <x:c r="I32" s="890"/>
      <x:c r="J32" s="890"/>
      <x:c r="K32" s="890"/>
      <x:c r="L32" s="890"/>
      <x:c r="M32" s="890"/>
      <x:c r="N32" s="890"/>
      <x:c r="O32" s="890"/>
    </x:row>
    <x:row r="33" ht="64.80000305175781" hidden="0" customHeight="1">
      <x:c r="A33" s="890" t="str">
        <x:v>Living +1 (3→4)</x:v>
      </x:c>
      <x:c r="B33" s="890" t="str">
        <x:v>Total 34→35</x:v>
      </x:c>
      <x:c r="C33" s="890" t="str">
        <x:v>Pattern B에서 Living Oxygen 1 Tick을 일부러 맞아도 Living3 유지 → Panic 없음 / Total34 Normal 유지</x:v>
      </x:c>
      <x:c r="D33" s="890" t="str">
        <x:v>Repair 1회</x:v>
      </x:c>
      <x:c r="E33" s="890" t="str">
        <x:v>가장 저렴한 '방치할 자유'</x:v>
      </x:c>
      <x:c r="F33" s="890"/>
      <x:c r="G33" s="890"/>
      <x:c r="H33" s="890"/>
      <x:c r="I33" s="890"/>
      <x:c r="J33" s="890"/>
      <x:c r="K33" s="890"/>
      <x:c r="L33" s="890"/>
      <x:c r="M33" s="890"/>
      <x:c r="N33" s="890"/>
      <x:c r="O33" s="890"/>
    </x:row>
    <x:row r="34" ht="43.20000076293945" hidden="0" customHeight="1">
      <x:c r="A34" s="890" t="str">
        <x:v>Bridge +1 (2→3)</x:v>
      </x:c>
      <x:c r="B34" s="890" t="str">
        <x:v>Total 34→35</x:v>
      </x:c>
      <x:c r="C34" s="890" t="str">
        <x:v>Pattern C에서 Bridge Oxygen 1 Tick 후 Bridge2 유지 / Total34 Normal 유지</x:v>
      </x:c>
      <x:c r="D34" s="890" t="str">
        <x:v>Repair 1회</x:v>
      </x:c>
      <x:c r="E34" s="890" t="str">
        <x:v>함교·공연·출항 Normal 보호</x:v>
      </x:c>
      <x:c r="F34" s="890"/>
      <x:c r="G34" s="890"/>
      <x:c r="H34" s="890"/>
      <x:c r="I34" s="890"/>
      <x:c r="J34" s="890"/>
      <x:c r="K34" s="890"/>
      <x:c r="L34" s="890"/>
      <x:c r="M34" s="890"/>
      <x:c r="N34" s="890"/>
      <x:c r="O34" s="890"/>
    </x:row>
    <x:row r="35" ht="43.20000076293945" hidden="0" customHeight="1">
      <x:c r="A35" s="890" t="str">
        <x:v>Engine +1 + Oxygen +1 + Living +1</x:v>
      </x:c>
      <x:c r="B35" s="890" t="str">
        <x:v>Total 34→37</x:v>
      </x:c>
      <x:c r="C35" s="890" t="str">
        <x:v>Pattern B에서 Engineering Tick 또는 Living Tick 어느 쪽을 맞아도 Normal 유지</x:v>
      </x:c>
      <x:c r="D35" s="890" t="str">
        <x:v>Repair 3회</x:v>
      </x:c>
      <x:c r="E35" s="890" t="str">
        <x:v>Storm Buffer Profile</x:v>
      </x:c>
      <x:c r="F35" s="890"/>
      <x:c r="G35" s="890"/>
      <x:c r="H35" s="890"/>
      <x:c r="I35" s="890"/>
      <x:c r="J35" s="890"/>
      <x:c r="K35" s="890"/>
      <x:c r="L35" s="890"/>
      <x:c r="M35" s="890"/>
      <x:c r="N35" s="890"/>
      <x:c r="O35" s="890"/>
    </x:row>
    <x:row r="36" ht="64.80000305175781" hidden="0" customHeight="1">
      <x:c r="A36" s="890" t="str">
        <x:v>Research +3 (2→5)</x:v>
      </x:c>
      <x:c r="B36" s="890" t="str">
        <x:v>Total 34→37</x:v>
      </x:c>
      <x:c r="C36" s="890" t="str">
        <x:v>Pattern A Research Tick을 맞고도 Total34 / 연구4 / Normal 유지 + Sustainability 재점검 준비</x:v>
      </x:c>
      <x:c r="D36" s="890" t="str">
        <x:v>Repair 3회</x:v>
      </x:c>
      <x:c r="E36" s="890" t="str">
        <x:v>Hidden/Recheck Profile</x:v>
      </x:c>
      <x:c r="F36" s="890"/>
      <x:c r="G36" s="890"/>
      <x:c r="H36" s="890"/>
      <x:c r="I36" s="890"/>
      <x:c r="J36" s="890"/>
      <x:c r="K36" s="890"/>
      <x:c r="L36" s="890"/>
      <x:c r="M36" s="890"/>
      <x:c r="N36" s="890"/>
      <x:c r="O36" s="890"/>
    </x:row>
    <x:row r="37" ht="15" hidden="0" customHeight="1">
      <x:c r="A37" s="890"/>
      <x:c r="B37" s="890"/>
      <x:c r="C37" s="890"/>
      <x:c r="D37" s="890"/>
      <x:c r="E37" s="890"/>
      <x:c r="F37" s="890"/>
      <x:c r="G37" s="890"/>
      <x:c r="H37" s="890"/>
      <x:c r="I37" s="890"/>
      <x:c r="J37" s="890"/>
      <x:c r="K37" s="890"/>
      <x:c r="L37" s="890"/>
      <x:c r="M37" s="890"/>
      <x:c r="N37" s="890"/>
      <x:c r="O37" s="890"/>
    </x:row>
    <x:row r="38" ht="26" hidden="0" customHeight="1">
      <x:c r="A38" s="911" t="str">
        <x:v>5. Pattern A/B/C — Cluster에서 '합리적 1 Tick'을 감수했을 때</x:v>
      </x:c>
      <x:c r="B38" s="911"/>
      <x:c r="C38" s="911"/>
      <x:c r="D38" s="911"/>
      <x:c r="E38" s="911"/>
      <x:c r="F38" s="911"/>
      <x:c r="G38" s="911"/>
      <x:c r="H38" s="911"/>
      <x:c r="I38" s="911"/>
      <x:c r="J38" s="911"/>
      <x:c r="K38" s="911"/>
      <x:c r="L38" s="911"/>
      <x:c r="M38" s="911"/>
      <x:c r="N38" s="911"/>
      <x:c r="O38" s="911"/>
      <x:c r="P38" s="296"/>
    </x:row>
    <x:row r="39" ht="30" hidden="0" customHeight="1">
      <x:c r="A39" s="916" t="str">
        <x:v>Profile</x:v>
      </x:c>
      <x:c r="B39" s="916" t="str">
        <x:v>Pattern A Triage</x:v>
      </x:c>
      <x:c r="C39" s="916" t="str">
        <x:v>A 이후 Condition</x:v>
      </x:c>
      <x:c r="D39" s="916" t="str">
        <x:v>A Derived</x:v>
      </x:c>
      <x:c r="E39" s="916" t="str">
        <x:v>Pattern B Triage</x:v>
      </x:c>
      <x:c r="F39" s="916" t="str">
        <x:v>B 이후 Condition</x:v>
      </x:c>
      <x:c r="G39" s="916" t="str">
        <x:v>B Derived</x:v>
      </x:c>
      <x:c r="H39" s="916" t="str">
        <x:v>Pattern C Triage</x:v>
      </x:c>
      <x:c r="I39" s="916" t="str">
        <x:v>C 이후 Condition</x:v>
      </x:c>
      <x:c r="J39" s="916" t="str">
        <x:v>C Derived</x:v>
      </x:c>
      <x:c r="K39" s="916" t="str">
        <x:v>Normal 유지 수</x:v>
      </x:c>
      <x:c r="L39" s="916" t="str">
        <x:v>핵심 해석</x:v>
      </x:c>
      <x:c r="M39" s="916"/>
      <x:c r="N39" s="916"/>
      <x:c r="O39" s="916"/>
    </x:row>
    <x:row r="40" ht="32.400001525878906" hidden="0" customHeight="1">
      <x:c r="A40" s="890" t="str">
        <x:f>A24</x:f>
        <x:v>Shelter Minimum</x:v>
      </x:c>
      <x:c r="B40" s="890" t="str">
        <x:v>연구 Oxygen 1 Tick 감수</x:v>
      </x:c>
      <x:c r="C40" s="890" t="str">
        <x:f>IF(AND(B24&gt;=15,C24&gt;=4,D24&gt;=4,E24&gt;=4,J24-3&gt;=44),"좋음",IF(AND(B24&gt;=10,C24&gt;=2,D24&gt;=3,E24&gt;=3,J24-3&gt;=34),"보통","수리 필요"))</x:f>
        <x:v>수리 필요</x:v>
      </x:c>
      <x:c r="D40" s="890" t="str">
        <x:f>IF(H24-1&lt;=0,"Greenhouse Recovery","없음")</x:f>
        <x:v>없음</x:v>
      </x:c>
      <x:c r="E40" s="890" t="str">
        <x:f>IF(I24&gt;=4,"거주 Oxygen 1 Tick 감수","거주 Oxygen 우선 / Engineering Breach 1 Tick 감수")</x:f>
        <x:v>거주 Oxygen 우선 / Engineering Breach 1 Tick 감수</x:v>
      </x:c>
      <x:c r="F40" s="890" t="str">
        <x:f>IF(I24&gt;=4,IF(AND(B24&gt;=15,C24&gt;=4,D24&gt;=4,E24&gt;=4,J24-1&gt;=44),"좋음",IF(AND(B24&gt;=10,C24&gt;=2,D24&gt;=3,E24&gt;=3,J24-1&gt;=34),"보통","수리 필요")),IF(AND(B24-1&gt;=10,C24&gt;=2,D24-1&gt;=3,E24-1&gt;=3,J24-3&gt;=34),"보통","수리 필요"))</x:f>
        <x:v>수리 필요</x:v>
      </x:c>
      <x:c r="G40" s="890" t="str">
        <x:f>IF(I24&gt;=4,"없음",IF(I24-1&lt;=2,"Panic (잘못된 Triage 시)","없음"))</x:f>
        <x:v>Panic (잘못된 Triage 시)</x:v>
      </x:c>
      <x:c r="H40" s="890" t="str">
        <x:f>IF(AND(D24&gt;=4,E24&gt;=4),"Engineering Breach 1 Tick 감수","Bridge Oxygen 1 Tick 감수")</x:f>
        <x:v>Bridge Oxygen 1 Tick 감수</x:v>
      </x:c>
      <x:c r="I40" s="890" t="str">
        <x:f>IF(AND(D24&gt;=4,E24&gt;=4),IF(AND(B24-1&gt;=10,C24&gt;=2,D24-1&gt;=3,E24-1&gt;=3,J24-3&gt;=34),"보통","수리 필요"),IF(AND(B24&gt;=10,C24-1&gt;=2,D24&gt;=3,E24&gt;=3,J24-1&gt;=34),"보통","수리 필요"))</x:f>
        <x:v>수리 필요</x:v>
      </x:c>
      <x:c r="J40" s="890" t="str">
        <x:v>없음</x:v>
      </x:c>
      <x:c r="K40" s="890" t="n">
        <x:f>--(OR(C40="보통",C40="좋음"))+--(OR(F40="보통",F40="좋음"))+--(OR(I40="보통",I40="좋음"))</x:f>
        <x:v>0</x:v>
      </x:c>
      <x:c r="L40" s="890" t="str">
        <x:v>Bad2는 피하지만 W3 Tick을 흡수할 여유는 거의 없음.</x:v>
      </x:c>
      <x:c r="M40" s="890"/>
      <x:c r="N40" s="890"/>
      <x:c r="O40" s="890"/>
    </x:row>
    <x:row r="41" ht="32.400001525878906" hidden="0" customHeight="1">
      <x:c r="A41" s="890" t="str">
        <x:f>A25</x:f>
        <x:v>Departure Normal</x:v>
      </x:c>
      <x:c r="B41" s="890" t="str">
        <x:v>연구 Oxygen 1 Tick 감수</x:v>
      </x:c>
      <x:c r="C41" s="890" t="str">
        <x:f>IF(AND(B25&gt;=15,C25&gt;=4,D25&gt;=4,E25&gt;=4,J25-3&gt;=44),"좋음",IF(AND(B25&gt;=10,C25&gt;=2,D25&gt;=3,E25&gt;=3,J25-3&gt;=34),"보통","수리 필요"))</x:f>
        <x:v>수리 필요</x:v>
      </x:c>
      <x:c r="D41" s="890" t="str">
        <x:f>IF(H25-1&lt;=0,"Greenhouse Recovery","없음")</x:f>
        <x:v>없음</x:v>
      </x:c>
      <x:c r="E41" s="890" t="str">
        <x:f>IF(I25&gt;=4,"거주 Oxygen 1 Tick 감수","거주 Oxygen 우선 / Engineering Breach 1 Tick 감수")</x:f>
        <x:v>거주 Oxygen 우선 / Engineering Breach 1 Tick 감수</x:v>
      </x:c>
      <x:c r="F41" s="890" t="str">
        <x:f>IF(I25&gt;=4,IF(AND(B25&gt;=15,C25&gt;=4,D25&gt;=4,E25&gt;=4,J25-1&gt;=44),"좋음",IF(AND(B25&gt;=10,C25&gt;=2,D25&gt;=3,E25&gt;=3,J25-1&gt;=34),"보통","수리 필요")),IF(AND(B25-1&gt;=10,C25&gt;=2,D25-1&gt;=3,E25-1&gt;=3,J25-3&gt;=34),"보통","수리 필요"))</x:f>
        <x:v>수리 필요</x:v>
      </x:c>
      <x:c r="G41" s="890" t="str">
        <x:f>IF(I25&gt;=4,"없음",IF(I25-1&lt;=2,"Panic (잘못된 Triage 시)","없음"))</x:f>
        <x:v>Panic (잘못된 Triage 시)</x:v>
      </x:c>
      <x:c r="H41" s="890" t="str">
        <x:f>IF(AND(D25&gt;=4,E25&gt;=4),"Engineering Breach 1 Tick 감수","Bridge Oxygen 1 Tick 감수")</x:f>
        <x:v>Bridge Oxygen 1 Tick 감수</x:v>
      </x:c>
      <x:c r="I41" s="890" t="str">
        <x:f>IF(AND(D25&gt;=4,E25&gt;=4),IF(AND(B25-1&gt;=10,C25&gt;=2,D25-1&gt;=3,E25-1&gt;=3,J25-3&gt;=34),"보통","수리 필요"),IF(AND(B25&gt;=10,C25-1&gt;=2,D25&gt;=3,E25&gt;=3,J25-1&gt;=34),"보통","수리 필요"))</x:f>
        <x:v>수리 필요</x:v>
      </x:c>
      <x:c r="J41" s="890" t="str">
        <x:v>없음</x:v>
      </x:c>
      <x:c r="K41" s="890" t="n">
        <x:f>--(OR(C41="보통",C41="좋음"))+--(OR(F41="보통",F41="좋음"))+--(OR(I41="보통",I41="좋음"))</x:f>
        <x:v>0</x:v>
      </x:c>
      <x:c r="L41" s="890" t="str">
        <x:v>D15 Normal 정확선이라 어떤 Cluster 1 Tick도 '수리 필요'로 떨어뜨림.</x:v>
      </x:c>
      <x:c r="M41" s="890"/>
      <x:c r="N41" s="890"/>
      <x:c r="O41" s="890"/>
    </x:row>
    <x:row r="42" ht="21.600000381469727" hidden="0" customHeight="1">
      <x:c r="A42" s="890" t="str">
        <x:f>A26</x:f>
        <x:v>Living Buffer</x:v>
      </x:c>
      <x:c r="B42" s="890" t="str">
        <x:v>연구 Oxygen 1 Tick 감수</x:v>
      </x:c>
      <x:c r="C42" s="890" t="str">
        <x:f>IF(AND(B26&gt;=15,C26&gt;=4,D26&gt;=4,E26&gt;=4,J26-3&gt;=44),"좋음",IF(AND(B26&gt;=10,C26&gt;=2,D26&gt;=3,E26&gt;=3,J26-3&gt;=34),"보통","수리 필요"))</x:f>
        <x:v>수리 필요</x:v>
      </x:c>
      <x:c r="D42" s="890" t="str">
        <x:f>IF(H26-1&lt;=0,"Greenhouse Recovery","없음")</x:f>
        <x:v>없음</x:v>
      </x:c>
      <x:c r="E42" s="890" t="str">
        <x:f>IF(I26&gt;=4,"거주 Oxygen 1 Tick 감수","거주 Oxygen 우선 / Engineering Breach 1 Tick 감수")</x:f>
        <x:v>거주 Oxygen 1 Tick 감수</x:v>
      </x:c>
      <x:c r="F42" s="890" t="str">
        <x:f>IF(I26&gt;=4,IF(AND(B26&gt;=15,C26&gt;=4,D26&gt;=4,E26&gt;=4,J26-1&gt;=44),"좋음",IF(AND(B26&gt;=10,C26&gt;=2,D26&gt;=3,E26&gt;=3,J26-1&gt;=34),"보통","수리 필요")),IF(AND(B26-1&gt;=10,C26&gt;=2,D26-1&gt;=3,E26-1&gt;=3,J26-3&gt;=34),"보통","수리 필요"))</x:f>
        <x:v>보통</x:v>
      </x:c>
      <x:c r="G42" s="890" t="str">
        <x:f>IF(I26&gt;=4,"없음",IF(I26-1&lt;=2,"Panic (잘못된 Triage 시)","없음"))</x:f>
        <x:v>없음</x:v>
      </x:c>
      <x:c r="H42" s="890" t="str">
        <x:f>IF(AND(D26&gt;=4,E26&gt;=4),"Engineering Breach 1 Tick 감수","Bridge Oxygen 1 Tick 감수")</x:f>
        <x:v>Bridge Oxygen 1 Tick 감수</x:v>
      </x:c>
      <x:c r="I42" s="890" t="str">
        <x:f>IF(AND(D26&gt;=4,E26&gt;=4),IF(AND(B26-1&gt;=10,C26&gt;=2,D26-1&gt;=3,E26-1&gt;=3,J26-3&gt;=34),"보통","수리 필요"),IF(AND(B26&gt;=10,C26-1&gt;=2,D26&gt;=3,E26&gt;=3,J26-1&gt;=34),"보통","수리 필요"))</x:f>
        <x:v>수리 필요</x:v>
      </x:c>
      <x:c r="J42" s="890" t="str">
        <x:v>없음</x:v>
      </x:c>
      <x:c r="K42" s="890" t="n">
        <x:f>--(OR(C42="보통",C42="좋음"))+--(OR(F42="보통",F42="좋음"))+--(OR(I42="보통",I42="좋음"))</x:f>
        <x:v>1</x:v>
      </x:c>
      <x:c r="L42" s="890" t="str">
        <x:v>Repair 1회로 Pattern B의 Living Tick을 합리적으로 방치 가능.</x:v>
      </x:c>
      <x:c r="M42" s="890"/>
      <x:c r="N42" s="890"/>
      <x:c r="O42" s="890"/>
    </x:row>
    <x:row r="43" ht="21.600000381469727" hidden="0" customHeight="1">
      <x:c r="A43" s="890" t="str">
        <x:f>A27</x:f>
        <x:v>Storm Buffer</x:v>
      </x:c>
      <x:c r="B43" s="890" t="str">
        <x:v>연구 Oxygen 1 Tick 감수</x:v>
      </x:c>
      <x:c r="C43" s="890" t="str">
        <x:f>IF(AND(B27&gt;=15,C27&gt;=4,D27&gt;=4,E27&gt;=4,J27-3&gt;=44),"좋음",IF(AND(B27&gt;=10,C27&gt;=2,D27&gt;=3,E27&gt;=3,J27-3&gt;=34),"보통","수리 필요"))</x:f>
        <x:v>보통</x:v>
      </x:c>
      <x:c r="D43" s="890" t="str">
        <x:f>IF(H27-1&lt;=0,"Greenhouse Recovery","없음")</x:f>
        <x:v>없음</x:v>
      </x:c>
      <x:c r="E43" s="890" t="str">
        <x:f>IF(I27&gt;=4,"거주 Oxygen 1 Tick 감수","거주 Oxygen 우선 / Engineering Breach 1 Tick 감수")</x:f>
        <x:v>거주 Oxygen 1 Tick 감수</x:v>
      </x:c>
      <x:c r="F43" s="890" t="str">
        <x:f>IF(I27&gt;=4,IF(AND(B27&gt;=15,C27&gt;=4,D27&gt;=4,E27&gt;=4,J27-1&gt;=44),"좋음",IF(AND(B27&gt;=10,C27&gt;=2,D27&gt;=3,E27&gt;=3,J27-1&gt;=34),"보통","수리 필요")),IF(AND(B27-1&gt;=10,C27&gt;=2,D27-1&gt;=3,E27-1&gt;=3,J27-3&gt;=34),"보통","수리 필요"))</x:f>
        <x:v>보통</x:v>
      </x:c>
      <x:c r="G43" s="890" t="str">
        <x:f>IF(I27&gt;=4,"없음",IF(I27-1&lt;=2,"Panic (잘못된 Triage 시)","없음"))</x:f>
        <x:v>없음</x:v>
      </x:c>
      <x:c r="H43" s="890" t="str">
        <x:f>IF(AND(D27&gt;=4,E27&gt;=4),"Engineering Breach 1 Tick 감수","Bridge Oxygen 1 Tick 감수")</x:f>
        <x:v>Engineering Breach 1 Tick 감수</x:v>
      </x:c>
      <x:c r="I43" s="890" t="str">
        <x:f>IF(AND(D27&gt;=4,E27&gt;=4),IF(AND(B27-1&gt;=10,C27&gt;=2,D27-1&gt;=3,E27-1&gt;=3,J27-3&gt;=34),"보통","수리 필요"),IF(AND(B27&gt;=10,C27-1&gt;=2,D27&gt;=3,E27&gt;=3,J27-1&gt;=34),"보통","수리 필요"))</x:f>
        <x:v>보통</x:v>
      </x:c>
      <x:c r="J43" s="890" t="str">
        <x:v>없음</x:v>
      </x:c>
      <x:c r="K43" s="890" t="n">
        <x:f>--(OR(C43="보통",C43="좋음"))+--(OR(F43="보통",F43="좋음"))+--(OR(I43="보통",I43="좋음"))</x:f>
        <x:v>3</x:v>
      </x:c>
      <x:c r="L43" s="890" t="str">
        <x:v>8회 수리로 A/B/C 모두 합리적 Triage 시 Normal 유지. W3 생존 특화.</x:v>
      </x:c>
      <x:c r="M43" s="890"/>
      <x:c r="N43" s="890"/>
      <x:c r="O43" s="890"/>
    </x:row>
    <x:row r="44" ht="32.400001525878906" hidden="0" customHeight="1">
      <x:c r="A44" s="890" t="str">
        <x:f>A28</x:f>
        <x:v>Hidden/Recheck</x:v>
      </x:c>
      <x:c r="B44" s="890" t="str">
        <x:v>연구 Oxygen 1 Tick 감수</x:v>
      </x:c>
      <x:c r="C44" s="890" t="str">
        <x:f>IF(AND(B28&gt;=15,C28&gt;=4,D28&gt;=4,E28&gt;=4,J28-3&gt;=44),"좋음",IF(AND(B28&gt;=10,C28&gt;=2,D28&gt;=3,E28&gt;=3,J28-3&gt;=34),"보통","수리 필요"))</x:f>
        <x:v>보통</x:v>
      </x:c>
      <x:c r="D44" s="890" t="str">
        <x:f>IF(H28-1&lt;=0,"Greenhouse Recovery","없음")</x:f>
        <x:v>없음</x:v>
      </x:c>
      <x:c r="E44" s="890" t="str">
        <x:f>IF(I28&gt;=4,"거주 Oxygen 1 Tick 감수","거주 Oxygen 우선 / Engineering Breach 1 Tick 감수")</x:f>
        <x:v>거주 Oxygen 우선 / Engineering Breach 1 Tick 감수</x:v>
      </x:c>
      <x:c r="F44" s="890" t="str">
        <x:f>IF(I28&gt;=4,IF(AND(B28&gt;=15,C28&gt;=4,D28&gt;=4,E28&gt;=4,J28-1&gt;=44),"좋음",IF(AND(B28&gt;=10,C28&gt;=2,D28&gt;=3,E28&gt;=3,J28-1&gt;=34),"보통","수리 필요")),IF(AND(B28-1&gt;=10,C28&gt;=2,D28-1&gt;=3,E28-1&gt;=3,J28-3&gt;=34),"보통","수리 필요"))</x:f>
        <x:v>수리 필요</x:v>
      </x:c>
      <x:c r="G44" s="890" t="str">
        <x:f>IF(I28&gt;=4,"없음",IF(I28-1&lt;=2,"Panic (잘못된 Triage 시)","없음"))</x:f>
        <x:v>Panic (잘못된 Triage 시)</x:v>
      </x:c>
      <x:c r="H44" s="890" t="str">
        <x:f>IF(AND(D28&gt;=4,E28&gt;=4),"Engineering Breach 1 Tick 감수","Bridge Oxygen 1 Tick 감수")</x:f>
        <x:v>Bridge Oxygen 1 Tick 감수</x:v>
      </x:c>
      <x:c r="I44" s="890" t="str">
        <x:f>IF(AND(D28&gt;=4,E28&gt;=4),IF(AND(B28-1&gt;=10,C28&gt;=2,D28-1&gt;=3,E28-1&gt;=3,J28-3&gt;=34),"보통","수리 필요"),IF(AND(B28&gt;=10,C28-1&gt;=2,D28&gt;=3,E28&gt;=3,J28-1&gt;=34),"보통","수리 필요"))</x:f>
        <x:v>수리 필요</x:v>
      </x:c>
      <x:c r="J44" s="890" t="str">
        <x:v>없음</x:v>
      </x:c>
      <x:c r="K44" s="890" t="n">
        <x:f>--(OR(C44="보통",C44="좋음"))+--(OR(F44="보통",F44="좋음"))+--(OR(I44="보통",I44="좋음"))</x:f>
        <x:v>1</x:v>
      </x:c>
      <x:c r="L44" s="890" t="str">
        <x:v>Pattern A에는 강하지만 B/C는 후속 수리 필요. 대신 Research5/Hidden Route 확보.</x:v>
      </x:c>
      <x:c r="M44" s="890"/>
      <x:c r="N44" s="890"/>
      <x:c r="O44" s="890"/>
    </x:row>
    <x:row r="45" ht="21.600000381469727" hidden="0" customHeight="1">
      <x:c r="A45" s="890" t="str">
        <x:f>A29</x:f>
        <x:v>Maximum Ship Good</x:v>
      </x:c>
      <x:c r="B45" s="890" t="str">
        <x:v>연구 Oxygen 1 Tick 감수</x:v>
      </x:c>
      <x:c r="C45" s="890" t="str">
        <x:f>IF(AND(B29&gt;=15,C29&gt;=4,D29&gt;=4,E29&gt;=4,J29-3&gt;=44),"좋음",IF(AND(B29&gt;=10,C29&gt;=2,D29&gt;=3,E29&gt;=3,J29-3&gt;=34),"보통","수리 필요"))</x:f>
        <x:v>보통</x:v>
      </x:c>
      <x:c r="D45" s="890" t="str">
        <x:f>IF(H29-1&lt;=0,"Greenhouse Recovery","없음")</x:f>
        <x:v>없음</x:v>
      </x:c>
      <x:c r="E45" s="890" t="str">
        <x:f>IF(I29&gt;=4,"거주 Oxygen 1 Tick 감수","거주 Oxygen 우선 / Engineering Breach 1 Tick 감수")</x:f>
        <x:v>거주 Oxygen 1 Tick 감수</x:v>
      </x:c>
      <x:c r="F45" s="890" t="str">
        <x:f>IF(I29&gt;=4,IF(AND(B29&gt;=15,C29&gt;=4,D29&gt;=4,E29&gt;=4,J29-1&gt;=44),"좋음",IF(AND(B29&gt;=10,C29&gt;=2,D29&gt;=3,E29&gt;=3,J29-1&gt;=34),"보통","수리 필요")),IF(AND(B29-1&gt;=10,C29&gt;=2,D29-1&gt;=3,E29-1&gt;=3,J29-3&gt;=34),"보통","수리 필요"))</x:f>
        <x:v>보통</x:v>
      </x:c>
      <x:c r="G45" s="890" t="str">
        <x:f>IF(I29&gt;=4,"없음",IF(I29-1&lt;=2,"Panic (잘못된 Triage 시)","없음"))</x:f>
        <x:v>없음</x:v>
      </x:c>
      <x:c r="H45" s="890" t="str">
        <x:f>IF(AND(D29&gt;=4,E29&gt;=4),"Engineering Breach 1 Tick 감수","Bridge Oxygen 1 Tick 감수")</x:f>
        <x:v>Engineering Breach 1 Tick 감수</x:v>
      </x:c>
      <x:c r="I45" s="890" t="str">
        <x:f>IF(AND(D29&gt;=4,E29&gt;=4),IF(AND(B29-1&gt;=10,C29&gt;=2,D29-1&gt;=3,E29-1&gt;=3,J29-3&gt;=34),"보통","수리 필요"),IF(AND(B29&gt;=10,C29-1&gt;=2,D29&gt;=3,E29&gt;=3,J29-1&gt;=34),"보통","수리 필요"))</x:f>
        <x:v>보통</x:v>
      </x:c>
      <x:c r="J45" s="890" t="str">
        <x:v>없음</x:v>
      </x:c>
      <x:c r="K45" s="890" t="n">
        <x:f>--(OR(C45="보통",C45="좋음"))+--(OR(F45="보통",F45="좋음"))+--(OR(I45="보통",I45="좋음"))</x:f>
        <x:v>3</x:v>
      </x:c>
      <x:c r="L45" s="890" t="str">
        <x:v>12개 Repair Slot 전부 투자하면 어떤 Cluster 1 Tick도 Normal 이상 유지.</x:v>
      </x:c>
      <x:c r="M45" s="890"/>
      <x:c r="N45" s="890"/>
      <x:c r="O45" s="890"/>
    </x:row>
    <x:row r="46" ht="15" hidden="0" customHeight="1">
      <x:c r="A46" s="890"/>
      <x:c r="B46" s="890"/>
      <x:c r="C46" s="890"/>
      <x:c r="D46" s="890"/>
      <x:c r="E46" s="890"/>
      <x:c r="F46" s="890"/>
      <x:c r="G46" s="890"/>
      <x:c r="H46" s="890"/>
      <x:c r="I46" s="890"/>
      <x:c r="J46" s="890"/>
      <x:c r="K46" s="890"/>
      <x:c r="L46" s="890"/>
      <x:c r="M46" s="890"/>
      <x:c r="N46" s="890"/>
      <x:c r="O46" s="890"/>
    </x:row>
    <x:row r="47" ht="15" hidden="0" customHeight="1">
      <x:c r="A47" s="890"/>
      <x:c r="B47" s="890"/>
      <x:c r="C47" s="890"/>
      <x:c r="D47" s="890"/>
      <x:c r="E47" s="890"/>
      <x:c r="F47" s="890"/>
      <x:c r="G47" s="890"/>
      <x:c r="H47" s="890"/>
      <x:c r="I47" s="890"/>
      <x:c r="J47" s="890"/>
      <x:c r="K47" s="890"/>
      <x:c r="L47" s="890"/>
      <x:c r="M47" s="890"/>
      <x:c r="N47" s="890"/>
      <x:c r="O47" s="890"/>
    </x:row>
    <x:row r="48" ht="15" hidden="0" customHeight="1">
      <x:c r="A48" s="894" t="str">
        <x:v>6. Greenhouse 5→3 후유증이 Critical Recovery를 실제로 만드는가</x:v>
      </x:c>
      <x:c r="B48" s="894"/>
      <x:c r="C48" s="894"/>
      <x:c r="D48" s="894"/>
      <x:c r="E48" s="894"/>
      <x:c r="F48" s="894"/>
      <x:c r="G48" s="894"/>
      <x:c r="H48" s="894"/>
      <x:c r="I48" s="894"/>
      <x:c r="J48" s="894" t="str">
        <x:v>핵심 밸런스 결론</x:v>
      </x:c>
      <x:c r="K48" s="894"/>
      <x:c r="L48" s="894"/>
      <x:c r="M48" s="894"/>
      <x:c r="N48" s="894"/>
      <x:c r="O48" s="894"/>
      <x:c r="P48" s="296"/>
    </x:row>
    <x:row r="49" ht="30" hidden="0" customHeight="1">
      <x:c r="A49" s="916" t="str">
        <x:v>Storm 흐름</x:v>
      </x:c>
      <x:c r="B49" s="916" t="str">
        <x:v>Greenhouse</x:v>
      </x:c>
      <x:c r="C49" s="916" t="str">
        <x:v>시점</x:v>
      </x:c>
      <x:c r="D49" s="916" t="str">
        <x:v>결과</x:v>
      </x:c>
      <x:c r="E49" s="916" t="str">
        <x:v>판정</x:v>
      </x:c>
      <x:c r="F49" s="916"/>
      <x:c r="G49" s="916"/>
      <x:c r="H49" s="916"/>
      <x:c r="I49" s="916"/>
      <x:c r="J49" s="916" t="str">
        <x:v>항목</x:v>
      </x:c>
      <x:c r="K49" s="916" t="str">
        <x:v>결론</x:v>
      </x:c>
      <x:c r="L49" s="916"/>
      <x:c r="M49" s="916"/>
      <x:c r="N49" s="916"/>
      <x:c r="O49" s="916"/>
    </x:row>
    <x:row r="50" ht="21.600000381469727" hidden="0" customHeight="1">
      <x:c r="A50" s="890" t="str">
        <x:v>D13 Overnight 직후</x:v>
      </x:c>
      <x:c r="B50" s="890" t="n">
        <x:v>3</x:v>
      </x:c>
      <x:c r="C50" s="890" t="str">
        <x:v>D14 시작</x:v>
      </x:c>
      <x:c r="D50" s="890" t="str">
        <x:v>기능 정상이나 손상된 상태</x:v>
      </x:c>
      <x:c r="E50" s="890" t="str">
        <x:v>TEMP 제안</x:v>
      </x:c>
      <x:c r="F50" s="890"/>
      <x:c r="G50" s="890"/>
      <x:c r="H50" s="890"/>
      <x:c r="I50" s="890"/>
      <x:c r="J50" s="890" t="str">
        <x:v>Bad2 최소선</x:v>
      </x:c>
      <x:c r="K50" s="890" t="str">
        <x:v>Repair 3회면 Shelter Ready. 너무 빡빡하지 않음.</x:v>
      </x:c>
      <x:c r="L50" s="890"/>
      <x:c r="M50" s="890"/>
      <x:c r="N50" s="890"/>
      <x:c r="O50" s="890"/>
    </x:row>
    <x:row r="51" ht="32.400001525878906" hidden="0" customHeight="1">
      <x:c r="A51" s="890" t="str">
        <x:v>Pattern A D16 Research Oxygen 1 Tick</x:v>
      </x:c>
      <x:c r="B51" s="890" t="n">
        <x:v>2</x:v>
      </x:c>
      <x:c r="C51" s="890" t="str">
        <x:v>D16 +4h</x:v>
      </x:c>
      <x:c r="D51" s="890" t="str">
        <x:v>아직 Recovery 아님</x:v>
      </x:c>
      <x:c r="E51" s="890" t="str">
        <x:v>안전</x:v>
      </x:c>
      <x:c r="F51" s="890"/>
      <x:c r="G51" s="890"/>
      <x:c r="H51" s="890"/>
      <x:c r="I51" s="890"/>
      <x:c r="J51" s="890" t="str">
        <x:v>D15 Normal 최소선</x:v>
      </x:c>
      <x:c r="K51" s="890" t="str">
        <x:v>Repair 5회면 정확히 Total34. W3 첫 Tick부터 후속 수리가 필요해지는 민감한 기준선.</x:v>
      </x:c>
      <x:c r="L51" s="890"/>
      <x:c r="M51" s="890"/>
      <x:c r="N51" s="890"/>
      <x:c r="O51" s="890"/>
    </x:row>
    <x:row r="52" ht="32.400001525878906" hidden="0" customHeight="1">
      <x:c r="A52" s="890" t="str">
        <x:v>D19 Research Breach 첫 Tick</x:v>
      </x:c>
      <x:c r="B52" s="890" t="n">
        <x:v>1</x:v>
      </x:c>
      <x:c r="C52" s="890" t="str">
        <x:v>14:00</x:v>
      </x:c>
      <x:c r="D52" s="890" t="str">
        <x:v>아직 Recovery 아님</x:v>
      </x:c>
      <x:c r="E52" s="890" t="str">
        <x:v>위험 경고</x:v>
      </x:c>
      <x:c r="F52" s="890"/>
      <x:c r="G52" s="890"/>
      <x:c r="H52" s="890"/>
      <x:c r="I52" s="890"/>
      <x:c r="J52" s="890" t="str">
        <x:v>저렴한 버퍼</x:v>
      </x:c>
      <x:c r="K52" s="890" t="str">
        <x:v>Repair +1을 Living 또는 Bridge에 넣으면 특정 Pattern을 1 Tick 무피해/Normal로 넘길 수 있음.</x:v>
      </x:c>
      <x:c r="L52" s="890"/>
      <x:c r="M52" s="890"/>
      <x:c r="N52" s="890"/>
      <x:c r="O52" s="890"/>
    </x:row>
    <x:row r="53" ht="32.400001525878906" hidden="0" customHeight="1">
      <x:c r="A53" s="890" t="str">
        <x:v>D19 Research Breach 두 번째 Tick</x:v>
      </x:c>
      <x:c r="B53" s="890" t="n">
        <x:v>0</x:v>
      </x:c>
      <x:c r="C53" s="890" t="str">
        <x:v>18:00</x:v>
      </x:c>
      <x:c r="D53" s="890" t="str">
        <x:v>24h Greenhouse Recovery Window 시작</x:v>
      </x:c>
      <x:c r="E53" s="890" t="str">
        <x:v>Critical 발생</x:v>
      </x:c>
      <x:c r="F53" s="890"/>
      <x:c r="G53" s="890"/>
      <x:c r="H53" s="890"/>
      <x:c r="I53" s="890"/>
      <x:c r="J53" s="890" t="str">
        <x:v>W3 생존 특화</x:v>
      </x:c>
      <x:c r="K53" s="890" t="str">
        <x:v>Repair 8회 Storm Buffer는 모든 Pattern에서 합리적 1 Tick 후에도 Normal 유지.</x:v>
      </x:c>
      <x:c r="L53" s="890"/>
      <x:c r="M53" s="890"/>
      <x:c r="N53" s="890"/>
      <x:c r="O53" s="890"/>
    </x:row>
    <x:row r="54" ht="32.400001525878906" hidden="0" customHeight="1">
      <x:c r="A54" s="890" t="str">
        <x:v>Pattern B/C (D16 연구 Tick 없음) → D19 첫/둘째 Tick</x:v>
      </x:c>
      <x:c r="B54" s="890" t="n">
        <x:v>1</x:v>
      </x:c>
      <x:c r="C54" s="890" t="str">
        <x:v>18:00 기준 Greenhouse3→2→1</x:v>
      </x:c>
      <x:c r="D54" s="890" t="str">
        <x:v>아직 Recovery 아님</x:v>
      </x:c>
      <x:c r="E54" s="890" t="str">
        <x:v>더 관대함</x:v>
      </x:c>
      <x:c r="F54" s="890"/>
      <x:c r="G54" s="890"/>
      <x:c r="H54" s="890"/>
      <x:c r="I54" s="890"/>
      <x:c r="J54" s="890" t="str">
        <x:v>Hidden 특화</x:v>
      </x:c>
      <x:c r="K54" s="890" t="str">
        <x:v>같은 8회지만 Research5에 투자 → Pattern A/재점검에 강하고 B/C에는 수리 필요.</x:v>
      </x:c>
      <x:c r="L54" s="890"/>
      <x:c r="M54" s="890"/>
      <x:c r="N54" s="890"/>
      <x:c r="O54" s="890"/>
    </x:row>
    <x:row r="55" ht="32.400001525878906" hidden="0" customHeight="1">
      <x:c r="A55" s="890" t="str">
        <x:v>Pattern B/C D19 세 번째 Tick</x:v>
      </x:c>
      <x:c r="B55" s="890" t="n">
        <x:v>0</x:v>
      </x:c>
      <x:c r="C55" s="890" t="str">
        <x:v>22:00</x:v>
      </x:c>
      <x:c r="D55" s="890" t="str">
        <x:v>완전 방치했을 때만 Recovery 시작</x:v>
      </x:c>
      <x:c r="E55" s="890" t="str">
        <x:v>심한 실패</x:v>
      </x:c>
      <x:c r="F55" s="890"/>
      <x:c r="G55" s="890"/>
      <x:c r="H55" s="890"/>
      <x:c r="I55" s="890"/>
      <x:c r="J55" s="890" t="str">
        <x:v>Good</x:v>
      </x:c>
      <x:c r="K55" s="890" t="str">
        <x:v>Repair 12회 = 모든 Standard Slot 사용. D13 Greenhouse3 후에도 Total44/Good 가능. 극단적 준비 보상으로 적절.</x:v>
      </x:c>
      <x:c r="L55" s="890"/>
      <x:c r="M55" s="890"/>
      <x:c r="N55" s="890"/>
      <x:c r="O55" s="890"/>
    </x:row>
    <x:row r="56" ht="32.400001525878906" hidden="0" customHeight="1">
      <x:c r="A56" s="890" t="str">
        <x:v>결론: Greenhouse가 D15에도 5라면 24h Recovery는 현재 5-Root 구조에서 거의 보이지 않는다. D13 샘 사건의 결과를 3/5로 두면 '온실은 살렸다'는 서사를 지키면서, Pattern A에서 D16 연구 손상을 이미 감수한 플레이어가 D19 연구 Breach까지 오래 방치했을 때만 Critical Recovery가 열린다. 따라서 3/5를 TEMP 기준으로 채택한다.</x:v>
      </x:c>
      <x:c r="B56" s="890"/>
      <x:c r="C56" s="890"/>
      <x:c r="D56" s="890"/>
      <x:c r="E56" s="890"/>
      <x:c r="F56" s="890"/>
      <x:c r="G56" s="890"/>
      <x:c r="H56" s="890"/>
      <x:c r="I56" s="890"/>
      <x:c r="J56" s="890" t="str">
        <x:v>Critical Recovery</x:v>
      </x:c>
      <x:c r="K56" s="890" t="str">
        <x:v>Greenhouse D13 3/5를 채택해야 24h 복구 시스템이 '심한 방치'에서 실제로 등장.</x:v>
      </x:c>
      <x:c r="L56" s="890"/>
      <x:c r="M56" s="890"/>
      <x:c r="N56" s="890"/>
      <x:c r="O56" s="890"/>
    </x:row>
    <x:row r="57" ht="15" hidden="0" customHeight="1">
      <x:c r="A57" s="890"/>
      <x:c r="B57" s="890"/>
      <x:c r="C57" s="890"/>
      <x:c r="D57" s="890"/>
      <x:c r="E57" s="890"/>
      <x:c r="F57" s="890"/>
      <x:c r="G57" s="890"/>
      <x:c r="H57" s="890"/>
      <x:c r="I57" s="890"/>
      <x:c r="J57" s="890"/>
      <x:c r="K57" s="890"/>
      <x:c r="L57" s="890"/>
      <x:c r="M57" s="890"/>
      <x:c r="N57" s="890"/>
      <x:c r="O57" s="890"/>
    </x:row>
    <x:row r="58" ht="15" hidden="0" customHeight="1">
      <x:c r="A58" s="890"/>
      <x:c r="B58" s="890"/>
      <x:c r="C58" s="890"/>
      <x:c r="D58" s="890"/>
      <x:c r="E58" s="890"/>
      <x:c r="F58" s="890"/>
      <x:c r="G58" s="890"/>
      <x:c r="H58" s="890"/>
      <x:c r="I58" s="890"/>
      <x:c r="J58" s="890"/>
      <x:c r="K58" s="890"/>
      <x:c r="L58" s="890"/>
      <x:c r="M58" s="890"/>
      <x:c r="N58" s="890"/>
      <x:c r="O58" s="890"/>
    </x:row>
    <x:row r="59" ht="15" hidden="0" customHeight="1">
      <x:c r="A59" s="890"/>
      <x:c r="B59" s="890"/>
      <x:c r="C59" s="890"/>
      <x:c r="D59" s="890"/>
      <x:c r="E59" s="890"/>
      <x:c r="F59" s="890"/>
      <x:c r="G59" s="890"/>
      <x:c r="H59" s="890"/>
      <x:c r="I59" s="890"/>
      <x:c r="J59" s="890"/>
      <x:c r="K59" s="890"/>
      <x:c r="L59" s="890"/>
      <x:c r="M59" s="890"/>
      <x:c r="N59" s="890"/>
      <x:c r="O59" s="890"/>
    </x:row>
    <x:row r="60" ht="15" hidden="0" customHeight="1">
      <x:c r="A60" s="890"/>
      <x:c r="B60" s="890"/>
      <x:c r="C60" s="890"/>
      <x:c r="D60" s="890"/>
      <x:c r="E60" s="890"/>
      <x:c r="F60" s="890"/>
      <x:c r="G60" s="890"/>
      <x:c r="H60" s="890"/>
      <x:c r="I60" s="890"/>
      <x:c r="J60" s="890"/>
      <x:c r="K60" s="890"/>
      <x:c r="L60" s="890"/>
      <x:c r="M60" s="890"/>
      <x:c r="N60" s="890"/>
      <x:c r="O60" s="890"/>
    </x:row>
    <x:row r="61" ht="26" hidden="0" customHeight="1">
      <x:c r="A61" s="911" t="str">
        <x:v>7. Benjamin W2 전환 Trigger 재검증</x:v>
      </x:c>
      <x:c r="B61" s="911"/>
      <x:c r="C61" s="911"/>
      <x:c r="D61" s="911"/>
      <x:c r="E61" s="911"/>
      <x:c r="F61" s="911"/>
      <x:c r="G61" s="911"/>
      <x:c r="H61" s="911"/>
      <x:c r="I61" s="911"/>
      <x:c r="J61" s="911"/>
      <x:c r="K61" s="911"/>
      <x:c r="L61" s="911"/>
      <x:c r="M61" s="911"/>
      <x:c r="N61" s="911"/>
      <x:c r="O61" s="911"/>
      <x:c r="P61" s="296"/>
    </x:row>
    <x:row r="62" ht="21.600000381469727" hidden="0" customHeight="1">
      <x:c r="A62" s="894" t="str">
        <x:v>기존</x:v>
      </x:c>
      <x:c r="B62" s="894" t="str">
        <x:v>총 Integrity 약40</x:v>
      </x:c>
      <x:c r="C62" s="894" t="str">
        <x:v>문제</x:v>
      </x:c>
      <x:c r="D62" s="894" t="str">
        <x:v>수리 노가다/분배 의미를 못 읽음</x:v>
      </x:c>
      <x:c r="E62" s="890"/>
      <x:c r="F62" s="890"/>
      <x:c r="G62" s="890"/>
      <x:c r="H62" s="890"/>
      <x:c r="I62" s="890"/>
      <x:c r="J62" s="890"/>
      <x:c r="K62" s="890"/>
      <x:c r="L62" s="890"/>
      <x:c r="M62" s="890"/>
      <x:c r="N62" s="890"/>
      <x:c r="O62" s="890"/>
    </x:row>
    <x:row r="63" ht="43.20000076293945" hidden="0" customHeight="1">
      <x:c r="A63" s="890" t="str">
        <x:v>신규 TEMP</x:v>
      </x:c>
      <x:c r="B63" s="890" t="str">
        <x:v>Hull&gt;=10 + Bridge/Engine/Oxygen/Research/Living 중 3개 이상 Integrity&gt;=3</x:v>
      </x:c>
      <x:c r="C63" s="890" t="str">
        <x:v>의미</x:v>
      </x:c>
      <x:c r="D63" s="890" t="str">
        <x:v>'배가 실제로 다시 기능하기 시작했다'는 상태를 읽음</x:v>
      </x:c>
      <x:c r="E63" s="890"/>
      <x:c r="F63" s="890"/>
      <x:c r="G63" s="890"/>
      <x:c r="H63" s="890"/>
      <x:c r="I63" s="890"/>
      <x:c r="J63" s="890"/>
      <x:c r="K63" s="890"/>
      <x:c r="L63" s="890"/>
      <x:c r="M63" s="890"/>
      <x:c r="N63" s="890"/>
      <x:c r="O63" s="890"/>
    </x:row>
    <x:row r="64" ht="32.400001525878906" hidden="0" customHeight="1">
      <x:c r="A64" s="890" t="str">
        <x:v>Shelter Minimum</x:v>
      </x:c>
      <x:c r="B64" s="890" t="str">
        <x:v>LOCKED</x:v>
      </x:c>
      <x:c r="C64" s="890" t="str">
        <x:v>Hull9</x:v>
      </x:c>
      <x:c r="D64" s="890" t="str">
        <x:v>아직 '배 꼴'이 돌아왔다고 보기 어려움</x:v>
      </x:c>
      <x:c r="E64" s="890"/>
      <x:c r="F64" s="890"/>
      <x:c r="G64" s="890"/>
      <x:c r="H64" s="890"/>
      <x:c r="I64" s="890"/>
      <x:c r="J64" s="890"/>
      <x:c r="K64" s="890"/>
      <x:c r="L64" s="890"/>
      <x:c r="M64" s="890"/>
      <x:c r="N64" s="890"/>
      <x:c r="O64" s="890"/>
    </x:row>
    <x:row r="65" ht="32.400001525878906" hidden="0" customHeight="1">
      <x:c r="A65" s="890" t="str">
        <x:v>Departure Normal</x:v>
      </x:c>
      <x:c r="B65" s="890" t="str">
        <x:v>OPEN</x:v>
      </x:c>
      <x:c r="C65" s="890" t="str">
        <x:v>Hull13 + Engine3/Oxygen3/Living3</x:v>
      </x:c>
      <x:c r="D65" s="890" t="str">
        <x:v>5회 수리로 자연스럽게 전환 가능</x:v>
      </x:c>
      <x:c r="E65" s="890"/>
      <x:c r="F65" s="890"/>
      <x:c r="G65" s="890"/>
      <x:c r="H65" s="890"/>
      <x:c r="I65" s="890"/>
      <x:c r="J65" s="890"/>
      <x:c r="K65" s="890"/>
      <x:c r="L65" s="890"/>
      <x:c r="M65" s="890"/>
      <x:c r="N65" s="890"/>
      <x:c r="O65" s="890"/>
    </x:row>
    <x:row r="66" ht="32.400001525878906" hidden="0" customHeight="1">
      <x:c r="A66" s="890" t="str">
        <x:v>Hidden/Recheck</x:v>
      </x:c>
      <x:c r="B66" s="890" t="str">
        <x:v>OPEN</x:v>
      </x:c>
      <x:c r="C66" s="890" t="str">
        <x:v>Hull13 + Engine3/Oxygen3/Research5/Living3</x:v>
      </x:c>
      <x:c r="D66" s="890" t="str">
        <x:v>행성 준비를 해도 전환 가능</x:v>
      </x:c>
      <x:c r="E66" s="890"/>
      <x:c r="F66" s="890"/>
      <x:c r="G66" s="890"/>
      <x:c r="H66" s="890"/>
      <x:c r="I66" s="890"/>
      <x:c r="J66" s="890"/>
      <x:c r="K66" s="890"/>
      <x:c r="L66" s="890"/>
      <x:c r="M66" s="890"/>
      <x:c r="N66" s="890"/>
      <x:c r="O66" s="890"/>
    </x:row>
    <x:row r="67" ht="15" hidden="0" customHeight="1">
      <x:c r="A67" s="890"/>
      <x:c r="B67" s="890"/>
      <x:c r="C67" s="890"/>
      <x:c r="D67" s="890"/>
      <x:c r="E67" s="890"/>
      <x:c r="F67" s="890"/>
      <x:c r="G67" s="890"/>
      <x:c r="H67" s="890"/>
      <x:c r="I67" s="890"/>
      <x:c r="J67" s="890"/>
      <x:c r="K67" s="890"/>
      <x:c r="L67" s="890"/>
      <x:c r="M67" s="890"/>
      <x:c r="N67" s="890"/>
      <x:c r="O67" s="890"/>
    </x:row>
    <x:row r="68" ht="15" hidden="0" customHeight="1">
      <x:c r="A68" s="890" t="str">
        <x:v>시간 해석: Standard Repair를 제이 기본 2h로만 계산해도 Good Profile은 W1 10h + W2 14h, Storm Buffer는 W1 2h + W2 14h, Hidden/Recheck는 W1 6h + W2 10h다. 주당 총시간으로는 모두 가능하지만, authored Repair Slot 자체를 많이 점유하므로 Character·Preservation·Growth 선택과 경쟁한다. 특히 Hidden은 Repair 8회 외에 오아시스3+거주지3 보존(현재 Proxy 18h)도 필요하므로 '수리와 정착 준비를 동시에 풀맥스'하기는 어렵다.</x:v>
      </x:c>
      <x:c r="B68" s="890"/>
      <x:c r="C68" s="890"/>
      <x:c r="D68" s="890"/>
      <x:c r="E68" s="890"/>
      <x:c r="F68" s="890"/>
      <x:c r="G68" s="890"/>
      <x:c r="H68" s="890"/>
      <x:c r="I68" s="890"/>
      <x:c r="J68" s="890"/>
      <x:c r="K68" s="890"/>
      <x:c r="L68" s="890"/>
      <x:c r="M68" s="890"/>
      <x:c r="N68" s="890"/>
      <x:c r="O68" s="890"/>
    </x:row>
    <x:row r="69">
      <x:c r="A69" s="310"/>
      <x:c r="B69" s="310"/>
      <x:c r="C69" s="310"/>
      <x:c r="D69" s="310"/>
      <x:c r="E69" s="310"/>
      <x:c r="F69" s="310"/>
      <x:c r="G69" s="310"/>
      <x:c r="H69" s="310"/>
    </x:row>
    <x:row r="70">
      <x:c r="A70" s="310"/>
      <x:c r="B70" s="310"/>
      <x:c r="C70" s="310"/>
      <x:c r="D70" s="310"/>
      <x:c r="E70" s="310"/>
      <x:c r="F70" s="310"/>
      <x:c r="G70" s="310"/>
      <x:c r="H70" s="310"/>
    </x:row>
    <x:row r="71">
      <x:c r="A71" s="310"/>
      <x:c r="B71" s="310"/>
      <x:c r="C71" s="310"/>
      <x:c r="D71" s="310"/>
      <x:c r="E71" s="310"/>
      <x:c r="F71" s="310"/>
      <x:c r="G71" s="310"/>
      <x:c r="H71" s="310"/>
    </x:row>
    <x:row r="72">
      <x:c r="A72" s="310"/>
      <x:c r="B72" s="310"/>
      <x:c r="C72" s="310"/>
      <x:c r="D72" s="310"/>
      <x:c r="E72" s="310"/>
      <x:c r="F72" s="310"/>
      <x:c r="G72" s="310"/>
      <x:c r="H72" s="310"/>
    </x:row>
  </x:sheetData>
  <x:mergeCells>
    <x:mergeCell ref="A1:P1"/>
    <x:mergeCell ref="A2:P2"/>
    <x:mergeCell ref="A4:P4"/>
    <x:mergeCell ref="A13:P13"/>
    <x:mergeCell ref="A22:P22"/>
    <x:mergeCell ref="A31:P31"/>
    <x:mergeCell ref="A38:P38"/>
    <x:mergeCell ref="A48:P48"/>
    <x:mergeCell ref="A56:H59"/>
    <x:mergeCell ref="A61:P61"/>
    <x:mergeCell ref="J48:P48"/>
    <x:mergeCell ref="A68:H72"/>
  </x:mergeCells>
  <x:conditionalFormatting sqref="K24:K29">
    <x:cfRule type="expression" dxfId="43" priority="1">
      <x:formula>K24="PASS"</x:formula>
    </x:cfRule>
    <x:cfRule type="expression" dxfId="44" priority="2">
      <x:formula>K24="FAIL"</x:formula>
    </x:cfRule>
  </x:conditionalFormatting>
  <x:conditionalFormatting sqref="L24:L29">
    <x:cfRule type="expression" dxfId="45" priority="3">
      <x:formula>L24="좋음"</x:formula>
    </x:cfRule>
    <x:cfRule type="expression" dxfId="46" priority="4">
      <x:formula>L24="보통"</x:formula>
    </x:cfRule>
    <x:cfRule type="expression" dxfId="47" priority="5">
      <x:formula>L24="수리 필요"</x:formula>
    </x:cfRule>
  </x:conditionalFormatting>
  <x:conditionalFormatting sqref="K40:K45">
    <x:cfRule type="dataBar" priority="6">
      <x:dataBar>
        <x:cfvo type="min"/>
        <x:cfvo type="max"/>
        <x:color rgb="FFA02B93"/>
      </x:dataBar>
      <x:extLst>
        <x:ext xmlns:x14="http://schemas.microsoft.com/office/spreadsheetml/2009/9/main" uri="{B025F937-C7B1-47D3-B67F-A62EFF666E3E}">
          <x14:id>{564253CD-1AB6-D632-BE7A-8EC5D0C9F213}</x14:id>
        </x:ext>
      </x:extLst>
    </x:cfRule>
  </x:conditionalFormatting>
  <x:pageMargins left="0.7" right="0.7" top="0.75" bottom="0.75" header="0.3" footer="0.3"/>
  <x:drawing xmlns:r="http://schemas.openxmlformats.org/officeDocument/2006/relationships" r:id="Rcaa747ead151410d"/>
  <x:extLst>
    <x:ext xmlns:x14="http://schemas.microsoft.com/office/spreadsheetml/2009/9/main" xmlns:xm="http://schemas.microsoft.com/office/excel/2006/main" uri="{78C0D931-6437-407d-A8EE-F0AAD7539E65}">
      <x14:conditionalFormattings>
        <x14:conditionalFormatting>
          <x14:cfRule type="dataBar" priority="6" id="{564253CD-1AB6-D632-BE7A-8EC5D0C9F213}">
            <x14:dataBar gradient="1">
              <x14:cfvo type="min"/>
              <x14:cfvo type="max"/>
              <x14:fillColor rgb="FFA02B93"/>
            </x14:dataBar>
          </x14:cfRule>
          <xm:sqref>K40:K45</xm:sqref>
        </x14:conditionalFormatting>
      </x14:conditionalFormattings>
    </x:ext>
  </x:extLst>
</x:worksheet>
</file>

<file path=xl/worksheets/sheet14.xml><?xml version="1.0" encoding="utf-8"?>
<x:worksheet xmlns:x="http://schemas.openxmlformats.org/spreadsheetml/2006/main">
  <x:sheetFormatPr defaultRowHeight="15"/>
  <x:cols>
    <x:col min="1" max="1" width="14" hidden="0" customWidth="1"/>
    <x:col min="2" max="2" width="14" hidden="0" customWidth="1"/>
    <x:col min="3" max="3" width="26"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26" hidden="0" customWidth="1"/>
    <x:col min="15" max="15" width="16" hidden="0" customWidth="1"/>
    <x:col min="16" max="16" width="16" hidden="0" customWidth="1"/>
  </x:cols>
  <x:sheetData>
    <x:row r="1" ht="30" hidden="0" customHeight="1">
      <x:c r="A1" s="905" t="str">
        <x:v>W3 Full Facility Simulation v0.1 — Pattern A/B/C → Day21 ShipCondition</x:v>
      </x:c>
      <x:c r="B1" s="905"/>
      <x:c r="C1" s="905"/>
      <x:c r="D1" s="905"/>
      <x:c r="E1" s="905"/>
      <x:c r="F1" s="905"/>
      <x:c r="G1" s="905"/>
      <x:c r="H1" s="905"/>
      <x:c r="I1" s="905"/>
      <x:c r="J1" s="905"/>
      <x:c r="K1" s="905"/>
      <x:c r="L1" s="905"/>
      <x:c r="M1" s="905"/>
      <x:c r="N1" s="905"/>
      <x:c r="O1" s="312"/>
      <x:c r="P1" s="312"/>
    </x:row>
    <x:row r="2" ht="42" hidden="0" customHeight="1">
      <x:c r="A2" s="908" t="str">
        <x:v>주의: 이 시트는 5-Root Pattern 구조의 과거 시설 임계치 검증이다. Normal34/Good44 참고값은 유지하되, 현재 7-Root D15/D17/D19 Wave Director의 실제 압력은 15_W3BossRebalance에서 재검증.</x:v>
      </x:c>
      <x:c r="B2" s="908"/>
      <x:c r="C2" s="908"/>
      <x:c r="D2" s="908"/>
      <x:c r="E2" s="908"/>
      <x:c r="F2" s="908"/>
      <x:c r="G2" s="908"/>
      <x:c r="H2" s="908"/>
      <x:c r="I2" s="908"/>
      <x:c r="J2" s="908"/>
      <x:c r="K2" s="908"/>
      <x:c r="L2" s="908"/>
      <x:c r="M2" s="908"/>
      <x:c r="N2" s="908"/>
      <x:c r="O2" s="315"/>
      <x:c r="P2" s="315"/>
    </x:row>
    <x:row r="3" ht="15" hidden="0" customHeight="1">
      <x:c r="A3" s="890"/>
      <x:c r="B3" s="890"/>
      <x:c r="C3" s="890"/>
      <x:c r="D3" s="890"/>
      <x:c r="E3" s="890"/>
      <x:c r="F3" s="890"/>
      <x:c r="G3" s="890"/>
      <x:c r="H3" s="890"/>
      <x:c r="I3" s="890"/>
      <x:c r="J3" s="890"/>
      <x:c r="K3" s="890"/>
      <x:c r="L3" s="890"/>
      <x:c r="M3" s="890"/>
      <x:c r="N3" s="890"/>
    </x:row>
    <x:row r="4" ht="26" hidden="0" customHeight="1">
      <x:c r="A4" s="911" t="str">
        <x:v>1. 판정 기준</x:v>
      </x:c>
      <x:c r="B4" s="911"/>
      <x:c r="C4" s="911"/>
      <x:c r="D4" s="911"/>
      <x:c r="E4" s="911"/>
      <x:c r="F4" s="911"/>
      <x:c r="G4" s="911"/>
      <x:c r="H4" s="911"/>
      <x:c r="I4" s="911"/>
      <x:c r="J4" s="911"/>
      <x:c r="K4" s="911"/>
      <x:c r="L4" s="911"/>
      <x:c r="M4" s="911"/>
      <x:c r="N4" s="911"/>
      <x:c r="O4" s="316"/>
      <x:c r="P4" s="316"/>
    </x:row>
    <x:row r="5" ht="30" hidden="0" customHeight="1">
      <x:c r="A5" s="916" t="str">
        <x:v>항목</x:v>
      </x:c>
      <x:c r="B5" s="916" t="str">
        <x:v>기준</x:v>
      </x:c>
      <x:c r="C5" s="916" t="str">
        <x:v>상태</x:v>
      </x:c>
      <x:c r="D5" s="916"/>
      <x:c r="E5" s="916"/>
      <x:c r="F5" s="916"/>
      <x:c r="G5" s="916"/>
      <x:c r="H5" s="916"/>
      <x:c r="I5" s="916"/>
      <x:c r="J5" s="916"/>
      <x:c r="K5" s="916"/>
      <x:c r="L5" s="916"/>
      <x:c r="M5" s="916"/>
      <x:c r="N5" s="916"/>
    </x:row>
    <x:row r="6" ht="64.80000305175781" hidden="0" customHeight="1">
      <x:c r="A6" s="890" t="str">
        <x:v>Normal</x:v>
      </x:c>
      <x:c r="B6" s="890" t="str">
        <x:v>Hull&gt;=10 / Bridge&gt;=2 / Engine&gt;=3 / Oxygen&gt;=3 / Total&gt;=34 / 냉동·온실 기능정지 없음</x:v>
      </x:c>
      <x:c r="C6" s="890" t="str">
        <x:v>TEMP 검증대상</x:v>
      </x:c>
      <x:c r="D6" s="890"/>
      <x:c r="E6" s="890"/>
      <x:c r="F6" s="890"/>
      <x:c r="G6" s="890"/>
      <x:c r="H6" s="890"/>
      <x:c r="I6" s="890"/>
      <x:c r="J6" s="890"/>
      <x:c r="K6" s="890"/>
      <x:c r="L6" s="890"/>
      <x:c r="M6" s="890"/>
      <x:c r="N6" s="890"/>
    </x:row>
    <x:row r="7" ht="64.80000305175781" hidden="0" customHeight="1">
      <x:c r="A7" s="890" t="str">
        <x:v>Good</x:v>
      </x:c>
      <x:c r="B7" s="890" t="str">
        <x:v>Hull&gt;=15 / Bridge&gt;=4 / Engine&gt;=4 / Oxygen&gt;=4 / Total&gt;=44 / 냉동·온실 기능정지 없음</x:v>
      </x:c>
      <x:c r="C7" s="890" t="str">
        <x:v>TEMP 검증대상</x:v>
      </x:c>
      <x:c r="D7" s="890"/>
      <x:c r="E7" s="890"/>
      <x:c r="F7" s="890"/>
      <x:c r="G7" s="890"/>
      <x:c r="H7" s="890"/>
      <x:c r="I7" s="890"/>
      <x:c r="J7" s="890"/>
      <x:c r="K7" s="890"/>
      <x:c r="L7" s="890"/>
      <x:c r="M7" s="890"/>
      <x:c r="N7" s="890"/>
    </x:row>
    <x:row r="8" ht="43.20000076293945" hidden="0" customHeight="1">
      <x:c r="A8" s="890" t="str">
        <x:v>Controlled Cluster Damage A</x:v>
      </x:c>
      <x:c r="B8" s="890" t="str">
        <x:v>Research/Oxygen 쪽 1 Tick → Research-1, Freezer-1, Greenhouse-1</x:v>
      </x:c>
      <x:c r="C8" s="890" t="str">
        <x:v>13_FacilityTransition 기준</x:v>
      </x:c>
      <x:c r="D8" s="890"/>
      <x:c r="E8" s="890"/>
      <x:c r="F8" s="890"/>
      <x:c r="G8" s="890"/>
      <x:c r="H8" s="890"/>
      <x:c r="I8" s="890"/>
      <x:c r="J8" s="890"/>
      <x:c r="K8" s="890"/>
      <x:c r="L8" s="890"/>
      <x:c r="M8" s="890"/>
      <x:c r="N8" s="890"/>
    </x:row>
    <x:row r="9" ht="54" hidden="0" customHeight="1">
      <x:c r="A9" s="890" t="str">
        <x:v>Controlled Cluster Damage B</x:v>
      </x:c>
      <x:c r="B9" s="890" t="str">
        <x:v>Living&gt;=4면 Living-1, 아니면 Engineering Breach 1 Tick → Hull-1, Engine-1, Oxygen-1</x:v>
      </x:c>
      <x:c r="C9" s="890" t="str">
        <x:v>13_FacilityTransition 기준</x:v>
      </x:c>
      <x:c r="D9" s="890"/>
      <x:c r="E9" s="890"/>
      <x:c r="F9" s="890"/>
      <x:c r="G9" s="890"/>
      <x:c r="H9" s="890"/>
      <x:c r="I9" s="890"/>
      <x:c r="J9" s="890"/>
      <x:c r="K9" s="890"/>
      <x:c r="L9" s="890"/>
      <x:c r="M9" s="890"/>
      <x:c r="N9" s="890"/>
    </x:row>
    <x:row r="10" ht="54" hidden="0" customHeight="1">
      <x:c r="A10" s="890" t="str">
        <x:v>Controlled Cluster Damage C</x:v>
      </x:c>
      <x:c r="B10" s="890" t="str">
        <x:v>Engine/Oxygen&gt;=4면 Engineering 1 Tick, 아니면 Bridge Oxygen 1 Tick → Bridge-1</x:v>
      </x:c>
      <x:c r="C10" s="890" t="str">
        <x:v>13_FacilityTransition 기준</x:v>
      </x:c>
      <x:c r="D10" s="890"/>
      <x:c r="E10" s="890"/>
      <x:c r="F10" s="890"/>
      <x:c r="G10" s="890"/>
      <x:c r="H10" s="890"/>
      <x:c r="I10" s="890"/>
      <x:c r="J10" s="890"/>
      <x:c r="K10" s="890"/>
      <x:c r="L10" s="890"/>
      <x:c r="M10" s="890"/>
      <x:c r="N10" s="890"/>
    </x:row>
    <x:row r="11" ht="64.80000305175781" hidden="0" customHeight="1">
      <x:c r="A11" s="890" t="str">
        <x:v>3회 W3 Repair</x:v>
      </x:c>
      <x:c r="B11" s="890" t="str">
        <x:v>약 6h의 Standard Repair 투자. Quiet Day/단독 Root 이후에 현실적으로 확보 가능한 중간 투자량.</x:v>
      </x:c>
      <x:c r="C11" s="890" t="str">
        <x:v>검증 Proxy</x:v>
      </x:c>
      <x:c r="D11" s="890"/>
      <x:c r="E11" s="890"/>
      <x:c r="F11" s="890"/>
      <x:c r="G11" s="890"/>
      <x:c r="H11" s="890"/>
      <x:c r="I11" s="890"/>
      <x:c r="J11" s="890"/>
      <x:c r="K11" s="890"/>
      <x:c r="L11" s="890"/>
      <x:c r="M11" s="890"/>
      <x:c r="N11" s="890"/>
    </x:row>
    <x:row r="12" ht="43.20000076293945" hidden="0" customHeight="1">
      <x:c r="A12" s="890" t="str">
        <x:v>6회 W3 Repair</x:v>
      </x:c>
      <x:c r="B12" s="890" t="str">
        <x:v>D15~20의 하루 1회 Repair Slot을 거의 모두 사용한 적극적 복구.</x:v>
      </x:c>
      <x:c r="C12" s="890" t="str">
        <x:v>검증 Proxy</x:v>
      </x:c>
      <x:c r="D12" s="890"/>
      <x:c r="E12" s="890"/>
      <x:c r="F12" s="890"/>
      <x:c r="G12" s="890"/>
      <x:c r="H12" s="890"/>
      <x:c r="I12" s="890"/>
      <x:c r="J12" s="890"/>
      <x:c r="K12" s="890"/>
      <x:c r="L12" s="890"/>
      <x:c r="M12" s="890"/>
      <x:c r="N12" s="890"/>
    </x:row>
    <x:row r="13" ht="15" hidden="0" customHeight="1">
      <x:c r="A13" s="890"/>
      <x:c r="B13" s="890"/>
      <x:c r="C13" s="890"/>
      <x:c r="D13" s="890"/>
      <x:c r="E13" s="890"/>
      <x:c r="F13" s="890"/>
      <x:c r="G13" s="890"/>
      <x:c r="H13" s="890"/>
      <x:c r="I13" s="890"/>
      <x:c r="J13" s="890"/>
      <x:c r="K13" s="890"/>
      <x:c r="L13" s="890"/>
      <x:c r="M13" s="890"/>
      <x:c r="N13" s="890"/>
    </x:row>
    <x:row r="14" ht="26" hidden="0" customHeight="1">
      <x:c r="A14" s="911" t="str">
        <x:v>2. Profile × Pattern 결과</x:v>
      </x:c>
      <x:c r="B14" s="911"/>
      <x:c r="C14" s="911"/>
      <x:c r="D14" s="911"/>
      <x:c r="E14" s="911"/>
      <x:c r="F14" s="911"/>
      <x:c r="G14" s="911"/>
      <x:c r="H14" s="911"/>
      <x:c r="I14" s="911"/>
      <x:c r="J14" s="911"/>
      <x:c r="K14" s="911"/>
      <x:c r="L14" s="911"/>
      <x:c r="M14" s="911"/>
      <x:c r="N14" s="911"/>
      <x:c r="O14" s="316"/>
      <x:c r="P14" s="316"/>
    </x:row>
    <x:row r="15" ht="30" hidden="0" customHeight="1">
      <x:c r="A15" s="916" t="str">
        <x:v>Profile</x:v>
      </x:c>
      <x:c r="B15" s="916" t="str">
        <x:v>Pattern</x:v>
      </x:c>
      <x:c r="C15" s="916" t="str">
        <x:v>합리적 Triage</x:v>
      </x:c>
      <x:c r="D15" s="916" t="str">
        <x:v>Cluster 직후 Total</x:v>
      </x:c>
      <x:c r="E15" s="916" t="str">
        <x:v>직후 Condition</x:v>
      </x:c>
      <x:c r="F15" s="916" t="str">
        <x:v>Normal 복구 최소 수리</x:v>
      </x:c>
      <x:c r="G15" s="916" t="str">
        <x:v>최소 Normal 수리대상</x:v>
      </x:c>
      <x:c r="H15" s="916" t="str">
        <x:v>Good 도달 최소 수리</x:v>
      </x:c>
      <x:c r="I15" s="916" t="str">
        <x:v>3회 수리 후</x:v>
      </x:c>
      <x:c r="J15" s="916" t="str">
        <x:v>3회 Total</x:v>
      </x:c>
      <x:c r="K15" s="916" t="str">
        <x:v>6회 수리 후</x:v>
      </x:c>
      <x:c r="L15" s="916" t="str">
        <x:v>6회 Total</x:v>
      </x:c>
      <x:c r="M15" s="916" t="str">
        <x:v>Good 6회 내?</x:v>
      </x:c>
      <x:c r="N15" s="916" t="str">
        <x:v>해석</x:v>
      </x:c>
    </x:row>
    <x:row r="16" ht="32.400001525878906" hidden="0" customHeight="1">
      <x:c r="A16" s="890" t="str">
        <x:v>Shelter Minimum</x:v>
      </x:c>
      <x:c r="B16" s="890" t="str">
        <x:v>A</x:v>
      </x:c>
      <x:c r="C16" s="890" t="str">
        <x:v>연구 Oxygen 1 Tick</x:v>
      </x:c>
      <x:c r="D16" s="890" t="n">
        <x:v>26</x:v>
      </x:c>
      <x:c r="E16" s="890" t="str">
        <x:v>수리 필요</x:v>
      </x:c>
      <x:c r="F16" s="890" t="n">
        <x:v>3</x:v>
      </x:c>
      <x:c r="G16" s="890" t="str">
        <x:v>Hull, Hull, Engine</x:v>
      </x:c>
      <x:c r="H16" s="890" t="n">
        <x:v>10</x:v>
      </x:c>
      <x:c r="I16" s="890" t="str">
        <x:v>보통</x:v>
      </x:c>
      <x:c r="J16" s="890" t="n">
        <x:v>35</x:v>
      </x:c>
      <x:c r="K16" s="890" t="str">
        <x:v>보통</x:v>
      </x:c>
      <x:c r="L16" s="890" t="n">
        <x:v>40</x:v>
      </x:c>
      <x:c r="M16" s="890" t="str">
        <x:v>아니오</x:v>
      </x:c>
      <x:c r="N16" s="890" t="str">
        <x:v>W2 최소 준비. Pattern B는 1 Tick만으로 일시 항해불가까지 내려가며 W3 수리를 많이 요구.</x:v>
      </x:c>
    </x:row>
    <x:row r="17" ht="32.400001525878906" hidden="0" customHeight="1">
      <x:c r="A17" s="890" t="str">
        <x:v>Shelter Minimum</x:v>
      </x:c>
      <x:c r="B17" s="890" t="str">
        <x:v>B</x:v>
      </x:c>
      <x:c r="C17" s="890" t="str">
        <x:v>Engineering Breach 1 Tick</x:v>
      </x:c>
      <x:c r="D17" s="890" t="n">
        <x:v>26</x:v>
      </x:c>
      <x:c r="E17" s="890" t="str">
        <x:v>항해 불가</x:v>
      </x:c>
      <x:c r="F17" s="890" t="n">
        <x:v>5</x:v>
      </x:c>
      <x:c r="G17" s="890" t="str">
        <x:v>Hull, Hull, Engine, Engine, Oxygen</x:v>
      </x:c>
      <x:c r="H17" s="890" t="n">
        <x:v>10</x:v>
      </x:c>
      <x:c r="I17" s="890" t="str">
        <x:v>수리 필요</x:v>
      </x:c>
      <x:c r="J17" s="890" t="n">
        <x:v>35</x:v>
      </x:c>
      <x:c r="K17" s="890" t="str">
        <x:v>보통</x:v>
      </x:c>
      <x:c r="L17" s="890" t="n">
        <x:v>41</x:v>
      </x:c>
      <x:c r="M17" s="890" t="str">
        <x:v>아니오</x:v>
      </x:c>
      <x:c r="N17" s="890" t="str">
        <x:v>W2 최소 준비. Pattern B는 1 Tick만으로 일시 항해불가까지 내려가며 W3 수리를 많이 요구.</x:v>
      </x:c>
    </x:row>
    <x:row r="18" ht="32.400001525878906" hidden="0" customHeight="1">
      <x:c r="A18" s="890" t="str">
        <x:v>Shelter Minimum</x:v>
      </x:c>
      <x:c r="B18" s="890" t="str">
        <x:v>C</x:v>
      </x:c>
      <x:c r="C18" s="890" t="str">
        <x:v>Bridge Oxygen 1 Tick</x:v>
      </x:c>
      <x:c r="D18" s="890" t="n">
        <x:v>28</x:v>
      </x:c>
      <x:c r="E18" s="890" t="str">
        <x:v>수리 필요</x:v>
      </x:c>
      <x:c r="F18" s="890" t="n">
        <x:v>3</x:v>
      </x:c>
      <x:c r="G18" s="890" t="str">
        <x:v>Hull, Bridge, Engine</x:v>
      </x:c>
      <x:c r="H18" s="890" t="n">
        <x:v>9</x:v>
      </x:c>
      <x:c r="I18" s="890" t="str">
        <x:v>보통</x:v>
      </x:c>
      <x:c r="J18" s="890" t="n">
        <x:v>34</x:v>
      </x:c>
      <x:c r="K18" s="890" t="str">
        <x:v>보통</x:v>
      </x:c>
      <x:c r="L18" s="890" t="n">
        <x:v>42</x:v>
      </x:c>
      <x:c r="M18" s="890" t="str">
        <x:v>아니오</x:v>
      </x:c>
      <x:c r="N18" s="890" t="str">
        <x:v>W2 최소 준비. Pattern B는 1 Tick만으로 일시 항해불가까지 내려가며 W3 수리를 많이 요구.</x:v>
      </x:c>
    </x:row>
    <x:row r="19" ht="32.400001525878906" hidden="0" customHeight="1">
      <x:c r="A19" s="890" t="str">
        <x:v>Departure Normal</x:v>
      </x:c>
      <x:c r="B19" s="890" t="str">
        <x:v>A</x:v>
      </x:c>
      <x:c r="C19" s="890" t="str">
        <x:v>연구 Oxygen 1 Tick</x:v>
      </x:c>
      <x:c r="D19" s="890" t="n">
        <x:v>31</x:v>
      </x:c>
      <x:c r="E19" s="890" t="str">
        <x:v>수리 필요</x:v>
      </x:c>
      <x:c r="F19" s="890" t="n">
        <x:v>1</x:v>
      </x:c>
      <x:c r="G19" s="890" t="str">
        <x:v>Hull</x:v>
      </x:c>
      <x:c r="H19" s="890" t="n">
        <x:v>8</x:v>
      </x:c>
      <x:c r="I19" s="890" t="str">
        <x:v>보통</x:v>
      </x:c>
      <x:c r="J19" s="890" t="n">
        <x:v>39</x:v>
      </x:c>
      <x:c r="K19" s="890" t="str">
        <x:v>보통</x:v>
      </x:c>
      <x:c r="L19" s="890" t="n">
        <x:v>42</x:v>
      </x:c>
      <x:c r="M19" s="890" t="str">
        <x:v>아니오</x:v>
      </x:c>
      <x:c r="N19" s="890" t="str">
        <x:v>Normal 정확선. A/C는 1회, B는 3회 수리로 복구. Good은 W3 6회만으로 불가.</x:v>
      </x:c>
    </x:row>
    <x:row r="20" ht="32.400001525878906" hidden="0" customHeight="1">
      <x:c r="A20" s="890" t="str">
        <x:v>Departure Normal</x:v>
      </x:c>
      <x:c r="B20" s="890" t="str">
        <x:v>B</x:v>
      </x:c>
      <x:c r="C20" s="890" t="str">
        <x:v>Engineering Breach 1 Tick</x:v>
      </x:c>
      <x:c r="D20" s="890" t="n">
        <x:v>31</x:v>
      </x:c>
      <x:c r="E20" s="890" t="str">
        <x:v>수리 필요</x:v>
      </x:c>
      <x:c r="F20" s="890" t="n">
        <x:v>3</x:v>
      </x:c>
      <x:c r="G20" s="890" t="str">
        <x:v>Hull, Engine, Oxygen</x:v>
      </x:c>
      <x:c r="H20" s="890" t="n">
        <x:v>8</x:v>
      </x:c>
      <x:c r="I20" s="890" t="str">
        <x:v>보통</x:v>
      </x:c>
      <x:c r="J20" s="890" t="n">
        <x:v>37</x:v>
      </x:c>
      <x:c r="K20" s="890" t="str">
        <x:v>보통</x:v>
      </x:c>
      <x:c r="L20" s="890" t="n">
        <x:v>43</x:v>
      </x:c>
      <x:c r="M20" s="890" t="str">
        <x:v>아니오</x:v>
      </x:c>
      <x:c r="N20" s="890" t="str">
        <x:v>Normal 정확선. A/C는 1회, B는 3회 수리로 복구. Good은 W3 6회만으로 불가.</x:v>
      </x:c>
    </x:row>
    <x:row r="21" ht="32.400001525878906" hidden="0" customHeight="1">
      <x:c r="A21" s="890" t="str">
        <x:v>Departure Normal</x:v>
      </x:c>
      <x:c r="B21" s="890" t="str">
        <x:v>C</x:v>
      </x:c>
      <x:c r="C21" s="890" t="str">
        <x:v>Bridge Oxygen 1 Tick</x:v>
      </x:c>
      <x:c r="D21" s="890" t="n">
        <x:v>33</x:v>
      </x:c>
      <x:c r="E21" s="890" t="str">
        <x:v>수리 필요</x:v>
      </x:c>
      <x:c r="F21" s="890" t="n">
        <x:v>1</x:v>
      </x:c>
      <x:c r="G21" s="890" t="str">
        <x:v>Bridge</x:v>
      </x:c>
      <x:c r="H21" s="890" t="n">
        <x:v>7</x:v>
      </x:c>
      <x:c r="I21" s="890" t="str">
        <x:v>보통</x:v>
      </x:c>
      <x:c r="J21" s="890" t="n">
        <x:v>41</x:v>
      </x:c>
      <x:c r="K21" s="890" t="str">
        <x:v>보통</x:v>
      </x:c>
      <x:c r="L21" s="890" t="n">
        <x:v>44</x:v>
      </x:c>
      <x:c r="M21" s="890" t="str">
        <x:v>아니오</x:v>
      </x:c>
      <x:c r="N21" s="890" t="str">
        <x:v>Normal 정확선. A/C는 1회, B는 3회 수리로 복구. Good은 W3 6회만으로 불가.</x:v>
      </x:c>
    </x:row>
    <x:row r="22" ht="21.600000381469727" hidden="0" customHeight="1">
      <x:c r="A22" s="890" t="str">
        <x:v>Living Buffer</x:v>
      </x:c>
      <x:c r="B22" s="890" t="str">
        <x:v>A</x:v>
      </x:c>
      <x:c r="C22" s="890" t="str">
        <x:v>연구 Oxygen 1 Tick</x:v>
      </x:c>
      <x:c r="D22" s="890" t="n">
        <x:v>32</x:v>
      </x:c>
      <x:c r="E22" s="890" t="str">
        <x:v>수리 필요</x:v>
      </x:c>
      <x:c r="F22" s="890" t="n">
        <x:v>1</x:v>
      </x:c>
      <x:c r="G22" s="890" t="str">
        <x:v>Hull</x:v>
      </x:c>
      <x:c r="H22" s="890" t="n">
        <x:v>7</x:v>
      </x:c>
      <x:c r="I22" s="890" t="str">
        <x:v>보통</x:v>
      </x:c>
      <x:c r="J22" s="890" t="n">
        <x:v>40</x:v>
      </x:c>
      <x:c r="K22" s="890" t="str">
        <x:v>보통</x:v>
      </x:c>
      <x:c r="L22" s="890" t="n">
        <x:v>43</x:v>
      </x:c>
      <x:c r="M22" s="890" t="str">
        <x:v>아니오</x:v>
      </x:c>
      <x:c r="N22" s="890" t="str">
        <x:v>Pattern B에서 Living Tick을 그대로 흡수. 작은 W2 추가투자의 가치가 큼.</x:v>
      </x:c>
    </x:row>
    <x:row r="23" ht="21.600000381469727" hidden="0" customHeight="1">
      <x:c r="A23" s="890" t="str">
        <x:v>Living Buffer</x:v>
      </x:c>
      <x:c r="B23" s="890" t="str">
        <x:v>B</x:v>
      </x:c>
      <x:c r="C23" s="890" t="str">
        <x:v>거주 Oxygen 1 Tick</x:v>
      </x:c>
      <x:c r="D23" s="890" t="n">
        <x:v>34</x:v>
      </x:c>
      <x:c r="E23" s="890" t="str">
        <x:v>보통</x:v>
      </x:c>
      <x:c r="F23" s="890" t="n">
        <x:v>0</x:v>
      </x:c>
      <x:c r="G23" s="890" t="str">
        <x:v>없음</x:v>
      </x:c>
      <x:c r="H23" s="890" t="n">
        <x:v>6</x:v>
      </x:c>
      <x:c r="I23" s="890" t="str">
        <x:v>보통</x:v>
      </x:c>
      <x:c r="J23" s="890" t="n">
        <x:v>42</x:v>
      </x:c>
      <x:c r="K23" s="890" t="str">
        <x:v>좋음</x:v>
      </x:c>
      <x:c r="L23" s="890" t="n">
        <x:v>45</x:v>
      </x:c>
      <x:c r="M23" s="890" t="str">
        <x:v>예</x:v>
      </x:c>
      <x:c r="N23" s="890" t="str">
        <x:v>Pattern B에서 Living Tick을 그대로 흡수. 작은 W2 추가투자의 가치가 큼.</x:v>
      </x:c>
    </x:row>
    <x:row r="24" ht="21.600000381469727" hidden="0" customHeight="1">
      <x:c r="A24" s="890" t="str">
        <x:v>Living Buffer</x:v>
      </x:c>
      <x:c r="B24" s="890" t="str">
        <x:v>C</x:v>
      </x:c>
      <x:c r="C24" s="890" t="str">
        <x:v>Bridge Oxygen 1 Tick</x:v>
      </x:c>
      <x:c r="D24" s="890" t="n">
        <x:v>34</x:v>
      </x:c>
      <x:c r="E24" s="890" t="str">
        <x:v>수리 필요</x:v>
      </x:c>
      <x:c r="F24" s="890" t="n">
        <x:v>1</x:v>
      </x:c>
      <x:c r="G24" s="890" t="str">
        <x:v>Bridge</x:v>
      </x:c>
      <x:c r="H24" s="890" t="n">
        <x:v>7</x:v>
      </x:c>
      <x:c r="I24" s="890" t="str">
        <x:v>보통</x:v>
      </x:c>
      <x:c r="J24" s="890" t="n">
        <x:v>42</x:v>
      </x:c>
      <x:c r="K24" s="890" t="str">
        <x:v>보통</x:v>
      </x:c>
      <x:c r="L24" s="890" t="n">
        <x:v>45</x:v>
      </x:c>
      <x:c r="M24" s="890" t="str">
        <x:v>아니오</x:v>
      </x:c>
      <x:c r="N24" s="890" t="str">
        <x:v>Pattern B에서 Living Tick을 그대로 흡수. 작은 W2 추가투자의 가치가 큼.</x:v>
      </x:c>
    </x:row>
    <x:row r="25" ht="32.400001525878906" hidden="0" customHeight="1">
      <x:c r="A25" s="890" t="str">
        <x:v>Storm Buffer</x:v>
      </x:c>
      <x:c r="B25" s="890" t="str">
        <x:v>A</x:v>
      </x:c>
      <x:c r="C25" s="890" t="str">
        <x:v>연구 Oxygen 1 Tick</x:v>
      </x:c>
      <x:c r="D25" s="890" t="n">
        <x:v>34</x:v>
      </x:c>
      <x:c r="E25" s="890" t="str">
        <x:v>보통</x:v>
      </x:c>
      <x:c r="F25" s="890" t="n">
        <x:v>0</x:v>
      </x:c>
      <x:c r="G25" s="890" t="str">
        <x:v>없음</x:v>
      </x:c>
      <x:c r="H25" s="890" t="n">
        <x:v>5</x:v>
      </x:c>
      <x:c r="I25" s="890" t="str">
        <x:v>보통</x:v>
      </x:c>
      <x:c r="J25" s="890" t="n">
        <x:v>42</x:v>
      </x:c>
      <x:c r="K25" s="890" t="str">
        <x:v>좋음</x:v>
      </x:c>
      <x:c r="L25" s="890" t="n">
        <x:v>45</x:v>
      </x:c>
      <x:c r="M25" s="890" t="str">
        <x:v>예</x:v>
      </x:c>
      <x:c r="N25" s="890" t="str">
        <x:v>모든 Pattern에서 Cluster 1 Tick 후에도 Normal 유지. 4~6회 W3 수리로 Good 가능.</x:v>
      </x:c>
    </x:row>
    <x:row r="26" ht="32.400001525878906" hidden="0" customHeight="1">
      <x:c r="A26" s="890" t="str">
        <x:v>Storm Buffer</x:v>
      </x:c>
      <x:c r="B26" s="890" t="str">
        <x:v>B</x:v>
      </x:c>
      <x:c r="C26" s="890" t="str">
        <x:v>거주 Oxygen 1 Tick</x:v>
      </x:c>
      <x:c r="D26" s="890" t="n">
        <x:v>36</x:v>
      </x:c>
      <x:c r="E26" s="890" t="str">
        <x:v>보통</x:v>
      </x:c>
      <x:c r="F26" s="890" t="n">
        <x:v>0</x:v>
      </x:c>
      <x:c r="G26" s="890" t="str">
        <x:v>없음</x:v>
      </x:c>
      <x:c r="H26" s="890" t="n">
        <x:v>4</x:v>
      </x:c>
      <x:c r="I26" s="890" t="str">
        <x:v>보통</x:v>
      </x:c>
      <x:c r="J26" s="890" t="n">
        <x:v>44</x:v>
      </x:c>
      <x:c r="K26" s="890" t="str">
        <x:v>좋음</x:v>
      </x:c>
      <x:c r="L26" s="890" t="n">
        <x:v>47</x:v>
      </x:c>
      <x:c r="M26" s="890" t="str">
        <x:v>예</x:v>
      </x:c>
      <x:c r="N26" s="890" t="str">
        <x:v>모든 Pattern에서 Cluster 1 Tick 후에도 Normal 유지. 4~6회 W3 수리로 Good 가능.</x:v>
      </x:c>
    </x:row>
    <x:row r="27" ht="32.400001525878906" hidden="0" customHeight="1">
      <x:c r="A27" s="890" t="str">
        <x:v>Storm Buffer</x:v>
      </x:c>
      <x:c r="B27" s="890" t="str">
        <x:v>C</x:v>
      </x:c>
      <x:c r="C27" s="890" t="str">
        <x:v>Engineering Breach 1 Tick</x:v>
      </x:c>
      <x:c r="D27" s="890" t="n">
        <x:v>34</x:v>
      </x:c>
      <x:c r="E27" s="890" t="str">
        <x:v>보통</x:v>
      </x:c>
      <x:c r="F27" s="890" t="n">
        <x:v>0</x:v>
      </x:c>
      <x:c r="G27" s="890" t="str">
        <x:v>없음</x:v>
      </x:c>
      <x:c r="H27" s="890" t="n">
        <x:v>6</x:v>
      </x:c>
      <x:c r="I27" s="890" t="str">
        <x:v>보통</x:v>
      </x:c>
      <x:c r="J27" s="890" t="n">
        <x:v>43</x:v>
      </x:c>
      <x:c r="K27" s="890" t="str">
        <x:v>좋음</x:v>
      </x:c>
      <x:c r="L27" s="890" t="n">
        <x:v>46</x:v>
      </x:c>
      <x:c r="M27" s="890" t="str">
        <x:v>예</x:v>
      </x:c>
      <x:c r="N27" s="890" t="str">
        <x:v>모든 Pattern에서 Cluster 1 Tick 후에도 Normal 유지. 4~6회 W3 수리로 Good 가능.</x:v>
      </x:c>
    </x:row>
    <x:row r="28" ht="32.400001525878906" hidden="0" customHeight="1">
      <x:c r="A28" s="890" t="str">
        <x:v>Hidden/Recheck</x:v>
      </x:c>
      <x:c r="B28" s="890" t="str">
        <x:v>A</x:v>
      </x:c>
      <x:c r="C28" s="890" t="str">
        <x:v>연구 Oxygen 1 Tick</x:v>
      </x:c>
      <x:c r="D28" s="890" t="n">
        <x:v>34</x:v>
      </x:c>
      <x:c r="E28" s="890" t="str">
        <x:v>보통</x:v>
      </x:c>
      <x:c r="F28" s="890" t="n">
        <x:v>0</x:v>
      </x:c>
      <x:c r="G28" s="890" t="str">
        <x:v>없음</x:v>
      </x:c>
      <x:c r="H28" s="890" t="n">
        <x:v>6</x:v>
      </x:c>
      <x:c r="I28" s="890" t="str">
        <x:v>보통</x:v>
      </x:c>
      <x:c r="J28" s="890" t="n">
        <x:v>42</x:v>
      </x:c>
      <x:c r="K28" s="890" t="str">
        <x:v>좋음</x:v>
      </x:c>
      <x:c r="L28" s="890" t="n">
        <x:v>45</x:v>
      </x:c>
      <x:c r="M28" s="890" t="str">
        <x:v>예</x:v>
      </x:c>
      <x:c r="N28" s="890" t="str">
        <x:v>A는 무수리 Normal, B/C는 2/1회 복구. Hidden의 Normal+ 조건은 충분히 유지 가능.</x:v>
      </x:c>
    </x:row>
    <x:row r="29" ht="32.400001525878906" hidden="0" customHeight="1">
      <x:c r="A29" s="890" t="str">
        <x:v>Hidden/Recheck</x:v>
      </x:c>
      <x:c r="B29" s="890" t="str">
        <x:v>B</x:v>
      </x:c>
      <x:c r="C29" s="890" t="str">
        <x:v>Engineering Breach 1 Tick</x:v>
      </x:c>
      <x:c r="D29" s="890" t="n">
        <x:v>34</x:v>
      </x:c>
      <x:c r="E29" s="890" t="str">
        <x:v>수리 필요</x:v>
      </x:c>
      <x:c r="F29" s="890" t="n">
        <x:v>2</x:v>
      </x:c>
      <x:c r="G29" s="890" t="str">
        <x:v>Engine, Oxygen</x:v>
      </x:c>
      <x:c r="H29" s="890" t="n">
        <x:v>7</x:v>
      </x:c>
      <x:c r="I29" s="890" t="str">
        <x:v>보통</x:v>
      </x:c>
      <x:c r="J29" s="890" t="n">
        <x:v>40</x:v>
      </x:c>
      <x:c r="K29" s="890" t="str">
        <x:v>보통</x:v>
      </x:c>
      <x:c r="L29" s="890" t="n">
        <x:v>46</x:v>
      </x:c>
      <x:c r="M29" s="890" t="str">
        <x:v>아니오</x:v>
      </x:c>
      <x:c r="N29" s="890" t="str">
        <x:v>A는 무수리 Normal, B/C는 2/1회 복구. Hidden의 Normal+ 조건은 충분히 유지 가능.</x:v>
      </x:c>
    </x:row>
    <x:row r="30" ht="32.400001525878906" hidden="0" customHeight="1">
      <x:c r="A30" s="890" t="str">
        <x:v>Hidden/Recheck</x:v>
      </x:c>
      <x:c r="B30" s="890" t="str">
        <x:v>C</x:v>
      </x:c>
      <x:c r="C30" s="890" t="str">
        <x:v>Bridge Oxygen 1 Tick</x:v>
      </x:c>
      <x:c r="D30" s="890" t="n">
        <x:v>36</x:v>
      </x:c>
      <x:c r="E30" s="890" t="str">
        <x:v>수리 필요</x:v>
      </x:c>
      <x:c r="F30" s="890" t="n">
        <x:v>1</x:v>
      </x:c>
      <x:c r="G30" s="890" t="str">
        <x:v>Bridge</x:v>
      </x:c>
      <x:c r="H30" s="890" t="n">
        <x:v>6</x:v>
      </x:c>
      <x:c r="I30" s="890" t="str">
        <x:v>보통</x:v>
      </x:c>
      <x:c r="J30" s="890" t="n">
        <x:v>44</x:v>
      </x:c>
      <x:c r="K30" s="890" t="str">
        <x:v>좋음</x:v>
      </x:c>
      <x:c r="L30" s="890" t="n">
        <x:v>45</x:v>
      </x:c>
      <x:c r="M30" s="890" t="str">
        <x:v>예</x:v>
      </x:c>
      <x:c r="N30" s="890" t="str">
        <x:v>A는 무수리 Normal, B/C는 2/1회 복구. Hidden의 Normal+ 조건은 충분히 유지 가능.</x:v>
      </x:c>
    </x:row>
    <x:row r="31" ht="21.600000381469727" hidden="0" customHeight="1">
      <x:c r="A31" s="890" t="str">
        <x:v>Maximum Ship Good</x:v>
      </x:c>
      <x:c r="B31" s="890" t="str">
        <x:v>A</x:v>
      </x:c>
      <x:c r="C31" s="890" t="str">
        <x:v>연구 Oxygen 1 Tick</x:v>
      </x:c>
      <x:c r="D31" s="890" t="n">
        <x:v>41</x:v>
      </x:c>
      <x:c r="E31" s="890" t="str">
        <x:v>보통</x:v>
      </x:c>
      <x:c r="F31" s="890" t="n">
        <x:v>0</x:v>
      </x:c>
      <x:c r="G31" s="890" t="str">
        <x:v>없음</x:v>
      </x:c>
      <x:c r="H31" s="890" t="n">
        <x:v>1</x:v>
      </x:c>
      <x:c r="I31" s="890" t="str">
        <x:v>좋음</x:v>
      </x:c>
      <x:c r="J31" s="890" t="n">
        <x:v>46</x:v>
      </x:c>
      <x:c r="K31" s="890" t="str">
        <x:v>좋음</x:v>
      </x:c>
      <x:c r="L31" s="890" t="n">
        <x:v>49</x:v>
      </x:c>
      <x:c r="M31" s="890" t="str">
        <x:v>예</x:v>
      </x:c>
      <x:c r="N31" s="890" t="str">
        <x:v>Cluster 직후 Good→Normal로 떨어져도 1~3회 수리면 Good 복귀.</x:v>
      </x:c>
    </x:row>
    <x:row r="32" ht="21.600000381469727" hidden="0" customHeight="1">
      <x:c r="A32" s="890" t="str">
        <x:v>Maximum Ship Good</x:v>
      </x:c>
      <x:c r="B32" s="890" t="str">
        <x:v>B</x:v>
      </x:c>
      <x:c r="C32" s="890" t="str">
        <x:v>거주 Oxygen 1 Tick</x:v>
      </x:c>
      <x:c r="D32" s="890" t="n">
        <x:v>43</x:v>
      </x:c>
      <x:c r="E32" s="890" t="str">
        <x:v>보통</x:v>
      </x:c>
      <x:c r="F32" s="890" t="n">
        <x:v>0</x:v>
      </x:c>
      <x:c r="G32" s="890" t="str">
        <x:v>없음</x:v>
      </x:c>
      <x:c r="H32" s="890" t="n">
        <x:v>1</x:v>
      </x:c>
      <x:c r="I32" s="890" t="str">
        <x:v>좋음</x:v>
      </x:c>
      <x:c r="J32" s="890" t="n">
        <x:v>48</x:v>
      </x:c>
      <x:c r="K32" s="890" t="str">
        <x:v>좋음</x:v>
      </x:c>
      <x:c r="L32" s="890" t="n">
        <x:v>51</x:v>
      </x:c>
      <x:c r="M32" s="890" t="str">
        <x:v>예</x:v>
      </x:c>
      <x:c r="N32" s="890" t="str">
        <x:v>Cluster 직후 Good→Normal로 떨어져도 1~3회 수리면 Good 복귀.</x:v>
      </x:c>
    </x:row>
    <x:row r="33" ht="21.600000381469727" hidden="0" customHeight="1">
      <x:c r="A33" s="890" t="str">
        <x:v>Maximum Ship Good</x:v>
      </x:c>
      <x:c r="B33" s="890" t="str">
        <x:v>C</x:v>
      </x:c>
      <x:c r="C33" s="890" t="str">
        <x:v>Engineering Breach 1 Tick</x:v>
      </x:c>
      <x:c r="D33" s="890" t="n">
        <x:v>41</x:v>
      </x:c>
      <x:c r="E33" s="890" t="str">
        <x:v>보통</x:v>
      </x:c>
      <x:c r="F33" s="890" t="n">
        <x:v>0</x:v>
      </x:c>
      <x:c r="G33" s="890" t="str">
        <x:v>없음</x:v>
      </x:c>
      <x:c r="H33" s="890" t="n">
        <x:v>3</x:v>
      </x:c>
      <x:c r="I33" s="890" t="str">
        <x:v>좋음</x:v>
      </x:c>
      <x:c r="J33" s="890" t="n">
        <x:v>47</x:v>
      </x:c>
      <x:c r="K33" s="890" t="str">
        <x:v>좋음</x:v>
      </x:c>
      <x:c r="L33" s="890" t="n">
        <x:v>50</x:v>
      </x:c>
      <x:c r="M33" s="890" t="str">
        <x:v>예</x:v>
      </x:c>
      <x:c r="N33" s="890" t="str">
        <x:v>Cluster 직후 Good→Normal로 떨어져도 1~3회 수리면 Good 복귀.</x:v>
      </x:c>
    </x:row>
    <x:row r="34" ht="15" hidden="0" customHeight="1">
      <x:c r="A34" s="890"/>
      <x:c r="B34" s="890"/>
      <x:c r="C34" s="890"/>
      <x:c r="D34" s="890"/>
      <x:c r="E34" s="890"/>
      <x:c r="F34" s="890"/>
      <x:c r="G34" s="890"/>
      <x:c r="H34" s="890"/>
      <x:c r="I34" s="890"/>
      <x:c r="J34" s="890"/>
      <x:c r="K34" s="890"/>
      <x:c r="L34" s="890"/>
      <x:c r="M34" s="890"/>
      <x:c r="N34" s="890"/>
    </x:row>
    <x:row r="35" ht="15" hidden="0" customHeight="1">
      <x:c r="A35" s="890"/>
      <x:c r="B35" s="890"/>
      <x:c r="C35" s="890"/>
      <x:c r="D35" s="890"/>
      <x:c r="E35" s="890"/>
      <x:c r="F35" s="890"/>
      <x:c r="G35" s="890"/>
      <x:c r="H35" s="890"/>
      <x:c r="I35" s="890"/>
      <x:c r="J35" s="890"/>
      <x:c r="K35" s="890"/>
      <x:c r="L35" s="890"/>
      <x:c r="M35" s="890"/>
      <x:c r="N35" s="890"/>
    </x:row>
    <x:row r="36" ht="26" hidden="0" customHeight="1">
      <x:c r="A36" s="911" t="str">
        <x:v>3. 핵심 Profile만 요약</x:v>
      </x:c>
      <x:c r="B36" s="911"/>
      <x:c r="C36" s="911"/>
      <x:c r="D36" s="911"/>
      <x:c r="E36" s="911"/>
      <x:c r="F36" s="911"/>
      <x:c r="G36" s="911"/>
      <x:c r="H36" s="911"/>
      <x:c r="I36" s="911"/>
      <x:c r="J36" s="911"/>
      <x:c r="K36" s="911"/>
      <x:c r="L36" s="911"/>
      <x:c r="M36" s="911"/>
      <x:c r="N36" s="911"/>
      <x:c r="O36" s="316"/>
      <x:c r="P36" s="316"/>
    </x:row>
    <x:row r="37" ht="30" hidden="0" customHeight="1">
      <x:c r="A37" s="916" t="str">
        <x:v>Profile</x:v>
      </x:c>
      <x:c r="B37" s="916" t="str">
        <x:v>Pattern A Normal 최소</x:v>
      </x:c>
      <x:c r="C37" s="916" t="str">
        <x:v>Pattern B Normal 최소</x:v>
      </x:c>
      <x:c r="D37" s="916" t="str">
        <x:v>Pattern C Normal 최소</x:v>
      </x:c>
      <x:c r="E37" s="916" t="str">
        <x:v>6회 내 Good 가능한 Pattern</x:v>
      </x:c>
      <x:c r="F37" s="916" t="str">
        <x:v>W2 의미</x:v>
      </x:c>
      <x:c r="G37" s="916" t="str">
        <x:v>W3 의미</x:v>
      </x:c>
      <x:c r="H37" s="916" t="str">
        <x:v>판정</x:v>
      </x:c>
      <x:c r="I37" s="916"/>
      <x:c r="J37" s="916"/>
      <x:c r="K37" s="916"/>
      <x:c r="L37" s="916"/>
      <x:c r="M37" s="916"/>
      <x:c r="N37" s="916"/>
    </x:row>
    <x:row r="38" ht="21.600000381469727" hidden="0" customHeight="1">
      <x:c r="A38" s="890" t="str">
        <x:v>Shelter Minimum</x:v>
      </x:c>
      <x:c r="B38" s="890" t="n">
        <x:v>3</x:v>
      </x:c>
      <x:c r="C38" s="890" t="n">
        <x:v>5</x:v>
      </x:c>
      <x:c r="D38" s="890" t="n">
        <x:v>3</x:v>
      </x:c>
      <x:c r="E38" s="890" t="str">
        <x:v>0/3</x:v>
      </x:c>
      <x:c r="F38" s="890" t="str">
        <x:v>Bad2만 피함</x:v>
      </x:c>
      <x:c r="G38" s="890" t="str">
        <x:v>A/C 3회, B 5회까지 수리 요구</x:v>
      </x:c>
      <x:c r="H38" s="890" t="str">
        <x:v>의도한 최소선</x:v>
      </x:c>
      <x:c r="I38" s="890"/>
      <x:c r="J38" s="890"/>
      <x:c r="K38" s="890"/>
      <x:c r="L38" s="890"/>
      <x:c r="M38" s="890"/>
      <x:c r="N38" s="890"/>
    </x:row>
    <x:row r="39" ht="32.400001525878906" hidden="0" customHeight="1">
      <x:c r="A39" s="890" t="str">
        <x:v>Departure Normal</x:v>
      </x:c>
      <x:c r="B39" s="890" t="n">
        <x:v>1</x:v>
      </x:c>
      <x:c r="C39" s="890" t="n">
        <x:v>3</x:v>
      </x:c>
      <x:c r="D39" s="890" t="n">
        <x:v>1</x:v>
      </x:c>
      <x:c r="E39" s="890" t="str">
        <x:v>0/3</x:v>
      </x:c>
      <x:c r="F39" s="890" t="str">
        <x:v>5회로 Normal 정확선</x:v>
      </x:c>
      <x:c r="G39" s="890" t="str">
        <x:v>3회 W3 수리면 A/B/C 모두 Normal 복귀</x:v>
      </x:c>
      <x:c r="H39" s="890" t="str">
        <x:v>Normal34 적절</x:v>
      </x:c>
      <x:c r="I39" s="890"/>
      <x:c r="J39" s="890"/>
      <x:c r="K39" s="890"/>
      <x:c r="L39" s="890"/>
      <x:c r="M39" s="890"/>
      <x:c r="N39" s="890"/>
    </x:row>
    <x:row r="40" ht="21.600000381469727" hidden="0" customHeight="1">
      <x:c r="A40" s="890" t="str">
        <x:v>Storm Buffer</x:v>
      </x:c>
      <x:c r="B40" s="890" t="n">
        <x:v>0</x:v>
      </x:c>
      <x:c r="C40" s="890" t="n">
        <x:v>0</x:v>
      </x:c>
      <x:c r="D40" s="890" t="n">
        <x:v>0</x:v>
      </x:c>
      <x:c r="E40" s="890" t="str">
        <x:v>3/3</x:v>
      </x:c>
      <x:c r="F40" s="890" t="str">
        <x:v>8회 생존 특화</x:v>
      </x:c>
      <x:c r="G40" s="890" t="str">
        <x:v>수리 없이 Normal, 적극 복구 시 Good</x:v>
      </x:c>
      <x:c r="H40" s="890" t="str">
        <x:v>버퍼 가치 명확</x:v>
      </x:c>
      <x:c r="I40" s="890"/>
      <x:c r="J40" s="890"/>
      <x:c r="K40" s="890"/>
      <x:c r="L40" s="890"/>
      <x:c r="M40" s="890"/>
      <x:c r="N40" s="890"/>
    </x:row>
    <x:row r="41" ht="21.600000381469727" hidden="0" customHeight="1">
      <x:c r="A41" s="890" t="str">
        <x:v>Hidden/Recheck</x:v>
      </x:c>
      <x:c r="B41" s="890" t="n">
        <x:v>0</x:v>
      </x:c>
      <x:c r="C41" s="890" t="n">
        <x:v>2</x:v>
      </x:c>
      <x:c r="D41" s="890" t="n">
        <x:v>1</x:v>
      </x:c>
      <x:c r="E41" s="890" t="str">
        <x:v>2/3</x:v>
      </x:c>
      <x:c r="F41" s="890" t="str">
        <x:v>8회 + Research5</x:v>
      </x:c>
      <x:c r="G41" s="890" t="str">
        <x:v>모든 Pattern 0~2회로 Normal 회복</x:v>
      </x:c>
      <x:c r="H41" s="890" t="str">
        <x:v>Hidden Normal+ 가능</x:v>
      </x:c>
      <x:c r="I41" s="890"/>
      <x:c r="J41" s="890"/>
      <x:c r="K41" s="890"/>
      <x:c r="L41" s="890"/>
      <x:c r="M41" s="890"/>
      <x:c r="N41" s="890"/>
    </x:row>
    <x:row r="42" ht="15" hidden="0" customHeight="1">
      <x:c r="A42" s="890" t="str">
        <x:v>Maximum Ship Good</x:v>
      </x:c>
      <x:c r="B42" s="890" t="n">
        <x:v>0</x:v>
      </x:c>
      <x:c r="C42" s="890" t="n">
        <x:v>0</x:v>
      </x:c>
      <x:c r="D42" s="890" t="n">
        <x:v>0</x:v>
      </x:c>
      <x:c r="E42" s="890" t="str">
        <x:v>3/3</x:v>
      </x:c>
      <x:c r="F42" s="890" t="str">
        <x:v>12회 극단 준비</x:v>
      </x:c>
      <x:c r="G42" s="890" t="str">
        <x:v>1~3회로 Good 복귀</x:v>
      </x:c>
      <x:c r="H42" s="890" t="str">
        <x:v>Good44 적절</x:v>
      </x:c>
      <x:c r="I42" s="890"/>
      <x:c r="J42" s="890"/>
      <x:c r="K42" s="890"/>
      <x:c r="L42" s="890"/>
      <x:c r="M42" s="890"/>
      <x:c r="N42" s="890"/>
    </x:row>
    <x:row r="43" ht="15" hidden="0" customHeight="1">
      <x:c r="A43" s="890"/>
      <x:c r="B43" s="890"/>
      <x:c r="C43" s="890"/>
      <x:c r="D43" s="890"/>
      <x:c r="E43" s="890"/>
      <x:c r="F43" s="890"/>
      <x:c r="G43" s="890"/>
      <x:c r="H43" s="890"/>
      <x:c r="I43" s="890"/>
      <x:c r="J43" s="890"/>
      <x:c r="K43" s="890"/>
      <x:c r="L43" s="890"/>
      <x:c r="M43" s="890"/>
      <x:c r="N43" s="890"/>
    </x:row>
    <x:row r="44" ht="26" hidden="0" customHeight="1">
      <x:c r="A44" s="911" t="str">
        <x:v>4. 실제 W3 수리 스케줄 예시 — 수리 횟수가 '가능'한가</x:v>
      </x:c>
      <x:c r="B44" s="911"/>
      <x:c r="C44" s="911"/>
      <x:c r="D44" s="911"/>
      <x:c r="E44" s="911"/>
      <x:c r="F44" s="911"/>
      <x:c r="G44" s="911"/>
      <x:c r="H44" s="911"/>
      <x:c r="I44" s="911"/>
      <x:c r="J44" s="911"/>
      <x:c r="K44" s="911"/>
      <x:c r="L44" s="911"/>
      <x:c r="M44" s="911"/>
      <x:c r="N44" s="911"/>
      <x:c r="O44" s="316"/>
      <x:c r="P44" s="316"/>
    </x:row>
    <x:row r="45" ht="30" hidden="0" customHeight="1">
      <x:c r="A45" s="916" t="str">
        <x:v>Case</x:v>
      </x:c>
      <x:c r="B45" s="916" t="str">
        <x:v>D15~17 준비</x:v>
      </x:c>
      <x:c r="C45" s="916" t="str">
        <x:v>Cluster</x:v>
      </x:c>
      <x:c r="D45" s="916" t="str">
        <x:v>D18~20 후속</x:v>
      </x:c>
      <x:c r="E45" s="916" t="str">
        <x:v>최종</x:v>
      </x:c>
      <x:c r="F45" s="916" t="str">
        <x:v>의미</x:v>
      </x:c>
      <x:c r="G45" s="916"/>
      <x:c r="H45" s="916"/>
      <x:c r="I45" s="916"/>
      <x:c r="J45" s="916"/>
      <x:c r="K45" s="916"/>
      <x:c r="L45" s="916"/>
      <x:c r="M45" s="916"/>
      <x:c r="N45" s="916"/>
    </x:row>
    <x:row r="46" ht="32.400001525878906" hidden="0" customHeight="1">
      <x:c r="A46" s="890" t="str">
        <x:v>Departure Normal / Pattern B</x:v>
      </x:c>
      <x:c r="B46" s="890" t="str">
        <x:v>D15 Engine 3→4, D17 Oxygen 3→4</x:v>
      </x:c>
      <x:c r="C46" s="890" t="str">
        <x:v>D18 Engineering 1 Tick → Hull12 / Engine3 / Oxygen3</x:v>
      </x:c>
      <x:c r="D46" s="890" t="str">
        <x:v>D20 Hull 12→16</x:v>
      </x:c>
      <x:c r="E46" s="890" t="str">
        <x:v>+3 Repair, Normal</x:v>
      </x:c>
      <x:c r="F46" s="890" t="str">
        <x:v>미리 버퍼 2개를 쌓고 Cluster 후 Hull을 보강</x:v>
      </x:c>
      <x:c r="G46" s="890"/>
      <x:c r="H46" s="890"/>
      <x:c r="I46" s="890"/>
      <x:c r="J46" s="890"/>
      <x:c r="K46" s="890"/>
      <x:c r="L46" s="890"/>
      <x:c r="M46" s="890"/>
      <x:c r="N46" s="890"/>
    </x:row>
    <x:row r="47" ht="21.600000381469727" hidden="0" customHeight="1">
      <x:c r="A47" s="890" t="str">
        <x:v>Departure Normal / Pattern C</x:v>
      </x:c>
      <x:c r="B47" s="890" t="str">
        <x:v>D17 Bridge 2→3</x:v>
      </x:c>
      <x:c r="C47" s="890" t="str">
        <x:v>Bridge Oxygen 1 Tick → Bridge2</x:v>
      </x:c>
      <x:c r="D47" s="890" t="str">
        <x:v>나머지 수리 자유</x:v>
      </x:c>
      <x:c r="E47" s="890" t="str">
        <x:v>+1 Repair, Normal</x:v>
      </x:c>
      <x:c r="F47" s="890" t="str">
        <x:v>가장 싼 Pattern 대응</x:v>
      </x:c>
      <x:c r="G47" s="890"/>
      <x:c r="H47" s="890"/>
      <x:c r="I47" s="890"/>
      <x:c r="J47" s="890"/>
      <x:c r="K47" s="890"/>
      <x:c r="L47" s="890"/>
      <x:c r="M47" s="890"/>
      <x:c r="N47" s="890"/>
    </x:row>
    <x:row r="48" ht="32.400001525878906" hidden="0" customHeight="1">
      <x:c r="A48" s="890" t="str">
        <x:v>Hidden/Recheck / Pattern B</x:v>
      </x:c>
      <x:c r="B48" s="890" t="str">
        <x:v>D15 Engine3→4, D17 Oxygen3→4</x:v>
      </x:c>
      <x:c r="C48" s="890" t="str">
        <x:v>Engineering 1 Tick → Hull12 / Engine3 / Oxygen3</x:v>
      </x:c>
      <x:c r="D48" s="890" t="str">
        <x:v>추가 수리 없어도 Total36</x:v>
      </x:c>
      <x:c r="E48" s="890" t="str">
        <x:v>2 Repair, Normal</x:v>
      </x:c>
      <x:c r="F48" s="890" t="str">
        <x:v>Research5를 포기하지 않고 출항 가능 상태 유지</x:v>
      </x:c>
      <x:c r="G48" s="890"/>
      <x:c r="H48" s="890"/>
      <x:c r="I48" s="890"/>
      <x:c r="J48" s="890"/>
      <x:c r="K48" s="890"/>
      <x:c r="L48" s="890"/>
      <x:c r="M48" s="890"/>
      <x:c r="N48" s="890"/>
    </x:row>
    <x:row r="49" ht="32.400001525878906" hidden="0" customHeight="1">
      <x:c r="A49" s="890" t="str">
        <x:v>Storm Buffer / Pattern C</x:v>
      </x:c>
      <x:c r="B49" s="890" t="str">
        <x:v>사전 추가수리 없음</x:v>
      </x:c>
      <x:c r="C49" s="890" t="str">
        <x:v>Engineering 1 Tick → Hull12 / Engine3 / Oxygen3</x:v>
      </x:c>
      <x:c r="D49" s="890" t="str">
        <x:v>필요하면 Good 목표 수리</x:v>
      </x:c>
      <x:c r="E49" s="890" t="str">
        <x:v>0 Repair로 Normal</x:v>
      </x:c>
      <x:c r="F49" s="890" t="str">
        <x:v>W2의 3회 추가투자가 W3 자유시간을 사줌</x:v>
      </x:c>
      <x:c r="G49" s="890"/>
      <x:c r="H49" s="890"/>
      <x:c r="I49" s="890"/>
      <x:c r="J49" s="890"/>
      <x:c r="K49" s="890"/>
      <x:c r="L49" s="890"/>
      <x:c r="M49" s="890"/>
      <x:c r="N49" s="890"/>
    </x:row>
    <x:row r="50" ht="15" hidden="0" customHeight="1">
      <x:c r="A50" s="890"/>
      <x:c r="B50" s="890"/>
      <x:c r="C50" s="890"/>
      <x:c r="D50" s="890"/>
      <x:c r="E50" s="890"/>
      <x:c r="F50" s="890"/>
      <x:c r="G50" s="890"/>
      <x:c r="H50" s="890"/>
      <x:c r="I50" s="890"/>
      <x:c r="J50" s="890"/>
      <x:c r="K50" s="890"/>
      <x:c r="L50" s="890"/>
      <x:c r="M50" s="890"/>
      <x:c r="N50" s="890"/>
    </x:row>
    <x:row r="51" ht="15" hidden="0" customHeight="1">
      <x:c r="A51" s="890"/>
      <x:c r="B51" s="890"/>
      <x:c r="C51" s="890"/>
      <x:c r="D51" s="890"/>
      <x:c r="E51" s="890"/>
      <x:c r="F51" s="890"/>
      <x:c r="G51" s="890"/>
      <x:c r="H51" s="890"/>
      <x:c r="I51" s="890"/>
      <x:c r="J51" s="890"/>
      <x:c r="K51" s="890"/>
      <x:c r="L51" s="890"/>
      <x:c r="M51" s="890"/>
      <x:c r="N51" s="890"/>
    </x:row>
    <x:row r="52" ht="26" hidden="0" customHeight="1">
      <x:c r="A52" s="911" t="str">
        <x:v>5. Controlled Triage 밖의 '심한 방치' — Critical Recovery / Hull0</x:v>
      </x:c>
      <x:c r="B52" s="911"/>
      <x:c r="C52" s="911"/>
      <x:c r="D52" s="911"/>
      <x:c r="E52" s="911"/>
      <x:c r="F52" s="911"/>
      <x:c r="G52" s="911"/>
      <x:c r="H52" s="911"/>
      <x:c r="I52" s="911"/>
      <x:c r="J52" s="911"/>
      <x:c r="K52" s="911"/>
      <x:c r="L52" s="911"/>
      <x:c r="M52" s="911"/>
      <x:c r="N52" s="911"/>
      <x:c r="O52" s="316"/>
      <x:c r="P52" s="316"/>
    </x:row>
    <x:row r="53" ht="30" hidden="0" customHeight="1">
      <x:c r="A53" s="916" t="str">
        <x:v>상황</x:v>
      </x:c>
      <x:c r="B53" s="916" t="str">
        <x:v>D15 기준</x:v>
      </x:c>
      <x:c r="C53" s="916" t="str">
        <x:v>방치</x:v>
      </x:c>
      <x:c r="D53" s="916" t="str">
        <x:v>결과</x:v>
      </x:c>
      <x:c r="E53" s="916" t="str">
        <x:v>판정</x:v>
      </x:c>
      <x:c r="F53" s="916"/>
      <x:c r="G53" s="916"/>
      <x:c r="H53" s="916"/>
      <x:c r="I53" s="916"/>
      <x:c r="J53" s="916"/>
      <x:c r="K53" s="916"/>
      <x:c r="L53" s="916"/>
      <x:c r="M53" s="916"/>
      <x:c r="N53" s="916"/>
    </x:row>
    <x:row r="54" ht="32.400001525878906" hidden="0" customHeight="1">
      <x:c r="A54" s="890" t="str">
        <x:v>Pattern A / Greenhouse3</x:v>
      </x:c>
      <x:c r="B54" s="890" t="str">
        <x:v>D16 연구 Oxygen 1 Tick 후 Greenhouse2</x:v>
      </x:c>
      <x:c r="C54" s="890" t="str">
        <x:v>D19 연구 Breach 2 Tick 추가</x:v>
      </x:c>
      <x:c r="D54" s="890" t="str">
        <x:v>Greenhouse 2→1→0 / 18:00에 24h Recovery 시작</x:v>
      </x:c>
      <x:c r="E54" s="890" t="str">
        <x:v>의도한 Critical 진입</x:v>
      </x:c>
      <x:c r="F54" s="890"/>
      <x:c r="G54" s="890"/>
      <x:c r="H54" s="890"/>
      <x:c r="I54" s="890"/>
      <x:c r="J54" s="890"/>
      <x:c r="K54" s="890"/>
      <x:c r="L54" s="890"/>
      <x:c r="M54" s="890"/>
      <x:c r="N54" s="890"/>
    </x:row>
    <x:row r="55" ht="32.400001525878906" hidden="0" customHeight="1">
      <x:c r="A55" s="890" t="str">
        <x:v>Pattern B/C / Greenhouse3</x:v>
      </x:c>
      <x:c r="B55" s="890" t="str">
        <x:v>D19 전 Greenhouse3</x:v>
      </x:c>
      <x:c r="C55" s="890" t="str">
        <x:v>D19 연구 Breach 3 Tick</x:v>
      </x:c>
      <x:c r="D55" s="890" t="str">
        <x:v>Greenhouse 3→2→1→0 / 22:00 Recovery 시작</x:v>
      </x:c>
      <x:c r="E55" s="890" t="str">
        <x:v>거의 하루 종일 무시한 심한 실패</x:v>
      </x:c>
      <x:c r="F55" s="890"/>
      <x:c r="G55" s="890"/>
      <x:c r="H55" s="890"/>
      <x:c r="I55" s="890"/>
      <x:c r="J55" s="890"/>
      <x:c r="K55" s="890"/>
      <x:c r="L55" s="890"/>
      <x:c r="M55" s="890"/>
      <x:c r="N55" s="890"/>
    </x:row>
    <x:row r="56" ht="32.400001525878906" hidden="0" customHeight="1">
      <x:c r="A56" s="890" t="str">
        <x:v>Freezer5</x:v>
      </x:c>
      <x:c r="B56" s="890" t="str">
        <x:v>Pattern A D16 Tick 후4</x:v>
      </x:c>
      <x:c r="C56" s="890" t="str">
        <x:v>D19 연구 Breach를 4 Tick 이상 방치해야 0</x:v>
      </x:c>
      <x:c r="D56" s="890" t="str">
        <x:v>일반 08~22 플레이에서는 거의 발생하지 않음</x:v>
      </x:c>
      <x:c r="E56" s="890" t="str">
        <x:v>Freezer Recovery가 너무 희귀할 가능성</x:v>
      </x:c>
      <x:c r="F56" s="890"/>
      <x:c r="G56" s="890"/>
      <x:c r="H56" s="890"/>
      <x:c r="I56" s="890"/>
      <x:c r="J56" s="890"/>
      <x:c r="K56" s="890"/>
      <x:c r="L56" s="890"/>
      <x:c r="M56" s="890"/>
      <x:c r="N56" s="890"/>
    </x:row>
    <x:row r="57" ht="32.400001525878906" hidden="0" customHeight="1">
      <x:c r="A57" s="890" t="str">
        <x:v>Shelter Minimum / Pattern B</x:v>
      </x:c>
      <x:c r="B57" s="890" t="str">
        <x:v>Hull9, Engine2, Oxygen3</x:v>
      </x:c>
      <x:c r="C57" s="890" t="str">
        <x:v>Engineering Breach 1 Tick</x:v>
      </x:c>
      <x:c r="D57" s="890" t="str">
        <x:v>Hull8 / Engine1 / Oxygen2 → 일시 항해불가</x:v>
      </x:c>
      <x:c r="E57" s="890" t="str">
        <x:v>W2 최소선의 위험성이 충분함</x:v>
      </x:c>
      <x:c r="F57" s="890"/>
      <x:c r="G57" s="890"/>
      <x:c r="H57" s="890"/>
      <x:c r="I57" s="890"/>
      <x:c r="J57" s="890"/>
      <x:c r="K57" s="890"/>
      <x:c r="L57" s="890"/>
      <x:c r="M57" s="890"/>
      <x:c r="N57" s="890"/>
    </x:row>
    <x:row r="58" ht="15" hidden="0" customHeight="1">
      <x:c r="A58" s="890"/>
      <x:c r="B58" s="890"/>
      <x:c r="C58" s="890"/>
      <x:c r="D58" s="890"/>
      <x:c r="E58" s="890"/>
      <x:c r="F58" s="890"/>
      <x:c r="G58" s="890"/>
      <x:c r="H58" s="890"/>
      <x:c r="I58" s="890"/>
      <x:c r="J58" s="890"/>
      <x:c r="K58" s="890"/>
      <x:c r="L58" s="890"/>
      <x:c r="M58" s="890"/>
      <x:c r="N58" s="890"/>
    </x:row>
    <x:row r="59" ht="15" hidden="0" customHeight="1">
      <x:c r="A59" s="890"/>
      <x:c r="B59" s="890"/>
      <x:c r="C59" s="890"/>
      <x:c r="D59" s="890"/>
      <x:c r="E59" s="890"/>
      <x:c r="F59" s="890"/>
      <x:c r="G59" s="890"/>
      <x:c r="H59" s="890"/>
      <x:c r="I59" s="890"/>
      <x:c r="J59" s="890"/>
      <x:c r="K59" s="890"/>
      <x:c r="L59" s="890"/>
      <x:c r="M59" s="890"/>
      <x:c r="N59" s="890"/>
    </x:row>
    <x:row r="60" ht="26" hidden="0" customHeight="1">
      <x:c r="A60" s="911" t="str">
        <x:v>6. Threshold Verdict</x:v>
      </x:c>
      <x:c r="B60" s="911"/>
      <x:c r="C60" s="911"/>
      <x:c r="D60" s="911"/>
      <x:c r="E60" s="911"/>
      <x:c r="F60" s="911"/>
      <x:c r="G60" s="911"/>
      <x:c r="H60" s="911"/>
      <x:c r="I60" s="911"/>
      <x:c r="J60" s="911"/>
      <x:c r="K60" s="911"/>
      <x:c r="L60" s="911"/>
      <x:c r="M60" s="911"/>
      <x:c r="N60" s="911"/>
      <x:c r="O60" s="316"/>
      <x:c r="P60" s="316"/>
    </x:row>
    <x:row r="61" ht="30" hidden="0" customHeight="1">
      <x:c r="A61" s="916" t="str">
        <x:v>항목</x:v>
      </x:c>
      <x:c r="B61" s="916" t="str">
        <x:v>결론</x:v>
      </x:c>
      <x:c r="C61" s="916" t="str">
        <x:v>이유</x:v>
      </x:c>
      <x:c r="D61" s="916" t="str">
        <x:v>처리</x:v>
      </x:c>
      <x:c r="E61" s="916"/>
      <x:c r="F61" s="916"/>
      <x:c r="G61" s="916"/>
      <x:c r="H61" s="916"/>
      <x:c r="I61" s="916"/>
      <x:c r="J61" s="916"/>
      <x:c r="K61" s="916"/>
      <x:c r="L61" s="916"/>
      <x:c r="M61" s="916"/>
      <x:c r="N61" s="916"/>
    </x:row>
    <x:row r="62" ht="43.20000076293945" hidden="0" customHeight="1">
      <x:c r="A62" s="890" t="str">
        <x:v>Normal 34</x:v>
      </x:c>
      <x:c r="B62" s="890" t="str">
        <x:v>유지</x:v>
      </x:c>
      <x:c r="C62" s="890" t="str">
        <x:v>Departure Normal이 정확34로 시작하고 Cluster 후 1~3회 수리로 복구. Shelter Minimum과 Storm Buffer의 차이도 분명함.</x:v>
      </x:c>
      <x:c r="D62" s="890" t="str">
        <x:v>TEMP 기준 유지</x:v>
      </x:c>
      <x:c r="E62" s="890"/>
      <x:c r="F62" s="890"/>
      <x:c r="G62" s="890"/>
      <x:c r="H62" s="890"/>
      <x:c r="I62" s="890"/>
      <x:c r="J62" s="890"/>
      <x:c r="K62" s="890"/>
      <x:c r="L62" s="890"/>
      <x:c r="M62" s="890"/>
      <x:c r="N62" s="890"/>
    </x:row>
    <x:row r="63" ht="43.20000076293945" hidden="0" customHeight="1">
      <x:c r="A63" s="890" t="str">
        <x:v>Good 44</x:v>
      </x:c>
      <x:c r="B63" s="890" t="str">
        <x:v>유지</x:v>
      </x:c>
      <x:c r="C63" s="890" t="str">
        <x:v>Departure Normal은 W3 6회 수리만으로 Good에 못 닿고, Storm Buffer는 4~6회, Max Good은 1~3회로 복귀. 극단 준비 보상으로 적절.</x:v>
      </x:c>
      <x:c r="D63" s="890" t="str">
        <x:v>TEMP 기준 유지</x:v>
      </x:c>
      <x:c r="E63" s="890"/>
      <x:c r="F63" s="890"/>
      <x:c r="G63" s="890"/>
      <x:c r="H63" s="890"/>
      <x:c r="I63" s="890"/>
      <x:c r="J63" s="890"/>
      <x:c r="K63" s="890"/>
      <x:c r="L63" s="890"/>
      <x:c r="M63" s="890"/>
      <x:c r="N63" s="890"/>
    </x:row>
    <x:row r="64" ht="32.400001525878906" hidden="0" customHeight="1">
      <x:c r="A64" s="890" t="str">
        <x:v>W3 Repair Slot</x:v>
      </x:c>
      <x:c r="B64" s="890" t="str">
        <x:v>3회가 중요한 중간선</x:v>
      </x:c>
      <x:c r="C64" s="890" t="str">
        <x:v>Departure Normal도 가장 불리한 Pattern B를 3회로 Normal 복구. 6회는 Good을 노리는 적극 투자.</x:v>
      </x:c>
      <x:c r="D64" s="890" t="str">
        <x:v>Route 기준 사용</x:v>
      </x:c>
      <x:c r="E64" s="890"/>
      <x:c r="F64" s="890"/>
      <x:c r="G64" s="890"/>
      <x:c r="H64" s="890"/>
      <x:c r="I64" s="890"/>
      <x:c r="J64" s="890"/>
      <x:c r="K64" s="890"/>
      <x:c r="L64" s="890"/>
      <x:c r="M64" s="890"/>
      <x:c r="N64" s="890"/>
    </x:row>
    <x:row r="65" ht="32.400001525878906" hidden="0" customHeight="1">
      <x:c r="A65" s="890" t="str">
        <x:v>Hidden 출항가능 조건</x:v>
      </x:c>
      <x:c r="B65" s="890" t="str">
        <x:v>Normal+ 유지 권장</x:v>
      </x:c>
      <x:c r="C65" s="890" t="str">
        <x:v>Hidden/Recheck는 A 0회 / B 2회 / C 1회만으로 Normal 복구 가능. '떠날 수 있지만 남는다'를 충분히 보장.</x:v>
      </x:c>
      <x:c r="D65" s="890" t="str">
        <x:v>추천 강화</x:v>
      </x:c>
      <x:c r="E65" s="890"/>
      <x:c r="F65" s="890"/>
      <x:c r="G65" s="890"/>
      <x:c r="H65" s="890"/>
      <x:c r="I65" s="890"/>
      <x:c r="J65" s="890"/>
      <x:c r="K65" s="890"/>
      <x:c r="L65" s="890"/>
      <x:c r="M65" s="890"/>
      <x:c r="N65" s="890"/>
    </x:row>
    <x:row r="66" ht="21.600000381469727" hidden="0" customHeight="1">
      <x:c r="A66" s="890" t="str">
        <x:v>Greenhouse D13 3/5</x:v>
      </x:c>
      <x:c r="B66" s="890" t="str">
        <x:v>유지</x:v>
      </x:c>
      <x:c r="C66" s="890" t="str">
        <x:v>Critical Recovery가 단순 1회 실수가 아니라 누적 방치에서만 등장.</x:v>
      </x:c>
      <x:c r="D66" s="890" t="str">
        <x:v>TEMP 기준 유지</x:v>
      </x:c>
      <x:c r="E66" s="890"/>
      <x:c r="F66" s="890"/>
      <x:c r="G66" s="890"/>
      <x:c r="H66" s="890"/>
      <x:c r="I66" s="890"/>
      <x:c r="J66" s="890"/>
      <x:c r="K66" s="890"/>
      <x:c r="L66" s="890"/>
      <x:c r="M66" s="890"/>
      <x:c r="N66" s="890"/>
    </x:row>
    <x:row r="67" ht="43.20000076293945" hidden="0" customHeight="1">
      <x:c r="A67" s="890" t="str">
        <x:v>Freezer Recovery 6h</x:v>
      </x:c>
      <x:c r="B67" s="890" t="str">
        <x:v>다음 검증 필요</x:v>
      </x:c>
      <x:c r="C67" s="890" t="str">
        <x:v>Freezer5는 현재 Pattern에서 0 도달이 너무 희귀함. 별도 authored 사고/직접 기능손상 없이는 시스템 노출 빈도가 낮음.</x:v>
      </x:c>
      <x:c r="D67" s="890" t="str">
        <x:v>TBD 유지</x:v>
      </x:c>
      <x:c r="E67" s="890"/>
      <x:c r="F67" s="890"/>
      <x:c r="G67" s="890"/>
      <x:c r="H67" s="890"/>
      <x:c r="I67" s="890"/>
      <x:c r="J67" s="890"/>
      <x:c r="K67" s="890"/>
      <x:c r="L67" s="890"/>
      <x:c r="M67" s="890"/>
      <x:c r="N67" s="890"/>
    </x:row>
  </x:sheetData>
  <x:mergeCells>
    <x:mergeCell ref="A1:P1"/>
    <x:mergeCell ref="A2:P2"/>
    <x:mergeCell ref="A4:P4"/>
    <x:mergeCell ref="A14:P14"/>
    <x:mergeCell ref="A36:P36"/>
    <x:mergeCell ref="A44:P44"/>
    <x:mergeCell ref="A52:P52"/>
    <x:mergeCell ref="A60:P60"/>
  </x:mergeCells>
  <x:conditionalFormatting sqref="E16:E33">
    <x:cfRule type="expression" dxfId="48" priority="1">
      <x:formula>E16="항해 불가"</x:formula>
    </x:cfRule>
    <x:cfRule type="expression" dxfId="49" priority="2">
      <x:formula>E16="수리 필요"</x:formula>
    </x:cfRule>
    <x:cfRule type="expression" dxfId="50" priority="3">
      <x:formula>E16="보통"</x:formula>
    </x:cfRule>
  </x:conditionalFormatting>
  <x:conditionalFormatting sqref="I16:I33">
    <x:cfRule type="expression" dxfId="51" priority="4">
      <x:formula>I16="보통"</x:formula>
    </x:cfRule>
    <x:cfRule type="expression" dxfId="52" priority="5">
      <x:formula>I16="좋음"</x:formula>
    </x:cfRule>
  </x:conditionalFormatting>
  <x:conditionalFormatting sqref="K16:K33">
    <x:cfRule type="expression" dxfId="53" priority="6">
      <x:formula>K16="좋음"</x:formula>
    </x:cfRule>
  </x:conditionalFormatting>
  <x:pageMargins left="0.7" right="0.7" top="0.75" bottom="0.75" header="0.3" footer="0.3"/>
  <x:drawing xmlns:r="http://schemas.openxmlformats.org/officeDocument/2006/relationships" r:id="R9b4d617ab7064621"/>
</x:worksheet>
</file>

<file path=xl/worksheets/sheet15.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8" hidden="0" customWidth="1"/>
    <x:col min="16" max="16" width="18" hidden="0" customWidth="1"/>
  </x:cols>
  <x:sheetData>
    <x:row r="1" ht="30" hidden="0" customHeight="1">
      <x:c r="A1" s="905" t="str">
        <x:v>W3 Boss Rebalance v0.1 — 2 / 2 / 3 Wave Director + Route Rewards</x:v>
      </x:c>
      <x:c r="B1" s="905"/>
      <x:c r="C1" s="905"/>
      <x:c r="D1" s="905"/>
      <x:c r="E1" s="905"/>
      <x:c r="F1" s="905"/>
      <x:c r="G1" s="905"/>
      <x:c r="H1" s="905"/>
      <x:c r="I1" s="905"/>
      <x:c r="J1" s="905"/>
      <x:c r="K1" s="905"/>
      <x:c r="L1" s="905"/>
      <x:c r="M1" s="905"/>
      <x:c r="N1" s="905"/>
      <x:c r="O1" s="334"/>
      <x:c r="P1" s="334"/>
    </x:row>
    <x:row r="2" ht="42" hidden="0" customHeight="1">
      <x:c r="A2" s="908" t="str">
        <x:v>현재 기준: D15·D17 동시2 / D19 Freezer+남은2 동시3 Boss. 시설별 실제 선택지·NPC 전문성·혼합 우선순위는 16_FacilityCrisisGrammar를 단일 기준으로 사용한다. Normal은 손상 감수+복구, True/Hidden은 Route/NPC 병렬대응을 목표로 한다.</x:v>
      </x:c>
      <x:c r="B2" s="908"/>
      <x:c r="C2" s="908"/>
      <x:c r="D2" s="908"/>
      <x:c r="E2" s="908"/>
      <x:c r="F2" s="908"/>
      <x:c r="G2" s="908"/>
      <x:c r="H2" s="908"/>
      <x:c r="I2" s="908"/>
      <x:c r="J2" s="908"/>
      <x:c r="K2" s="908"/>
      <x:c r="L2" s="908"/>
      <x:c r="M2" s="908"/>
      <x:c r="N2" s="908"/>
      <x:c r="O2" s="337"/>
      <x:c r="P2" s="337"/>
    </x:row>
    <x:row r="3" ht="15" hidden="0" customHeight="1">
      <x:c r="A3" s="890"/>
      <x:c r="B3" s="890"/>
      <x:c r="C3" s="890"/>
      <x:c r="D3" s="890"/>
      <x:c r="E3" s="890"/>
      <x:c r="F3" s="890"/>
      <x:c r="G3" s="890"/>
      <x:c r="H3" s="890"/>
      <x:c r="I3" s="890"/>
      <x:c r="J3" s="890"/>
      <x:c r="K3" s="890"/>
      <x:c r="L3" s="890"/>
      <x:c r="M3" s="890"/>
      <x:c r="N3" s="890"/>
    </x:row>
    <x:row r="4" ht="26" hidden="0" customHeight="1">
      <x:c r="A4" s="911" t="str">
        <x:v>1. W3 리듬 — 위기 / 호흡 / 위기 / 호흡 / 보스</x:v>
      </x:c>
      <x:c r="B4" s="911"/>
      <x:c r="C4" s="911"/>
      <x:c r="D4" s="911"/>
      <x:c r="E4" s="911"/>
      <x:c r="F4" s="911"/>
      <x:c r="G4" s="911"/>
      <x:c r="H4" s="911"/>
      <x:c r="I4" s="911"/>
      <x:c r="J4" s="911"/>
      <x:c r="K4" s="911"/>
      <x:c r="L4" s="911"/>
      <x:c r="M4" s="911"/>
      <x:c r="N4" s="911"/>
      <x:c r="O4" s="325"/>
      <x:c r="P4" s="325"/>
    </x:row>
    <x:row r="5" ht="30" hidden="0" customHeight="1">
      <x:c r="A5" s="916" t="str">
        <x:v>Day</x:v>
      </x:c>
      <x:c r="B5" s="916" t="str">
        <x:v>신규 Wave</x:v>
      </x:c>
      <x:c r="C5" s="916" t="str">
        <x:v>동시 수</x:v>
      </x:c>
      <x:c r="D5" s="916" t="str">
        <x:v>Target</x:v>
      </x:c>
      <x:c r="E5" s="916" t="str">
        <x:v>내러티브 역할</x:v>
      </x:c>
      <x:c r="F5" s="916" t="str">
        <x:v>시스템 역할</x:v>
      </x:c>
      <x:c r="G5" s="916" t="str">
        <x:v>플레이 감정</x:v>
      </x:c>
      <x:c r="H5" s="916" t="str">
        <x:v>상태</x:v>
      </x:c>
      <x:c r="I5" s="916"/>
      <x:c r="J5" s="916"/>
      <x:c r="K5" s="916"/>
      <x:c r="L5" s="916"/>
      <x:c r="M5" s="916"/>
      <x:c r="N5" s="916"/>
    </x:row>
    <x:row r="6" ht="21.600000381469727" hidden="0" customHeight="1">
      <x:c r="A6" s="890" t="n">
        <x:v>15</x:v>
      </x:c>
      <x:c r="B6" s="890" t="str">
        <x:v>Wave 1</x:v>
      </x:c>
      <x:c r="C6" s="890" t="n">
        <x:v>2</x:v>
      </x:c>
      <x:c r="D6" s="890" t="str">
        <x:v>현재 Integrity 상위2 / Freezer 제외</x:v>
      </x:c>
      <x:c r="E6" s="890" t="str">
        <x:v>4구역/동시대응 학습</x:v>
      </x:c>
      <x:c r="F6" s="890" t="str">
        <x:v>첫 Triage / NPC 배치</x:v>
      </x:c>
      <x:c r="G6" s="890" t="str">
        <x:v>정신이 없다</x:v>
      </x:c>
      <x:c r="H6" s="890" t="str">
        <x:v>TEMP</x:v>
      </x:c>
      <x:c r="I6" s="890"/>
      <x:c r="J6" s="890"/>
      <x:c r="K6" s="890"/>
      <x:c r="L6" s="890"/>
      <x:c r="M6" s="890"/>
      <x:c r="N6" s="890"/>
    </x:row>
    <x:row r="7" ht="21.600000381469727" hidden="0" customHeight="1">
      <x:c r="A7" s="890" t="n">
        <x:v>16</x:v>
      </x:c>
      <x:c r="B7" s="890" t="str">
        <x:v>없음</x:v>
      </x:c>
      <x:c r="C7" s="890" t="n">
        <x:v>0</x:v>
      </x:c>
      <x:c r="D7" s="890" t="str">
        <x:v>—</x:v>
      </x:c>
      <x:c r="E7" s="890" t="str">
        <x:v>미래 반응 / Character</x:v>
      </x:c>
      <x:c r="F7" s="890" t="str">
        <x:v>수리·Will·D17 Target 조작</x:v>
      </x:c>
      <x:c r="G7" s="890" t="str">
        <x:v>간신히 숨 돌림</x:v>
      </x:c>
      <x:c r="H7" s="890" t="str">
        <x:v>TEMP</x:v>
      </x:c>
      <x:c r="I7" s="890"/>
      <x:c r="J7" s="890"/>
      <x:c r="K7" s="890"/>
      <x:c r="L7" s="890"/>
      <x:c r="M7" s="890"/>
      <x:c r="N7" s="890"/>
    </x:row>
    <x:row r="8" ht="21.600000381469727" hidden="0" customHeight="1">
      <x:c r="A8" s="890" t="n">
        <x:v>17</x:v>
      </x:c>
      <x:c r="B8" s="890" t="str">
        <x:v>Wave 2</x:v>
      </x:c>
      <x:c r="C8" s="890" t="n">
        <x:v>2</x:v>
      </x:c>
      <x:c r="D8" s="890" t="str">
        <x:v>미발생 중 현재 Integrity 상위2</x:v>
      </x:c>
      <x:c r="E8" s="890" t="str">
        <x:v>Character와 충돌 최소</x:v>
      </x:c>
      <x:c r="F8" s="890" t="str">
        <x:v>두 번째 Triage</x:v>
      </x:c>
      <x:c r="G8" s="890" t="str">
        <x:v>다시 흔들림</x:v>
      </x:c>
      <x:c r="H8" s="890" t="str">
        <x:v>TEMP</x:v>
      </x:c>
      <x:c r="I8" s="890"/>
      <x:c r="J8" s="890"/>
      <x:c r="K8" s="890"/>
      <x:c r="L8" s="890"/>
      <x:c r="M8" s="890"/>
      <x:c r="N8" s="890"/>
    </x:row>
    <x:row r="9" ht="21.600000381469727" hidden="0" customHeight="1">
      <x:c r="A9" s="890" t="n">
        <x:v>18</x:v>
      </x:c>
      <x:c r="B9" s="890" t="str">
        <x:v>없음</x:v>
      </x:c>
      <x:c r="C9" s="890" t="n">
        <x:v>0</x:v>
      </x:c>
      <x:c r="D9" s="890" t="str">
        <x:v>—</x:v>
      </x:c>
      <x:c r="E9" s="890" t="str">
        <x:v>재점검 / Character Finale / Faye 공연</x:v>
      </x:c>
      <x:c r="F9" s="890" t="str">
        <x:v>D19 전 Will·Stat·수리 준비</x:v>
      </x:c>
      <x:c r="G9" s="890" t="str">
        <x:v>폭풍 전 마지막 숨</x:v>
      </x:c>
      <x:c r="H9" s="890" t="str">
        <x:v>TEMP</x:v>
      </x:c>
      <x:c r="I9" s="890"/>
      <x:c r="J9" s="890"/>
      <x:c r="K9" s="890"/>
      <x:c r="L9" s="890"/>
      <x:c r="M9" s="890"/>
      <x:c r="N9" s="890"/>
    </x:row>
    <x:row r="10" ht="21.600000381469727" hidden="0" customHeight="1">
      <x:c r="A10" s="890" t="n">
        <x:v>19</x:v>
      </x:c>
      <x:c r="B10" s="890" t="str">
        <x:v>Boss Wave</x:v>
      </x:c>
      <x:c r="C10" s="890" t="n">
        <x:v>3</x:v>
      </x:c>
      <x:c r="D10" s="890" t="str">
        <x:v>Freezer + 남은 미발생2</x:v>
      </x:c>
      <x:c r="E10" s="890" t="str">
        <x:v>큰 신규 Character 전개 없음</x:v>
      </x:c>
      <x:c r="F10" s="890" t="str">
        <x:v>세 위기 동시 / 6h Freezer Deadline</x:v>
      </x:c>
      <x:c r="G10" s="890" t="str">
        <x:v>이것만 넘기면 된다</x:v>
      </x:c>
      <x:c r="H10" s="890" t="str">
        <x:v>핵심</x:v>
      </x:c>
      <x:c r="I10" s="890"/>
      <x:c r="J10" s="890"/>
      <x:c r="K10" s="890"/>
      <x:c r="L10" s="890"/>
      <x:c r="M10" s="890"/>
      <x:c r="N10" s="890"/>
    </x:row>
    <x:row r="11" ht="21.600000381469727" hidden="0" customHeight="1">
      <x:c r="A11" s="890" t="n">
        <x:v>20</x:v>
      </x:c>
      <x:c r="B11" s="890" t="str">
        <x:v>없음</x:v>
      </x:c>
      <x:c r="C11" s="890" t="n">
        <x:v>0</x:v>
      </x:c>
      <x:c r="D11" s="890" t="str">
        <x:v>—</x:v>
      </x:c>
      <x:c r="E11" s="890" t="str">
        <x:v>후유증 / Final / Stance</x:v>
      </x:c>
      <x:c r="F11" s="890" t="str">
        <x:v>최종 수리 / Ending 준비</x:v>
      </x:c>
      <x:c r="G11" s="890" t="str">
        <x:v>살아남은 뒤의 대답</x:v>
      </x:c>
      <x:c r="H11" s="890" t="str">
        <x:v>TEMP</x:v>
      </x:c>
      <x:c r="I11" s="890"/>
      <x:c r="J11" s="890"/>
      <x:c r="K11" s="890"/>
      <x:c r="L11" s="890"/>
      <x:c r="M11" s="890"/>
      <x:c r="N11" s="890"/>
    </x:row>
    <x:row r="12" ht="15" hidden="0" customHeight="1">
      <x:c r="A12" s="890" t="n">
        <x:v>21</x:v>
      </x:c>
      <x:c r="B12" s="890" t="str">
        <x:v>없음</x:v>
      </x:c>
      <x:c r="C12" s="890" t="n">
        <x:v>0</x:v>
      </x:c>
      <x:c r="D12" s="890" t="str">
        <x:v>—</x:v>
      </x:c>
      <x:c r="E12" s="890" t="str">
        <x:v>최종 선택</x:v>
      </x:c>
      <x:c r="F12" s="890" t="str">
        <x:v>Ending 판정</x:v>
      </x:c>
      <x:c r="G12" s="890" t="str">
        <x:v>결론</x:v>
      </x:c>
      <x:c r="H12" s="890" t="str">
        <x:v>확정</x:v>
      </x:c>
      <x:c r="I12" s="890"/>
      <x:c r="J12" s="890"/>
      <x:c r="K12" s="890"/>
      <x:c r="L12" s="890"/>
      <x:c r="M12" s="890"/>
      <x:c r="N12" s="890"/>
    </x:row>
    <x:row r="13" ht="15" hidden="0" customHeight="1">
      <x:c r="A13" s="890"/>
      <x:c r="B13" s="890"/>
      <x:c r="C13" s="890"/>
      <x:c r="D13" s="890"/>
      <x:c r="E13" s="890"/>
      <x:c r="F13" s="890"/>
      <x:c r="G13" s="890"/>
      <x:c r="H13" s="890"/>
      <x:c r="I13" s="890"/>
      <x:c r="J13" s="890"/>
      <x:c r="K13" s="890"/>
      <x:c r="L13" s="890"/>
      <x:c r="M13" s="890"/>
      <x:c r="N13" s="890"/>
    </x:row>
    <x:row r="14" ht="26" hidden="0" customHeight="1">
      <x:c r="A14" s="911" t="str">
        <x:v>2. D15 시작 Profile별 Boss Target — 중간 수리로 순서 조작하지 않은 기준</x:v>
      </x:c>
      <x:c r="B14" s="911"/>
      <x:c r="C14" s="911"/>
      <x:c r="D14" s="911"/>
      <x:c r="E14" s="911"/>
      <x:c r="F14" s="911"/>
      <x:c r="G14" s="911"/>
      <x:c r="H14" s="911"/>
      <x:c r="I14" s="911"/>
      <x:c r="J14" s="911"/>
      <x:c r="K14" s="911"/>
      <x:c r="L14" s="911"/>
      <x:c r="M14" s="911"/>
      <x:c r="N14" s="911"/>
      <x:c r="O14" s="325"/>
      <x:c r="P14" s="325"/>
    </x:row>
    <x:row r="15" ht="30" hidden="0" customHeight="1">
      <x:c r="A15" s="916" t="str">
        <x:v>Profile</x:v>
      </x:c>
      <x:c r="B15" s="916" t="str">
        <x:v>D15</x:v>
      </x:c>
      <x:c r="C15" s="916" t="str">
        <x:v>D17</x:v>
      </x:c>
      <x:c r="D15" s="916" t="str">
        <x:v>D19 Boss</x:v>
      </x:c>
      <x:c r="E15" s="916" t="str">
        <x:v>해석</x:v>
      </x:c>
      <x:c r="F15" s="916"/>
      <x:c r="G15" s="916" t="str">
        <x:v>중요: D17 Target은 D16 행동이 끝난 뒤 **현재 Integrity**로 다시 뽑는다. 따라서 위 표는 '표적 조작을 안 한 기준선'이다. 예를 들어 Departure Normal에서 Bridge 2→3을 D16에 고치면 Bridge가 D17의 3점 Tie에 들어가 먼저 Crisis를 맞을 수 있고, 그 대신 다른 3점 시설 하나가 D19 Boss로 밀린다. 수리가 회복뿐 아니라 '보스전에 어떤 시설을 남길지'를 조절하는 전략이 된다.</x:v>
      </x:c>
      <x:c r="H15" s="916"/>
      <x:c r="I15" s="916"/>
      <x:c r="J15" s="916"/>
      <x:c r="K15" s="916"/>
      <x:c r="L15" s="916"/>
      <x:c r="M15" s="916"/>
      <x:c r="N15" s="916"/>
      <x:c r="O15" s="329"/>
      <x:c r="P15" s="329"/>
    </x:row>
    <x:row r="16" ht="21.600000381469727" hidden="0" customHeight="1">
      <x:c r="A16" s="890" t="str">
        <x:v>Shelter Minimum</x:v>
      </x:c>
      <x:c r="B16" s="890" t="str">
        <x:v>D15: O/G/L 중 랜덤2</x:v>
      </x:c>
      <x:c r="C16" s="890" t="str">
        <x:v>D17: 남은3 + B/E/R(2) 중 상위2</x:v>
      </x:c>
      <x:c r="D16" s="890" t="str">
        <x:v>D19: B/E/R 중 남은2 + Freezer</x:v>
      </x:c>
      <x:c r="E16" s="890" t="str">
        <x:v>Boss 조합 변동 큼</x:v>
      </x:c>
      <x:c r="F16" s="890"/>
      <x:c r="G16" s="890"/>
      <x:c r="H16" s="890"/>
      <x:c r="I16" s="890"/>
      <x:c r="J16" s="890"/>
      <x:c r="K16" s="890"/>
      <x:c r="L16" s="890"/>
      <x:c r="M16" s="890"/>
      <x:c r="N16" s="890"/>
      <x:c r="O16" s="329"/>
      <x:c r="P16" s="329"/>
    </x:row>
    <x:row r="17" ht="32.400001525878906" hidden="0" customHeight="1">
      <x:c r="A17" s="890" t="str">
        <x:v>Departure Normal</x:v>
      </x:c>
      <x:c r="B17" s="890" t="str">
        <x:v>D15: E/O/G/L(3) 중 랜덤2</x:v>
      </x:c>
      <x:c r="C17" s="890" t="str">
        <x:v>D17: 남은 3점2</x:v>
      </x:c>
      <x:c r="D17" s="890" t="str">
        <x:v>D19: Bridge + Research + Freezer</x:v>
      </x:c>
      <x:c r="E17" s="890" t="str">
        <x:v>최소 출항선은 약한 Bridge/Research가 Boss에 남음</x:v>
      </x:c>
      <x:c r="F17" s="890"/>
      <x:c r="G17" s="890"/>
      <x:c r="H17" s="890"/>
      <x:c r="I17" s="890"/>
      <x:c r="J17" s="890"/>
      <x:c r="K17" s="890"/>
      <x:c r="L17" s="890"/>
      <x:c r="M17" s="890"/>
      <x:c r="N17" s="890"/>
      <x:c r="O17" s="329"/>
      <x:c r="P17" s="329"/>
    </x:row>
    <x:row r="18" ht="32.400001525878906" hidden="0" customHeight="1">
      <x:c r="A18" s="890" t="str">
        <x:v>Living Buffer</x:v>
      </x:c>
      <x:c r="B18" s="890" t="str">
        <x:v>D15: Living4 + E/O/G 중1</x:v>
      </x:c>
      <x:c r="C18" s="890" t="str">
        <x:v>D17: 남은3점2</x:v>
      </x:c>
      <x:c r="D18" s="890" t="str">
        <x:v>D19: Bridge + Research + Freezer</x:v>
      </x:c>
      <x:c r="E18" s="890" t="str">
        <x:v>Living을 일찍 시험하고 Boss는 약한 기능</x:v>
      </x:c>
      <x:c r="F18" s="890"/>
      <x:c r="G18" s="890"/>
      <x:c r="H18" s="890"/>
      <x:c r="I18" s="890"/>
      <x:c r="J18" s="890"/>
      <x:c r="K18" s="890"/>
      <x:c r="L18" s="890"/>
      <x:c r="M18" s="890"/>
      <x:c r="N18" s="890"/>
      <x:c r="O18" s="329"/>
      <x:c r="P18" s="329"/>
    </x:row>
    <x:row r="19" ht="21.600000381469727" hidden="0" customHeight="1">
      <x:c r="A19" s="890" t="str">
        <x:v>Storm Buffer</x:v>
      </x:c>
      <x:c r="B19" s="890" t="str">
        <x:v>D15: E/O/L(4) 중2</x:v>
      </x:c>
      <x:c r="C19" s="890" t="str">
        <x:v>D17: 남은4 + Greenhouse3</x:v>
      </x:c>
      <x:c r="D19" s="890" t="str">
        <x:v>D19: Bridge + Research + Freezer</x:v>
      </x:c>
      <x:c r="E19" s="890" t="str">
        <x:v>생존특화도 Boss는 취약한 두 시스템</x:v>
      </x:c>
      <x:c r="F19" s="890"/>
      <x:c r="G19" s="890"/>
      <x:c r="H19" s="890"/>
      <x:c r="I19" s="890"/>
      <x:c r="J19" s="890"/>
      <x:c r="K19" s="890"/>
      <x:c r="L19" s="890"/>
      <x:c r="M19" s="890"/>
      <x:c r="N19" s="890"/>
      <x:c r="O19" s="329"/>
      <x:c r="P19" s="329"/>
    </x:row>
    <x:row r="20" ht="43.20000076293945" hidden="0" customHeight="1">
      <x:c r="A20" s="890" t="str">
        <x:v>Hidden/Recheck</x:v>
      </x:c>
      <x:c r="B20" s="890" t="str">
        <x:v>D15: Research5 + E/O/G/L 중1</x:v>
      </x:c>
      <x:c r="C20" s="890" t="str">
        <x:v>D17: 남은3점2</x:v>
      </x:c>
      <x:c r="D20" s="890" t="str">
        <x:v>D19: Bridge + {E/O/G/L 중 남은1} + Freezer</x:v>
      </x:c>
      <x:c r="E20" s="890" t="str">
        <x:v>Research를 미리 시험해 Hidden 연구실이 Boss에서 빠질 가능성</x:v>
      </x:c>
      <x:c r="F20" s="890"/>
      <x:c r="G20" s="890"/>
      <x:c r="H20" s="890"/>
      <x:c r="I20" s="890"/>
      <x:c r="J20" s="890"/>
      <x:c r="K20" s="890"/>
      <x:c r="L20" s="890"/>
      <x:c r="M20" s="890"/>
      <x:c r="N20" s="890"/>
      <x:c r="O20" s="329"/>
      <x:c r="P20" s="329"/>
    </x:row>
    <x:row r="21" ht="32.400001525878906" hidden="0" customHeight="1">
      <x:c r="A21" s="890" t="str">
        <x:v>Maximum Ship Good</x:v>
      </x:c>
      <x:c r="B21" s="890" t="str">
        <x:v>D15: Living5 + B/E/O(4) 중1</x:v>
      </x:c>
      <x:c r="C21" s="890" t="str">
        <x:v>D17: 남은4 두개</x:v>
      </x:c>
      <x:c r="D21" s="890" t="str">
        <x:v>D19: Greenhouse + Research + Freezer</x:v>
      </x:c>
      <x:c r="E21" s="890" t="str">
        <x:v>완전수리도 약한 비출항 핵심이 Boss로 남음</x:v>
      </x:c>
      <x:c r="F21" s="890"/>
      <x:c r="G21" s="890"/>
      <x:c r="H21" s="890"/>
      <x:c r="I21" s="890"/>
      <x:c r="J21" s="890"/>
      <x:c r="K21" s="890"/>
      <x:c r="L21" s="890"/>
      <x:c r="M21" s="890"/>
      <x:c r="N21" s="890"/>
      <x:c r="O21" s="329"/>
      <x:c r="P21" s="329"/>
    </x:row>
    <x:row r="22" ht="15" hidden="0" customHeight="1">
      <x:c r="A22" s="890"/>
      <x:c r="B22" s="890"/>
      <x:c r="C22" s="890"/>
      <x:c r="D22" s="890"/>
      <x:c r="E22" s="890"/>
      <x:c r="F22" s="890"/>
      <x:c r="G22" s="890"/>
      <x:c r="H22" s="890"/>
      <x:c r="I22" s="890"/>
      <x:c r="J22" s="890"/>
      <x:c r="K22" s="890"/>
      <x:c r="L22" s="890"/>
      <x:c r="M22" s="890"/>
      <x:c r="N22" s="890"/>
    </x:row>
    <x:row r="23" ht="15" hidden="0" customHeight="1">
      <x:c r="A23" s="894" t="str">
        <x:v>3. D19 10:00 세 Emergency 동시 — 대응 자산별 결과</x:v>
      </x:c>
      <x:c r="B23" s="894"/>
      <x:c r="C23" s="894"/>
      <x:c r="D23" s="894"/>
      <x:c r="E23" s="894"/>
      <x:c r="F23" s="894"/>
      <x:c r="G23" s="894"/>
      <x:c r="H23" s="894"/>
      <x:c r="I23" s="894"/>
      <x:c r="J23" s="894" t="str">
        <x:v>v0.3에서 지금 확정/보류할 것</x:v>
      </x:c>
      <x:c r="K23" s="894"/>
      <x:c r="L23" s="894"/>
      <x:c r="M23" s="894"/>
      <x:c r="N23" s="894"/>
      <x:c r="O23" s="325"/>
      <x:c r="P23" s="325"/>
    </x:row>
    <x:row r="24" ht="30" hidden="0" customHeight="1">
      <x:c r="A24" s="892" t="str">
        <x:v>준비 상태</x:v>
      </x:c>
      <x:c r="B24" s="892" t="str">
        <x:v>Freezer 담당</x:v>
      </x:c>
      <x:c r="C24" s="892" t="str">
        <x:v>Target A</x:v>
      </x:c>
      <x:c r="D24" s="892" t="str">
        <x:v>Target B</x:v>
      </x:c>
      <x:c r="E24" s="892" t="str">
        <x:v>Jay 직접시간</x:v>
      </x:c>
      <x:c r="F24" s="892" t="str">
        <x:v>14:00 일반 Tick</x:v>
      </x:c>
      <x:c r="G24" s="892" t="str">
        <x:v>16:00 Freezer</x:v>
      </x:c>
      <x:c r="H24" s="892" t="str">
        <x:v>예상 결과</x:v>
      </x:c>
      <x:c r="I24" s="892" t="str">
        <x:v>엔딩 난이도</x:v>
      </x:c>
      <x:c r="J24" s="892" t="str">
        <x:v>항목</x:v>
      </x:c>
      <x:c r="K24" s="892" t="str">
        <x:v>판정</x:v>
      </x:c>
      <x:c r="L24" s="892" t="str">
        <x:v>이유</x:v>
      </x:c>
      <x:c r="M24" s="892"/>
      <x:c r="N24" s="892"/>
    </x:row>
    <x:row r="25" ht="32.400001525878906" hidden="0" customHeight="1">
      <x:c r="A25" s="890" t="str">
        <x:v>아무 준비 없음</x:v>
      </x:c>
      <x:c r="B25" s="890" t="str">
        <x:v>Jay 4h</x:v>
      </x:c>
      <x:c r="C25" s="890" t="str">
        <x:v>Jay 4h</x:v>
      </x:c>
      <x:c r="D25" s="890" t="str">
        <x:v>Jay 4h</x:v>
      </x:c>
      <x:c r="E25" s="890" t="n">
        <x:v>12</x:v>
      </x:c>
      <x:c r="F25" s="890" t="str">
        <x:v>A/B 중 1개는 1 Tick, 다른 1개는 최대2 Tick</x:v>
      </x:c>
      <x:c r="G25" s="890" t="str">
        <x:v>Freezer 먼저 잡으면 성공</x:v>
      </x:c>
      <x:c r="H25" s="890" t="str">
        <x:v>시설 1곳이 0/폐쇄까지 갈 수 있음</x:v>
      </x:c>
      <x:c r="I25" s="890" t="str">
        <x:v>Normal도 매우 위험</x:v>
      </x:c>
      <x:c r="J25" s="890" t="str">
        <x:v>2/2/3 Wave</x:v>
      </x:c>
      <x:c r="K25" s="890" t="str">
        <x:v>수용</x:v>
      </x:c>
      <x:c r="L25" s="890" t="str">
        <x:v>숙제형 루프 제거 + D19 시스템 보스 성립</x:v>
      </x:c>
      <x:c r="M25" s="890"/>
      <x:c r="N25" s="890"/>
    </x:row>
    <x:row r="26" ht="43.20000076293945" hidden="0" customHeight="1">
      <x:c r="A26" s="890" t="str">
        <x:v>NPC 1명 (Freezer)</x:v>
      </x:c>
      <x:c r="B26" s="890" t="str">
        <x:v>NPC 2h</x:v>
      </x:c>
      <x:c r="C26" s="890" t="str">
        <x:v>Jay 4h</x:v>
      </x:c>
      <x:c r="D26" s="890" t="str">
        <x:v>Jay 4h</x:v>
      </x:c>
      <x:c r="E26" s="890" t="n">
        <x:v>8</x:v>
      </x:c>
      <x:c r="F26" s="890" t="str">
        <x:v>두 번째 Target 1 Tick</x:v>
      </x:c>
      <x:c r="G26" s="890" t="str">
        <x:v>성공</x:v>
      </x:c>
      <x:c r="H26" s="890" t="str">
        <x:v>한 시설 손상 감수 + D20 수리</x:v>
      </x:c>
      <x:c r="I26" s="890" t="str">
        <x:v>Normal 기준선 후보</x:v>
      </x:c>
      <x:c r="J26" s="890" t="str">
        <x:v>높은 Integrity 우선</x:v>
      </x:c>
      <x:c r="K26" s="890" t="str">
        <x:v>수용</x:v>
      </x:c>
      <x:c r="L26" s="890" t="str">
        <x:v>초반 즉사 방지 / 약한 시설이 Boss에 남아 자연 난이도 상승</x:v>
      </x:c>
      <x:c r="M26" s="890"/>
      <x:c r="N26" s="890"/>
    </x:row>
    <x:row r="27" ht="21.600000381469727" hidden="0" customHeight="1">
      <x:c r="A27" s="890" t="str">
        <x:v>NPC 1명 + Jay 관련 Stat7+</x:v>
      </x:c>
      <x:c r="B27" s="890" t="str">
        <x:v>NPC 2h</x:v>
      </x:c>
      <x:c r="C27" s="890" t="str">
        <x:v>Jay 2h</x:v>
      </x:c>
      <x:c r="D27" s="890" t="str">
        <x:v>Jay 2h</x:v>
      </x:c>
      <x:c r="E27" s="890" t="n">
        <x:v>4</x:v>
      </x:c>
      <x:c r="F27" s="890" t="str">
        <x:v>없음</x:v>
      </x:c>
      <x:c r="G27" s="890" t="str">
        <x:v>성공</x:v>
      </x:c>
      <x:c r="H27" s="890" t="str">
        <x:v>세 위기 무피해 가능</x:v>
      </x:c>
      <x:c r="I27" s="890" t="str">
        <x:v>잘 준비한 Normal / True 가능</x:v>
      </x:c>
      <x:c r="J27" s="890" t="str">
        <x:v>Tie Random</x:v>
      </x:c>
      <x:c r="K27" s="890" t="str">
        <x:v>수용</x:v>
      </x:c>
      <x:c r="L27" s="890" t="str">
        <x:v>다회차 표적 변주</x:v>
      </x:c>
      <x:c r="M27" s="890"/>
      <x:c r="N27" s="890"/>
    </x:row>
    <x:row r="28" ht="32.400001525878906" hidden="0" customHeight="1">
      <x:c r="A28" s="890" t="str">
        <x:v>Jay 관련 Stat7+ / NPC 없음</x:v>
      </x:c>
      <x:c r="B28" s="890" t="str">
        <x:v>Jay Freezer2h(기술8일 때)</x:v>
      </x:c>
      <x:c r="C28" s="890" t="str">
        <x:v>Jay 2h</x:v>
      </x:c>
      <x:c r="D28" s="890" t="str">
        <x:v>Jay 2h</x:v>
      </x:c>
      <x:c r="E28" s="890" t="n">
        <x:v>6</x:v>
      </x:c>
      <x:c r="F28" s="890" t="str">
        <x:v>마지막 Target 1 Tick 가능</x:v>
      </x:c>
      <x:c r="G28" s="890" t="str">
        <x:v>성공</x:v>
      </x:c>
      <x:c r="H28" s="890" t="str">
        <x:v>전문화만으로도 한 손상 정도 감수</x:v>
      </x:c>
      <x:c r="I28" s="890" t="str">
        <x:v>전문화 Normal</x:v>
      </x:c>
      <x:c r="J28" s="890" t="str">
        <x:v>Freezer D19 고정</x:v>
      </x:c>
      <x:c r="K28" s="890" t="str">
        <x:v>수용</x:v>
      </x:c>
      <x:c r="L28" s="890" t="str">
        <x:v>6h Recovery를 실제 핵심 콘텐츠로 노출</x:v>
      </x:c>
      <x:c r="M28" s="890"/>
      <x:c r="N28" s="890"/>
    </x:row>
    <x:row r="29" ht="21.600000381469727" hidden="0" customHeight="1">
      <x:c r="A29" s="890" t="str">
        <x:v>관련 NPC 2명</x:v>
      </x:c>
      <x:c r="B29" s="890" t="str">
        <x:v>NPC 2h</x:v>
      </x:c>
      <x:c r="C29" s="890" t="str">
        <x:v>NPC 2h</x:v>
      </x:c>
      <x:c r="D29" s="890" t="str">
        <x:v>Jay 4h</x:v>
      </x:c>
      <x:c r="E29" s="890" t="n">
        <x:v>4</x:v>
      </x:c>
      <x:c r="F29" s="890" t="str">
        <x:v>없음 (Jay 14:00 완료 우선)</x:v>
      </x:c>
      <x:c r="G29" s="890" t="str">
        <x:v>성공</x:v>
      </x:c>
      <x:c r="H29" s="890" t="str">
        <x:v>병렬 해결</x:v>
      </x:c>
      <x:c r="I29" s="890" t="str">
        <x:v>교감/관계 투자 True 후보</x:v>
      </x:c>
      <x:c r="J29" s="890" t="str">
        <x:v>D19 Narrative 최소화</x:v>
      </x:c>
      <x:c r="K29" s="890" t="str">
        <x:v>수용</x:v>
      </x:c>
      <x:c r="L29" s="890" t="str">
        <x:v>시스템 성취감 보호</x:v>
      </x:c>
      <x:c r="M29" s="890"/>
      <x:c r="N29" s="890"/>
    </x:row>
    <x:row r="30" ht="21.600000381469727" hidden="0" customHeight="1">
      <x:c r="A30" s="890" t="str">
        <x:v>Route Mastery Stat9 + Will</x:v>
      </x:c>
      <x:c r="B30" s="890" t="str">
        <x:v>상황에 따라1~2h</x:v>
      </x:c>
      <x:c r="C30" s="890" t="str">
        <x:v>관련 Target1h</x:v>
      </x:c>
      <x:c r="D30" s="890" t="str">
        <x:v>관련 Target1h</x:v>
      </x:c>
      <x:c r="E30" s="890" t="n">
        <x:v>3</x:v>
      </x:c>
      <x:c r="F30" s="890" t="str">
        <x:v>없음 가능</x:v>
      </x:c>
      <x:c r="G30" s="890" t="str">
        <x:v>기술10 부족분 Will로 보완 가능</x:v>
      </x:c>
      <x:c r="H30" s="890" t="str">
        <x:v>한 루트 극단 투자 보상 체감</x:v>
      </x:c>
      <x:c r="I30" s="890" t="str">
        <x:v>True/Hidden 최적화</x:v>
      </x:c>
      <x:c r="J30" s="890" t="str">
        <x:v>Faye D18 이동</x:v>
      </x:c>
      <x:c r="K30" s="890" t="str">
        <x:v>수용</x:v>
      </x:c>
      <x:c r="L30" s="890" t="str">
        <x:v>Pre-Boss Will 회복의 감정적 근거</x:v>
      </x:c>
      <x:c r="M30" s="890"/>
      <x:c r="N30" s="890"/>
    </x:row>
    <x:row r="31" ht="21.600000381469727" hidden="0" customHeight="1">
      <x:c r="A31" s="890"/>
      <x:c r="B31" s="890"/>
      <x:c r="C31" s="890"/>
      <x:c r="D31" s="890"/>
      <x:c r="E31" s="890"/>
      <x:c r="F31" s="890"/>
      <x:c r="G31" s="890"/>
      <x:c r="H31" s="890"/>
      <x:c r="I31" s="890"/>
      <x:c r="J31" s="890" t="str">
        <x:v>Final Will+2</x:v>
      </x:c>
      <x:c r="K31" s="890" t="str">
        <x:v>TEMP 채택</x:v>
      </x:c>
      <x:c r="L31" s="890" t="str">
        <x:v>보스 난이도 완충, Max5라 폭주 제한</x:v>
      </x:c>
      <x:c r="M31" s="890"/>
      <x:c r="N31" s="890"/>
    </x:row>
    <x:row r="32" ht="15" hidden="0" customHeight="1">
      <x:c r="A32" s="894" t="str">
        <x:v>4. D15 / D17 동시2의 의미</x:v>
      </x:c>
      <x:c r="B32" s="894"/>
      <x:c r="C32" s="894"/>
      <x:c r="D32" s="894"/>
      <x:c r="E32" s="894"/>
      <x:c r="F32" s="894"/>
      <x:c r="G32" s="894"/>
      <x:c r="H32" s="894"/>
      <x:c r="I32" s="894"/>
      <x:c r="J32" s="894" t="str">
        <x:v>Route Mastery XP+6</x:v>
      </x:c>
      <x:c r="K32" s="894" t="str">
        <x:v>TEMP 채택</x:v>
      </x:c>
      <x:c r="L32" s="894" t="str">
        <x:v>집요한 루트의 실질적 빌드 보상</x:v>
      </x:c>
      <x:c r="M32" s="894"/>
      <x:c r="N32" s="894"/>
      <x:c r="O32" s="325"/>
      <x:c r="P32" s="325"/>
    </x:row>
    <x:row r="33" ht="30" hidden="0" customHeight="1">
      <x:c r="A33" s="916" t="str">
        <x:v>상태</x:v>
      </x:c>
      <x:c r="B33" s="916" t="str">
        <x:v>Jay/NPC 처리</x:v>
      </x:c>
      <x:c r="C33" s="916" t="str">
        <x:v>4h 시점</x:v>
      </x:c>
      <x:c r="D33" s="916" t="str">
        <x:v>결과</x:v>
      </x:c>
      <x:c r="E33" s="916" t="str">
        <x:v>W2 준비의 의미</x:v>
      </x:c>
      <x:c r="F33" s="916" t="str">
        <x:v>평가</x:v>
      </x:c>
      <x:c r="G33" s="916" t="str">
        <x:v>상태</x:v>
      </x:c>
      <x:c r="H33" s="916"/>
      <x:c r="I33" s="916"/>
      <x:c r="J33" s="916" t="str">
        <x:v>Normal34 / Good44</x:v>
      </x:c>
      <x:c r="K33" s="916" t="str">
        <x:v>재검증 필요</x:v>
      </x:c>
      <x:c r="L33" s="916" t="str">
        <x:v>7 Root 구조로 바뀌어 14시트 검증은 더 이상 최종 근거가 아님</x:v>
      </x:c>
      <x:c r="M33" s="916"/>
      <x:c r="N33" s="916"/>
    </x:row>
    <x:row r="34" ht="30" hidden="0" customHeight="1">
      <x:c r="A34" s="892" t="str">
        <x:v>저스탯 + NPC 없음</x:v>
      </x:c>
      <x:c r="B34" s="892" t="str">
        <x:v>4h + 4h 순차</x:v>
      </x:c>
      <x:c r="C34" s="892" t="str">
        <x:v>두 번째 Crisis 1 Tick</x:v>
      </x:c>
      <x:c r="D34" s="892" t="str">
        <x:v>한 시설 손상 감수</x:v>
      </x:c>
      <x:c r="E34" s="892" t="str">
        <x:v>높은 Integrity Target이라 초기 1 Tick은 버틸 확률 높음</x:v>
      </x:c>
      <x:c r="F34" s="892" t="str">
        <x:v>Triage 학습</x:v>
      </x:c>
      <x:c r="G34" s="892" t="str">
        <x:v>좋음</x:v>
      </x:c>
      <x:c r="H34" s="892"/>
      <x:c r="I34" s="892"/>
      <x:c r="J34" s="892" t="str">
        <x:v>시설 Crisis 문법</x:v>
      </x:c>
      <x:c r="K34" s="892" t="str">
        <x:v>16_FacilityCrisisGrammar로 정리 완료</x:v>
      </x:c>
      <x:c r="L34" s="892" t="str">
        <x:v>Character Final/보상 확정으로 이동</x:v>
      </x:c>
      <x:c r="M34" s="892"/>
      <x:c r="N34" s="892"/>
    </x:row>
    <x:row r="35" ht="15" hidden="0" customHeight="1">
      <x:c r="A35" s="890" t="str">
        <x:v>저스탯 + 맞는 NPC1</x:v>
      </x:c>
      <x:c r="B35" s="890" t="str">
        <x:v>Jay4h + NPC2h 병렬</x:v>
      </x:c>
      <x:c r="C35" s="890" t="str">
        <x:v>둘 다 해결</x:v>
      </x:c>
      <x:c r="D35" s="890" t="str">
        <x:v>무피해</x:v>
      </x:c>
      <x:c r="E35" s="890" t="str">
        <x:v>관계/배치 보상</x:v>
      </x:c>
      <x:c r="F35" s="890" t="str">
        <x:v>Normal 안정화</x:v>
      </x:c>
      <x:c r="G35" s="890" t="str">
        <x:v>좋음</x:v>
      </x:c>
      <x:c r="H35" s="890"/>
      <x:c r="I35" s="890"/>
      <x:c r="J35" s="890"/>
      <x:c r="K35" s="890"/>
      <x:c r="L35" s="890"/>
      <x:c r="M35" s="890"/>
      <x:c r="N35" s="890"/>
    </x:row>
    <x:row r="36" ht="21.600000381469727" hidden="0" customHeight="1">
      <x:c r="A36" s="890" t="str">
        <x:v>관련 Stat7+</x:v>
      </x:c>
      <x:c r="B36" s="890" t="str">
        <x:v>Jay2h + 2h 순차</x:v>
      </x:c>
      <x:c r="C36" s="890" t="str">
        <x:v>14:00/16:00 등 정확 T+4 내 해결</x:v>
      </x:c>
      <x:c r="D36" s="890" t="str">
        <x:v>무피해</x:v>
      </x:c>
      <x:c r="E36" s="890" t="str">
        <x:v>전문화 보상</x:v>
      </x:c>
      <x:c r="F36" s="890" t="str">
        <x:v>직접해결 빌드</x:v>
      </x:c>
      <x:c r="G36" s="890" t="str">
        <x:v>좋음</x:v>
      </x:c>
      <x:c r="H36" s="890"/>
      <x:c r="I36" s="890"/>
      <x:c r="J36" s="890"/>
      <x:c r="K36" s="890"/>
      <x:c r="L36" s="890"/>
      <x:c r="M36" s="890"/>
      <x:c r="N36" s="890"/>
    </x:row>
    <x:row r="37" ht="21.600000381469727" hidden="0" customHeight="1">
      <x:c r="A37" s="890" t="str">
        <x:v>Will 특수 1회</x:v>
      </x:c>
      <x:c r="B37" s="890" t="str">
        <x:v>1h + 4h</x:v>
      </x:c>
      <x:c r="C37" s="890" t="str">
        <x:v>두 번째 T+4 경계</x:v>
      </x:c>
      <x:c r="D37" s="890" t="str">
        <x:v>해결 우선이면 무피해 가능</x:v>
      </x:c>
      <x:c r="E37" s="890" t="str">
        <x:v>Will이 Wave 하나를 넘길 수 있음</x:v>
      </x:c>
      <x:c r="F37" s="890" t="str">
        <x:v>자원 소모 의미</x:v>
      </x:c>
      <x:c r="G37" s="890" t="str">
        <x:v>좋음</x:v>
      </x:c>
      <x:c r="H37" s="890"/>
      <x:c r="I37" s="890"/>
      <x:c r="J37" s="890"/>
      <x:c r="K37" s="890"/>
      <x:c r="L37" s="890"/>
      <x:c r="M37" s="890"/>
      <x:c r="N37" s="890"/>
    </x:row>
    <x:row r="38" ht="21.600000381469727" hidden="0" customHeight="1">
      <x:c r="A38" s="890" t="str">
        <x:v>일부러 1 Tick</x:v>
      </x:c>
      <x:c r="B38" s="890" t="str">
        <x:v>위험 낮은 Target을 뒤로 둠</x:v>
      </x:c>
      <x:c r="C38" s="890" t="str">
        <x:v>한쪽 -1/연쇄</x:v>
      </x:c>
      <x:c r="D38" s="890" t="str">
        <x:v>다른 Quest/수리/Will 절약</x:v>
      </x:c>
      <x:c r="E38" s="890" t="str">
        <x:v>방치가 전략이 됨</x:v>
      </x:c>
      <x:c r="F38" s="890" t="str">
        <x:v>핵심</x:v>
      </x:c>
      <x:c r="G38" s="890" t="str">
        <x:v>좋음</x:v>
      </x:c>
      <x:c r="H38" s="890"/>
      <x:c r="I38" s="890"/>
      <x:c r="J38" s="890"/>
      <x:c r="K38" s="890"/>
      <x:c r="L38" s="890"/>
      <x:c r="M38" s="890"/>
      <x:c r="N38" s="890"/>
    </x:row>
    <x:row r="39" ht="15" hidden="0" customHeight="1">
      <x:c r="A39" s="890"/>
      <x:c r="B39" s="890"/>
      <x:c r="C39" s="890"/>
      <x:c r="D39" s="890"/>
      <x:c r="E39" s="890"/>
      <x:c r="F39" s="890"/>
      <x:c r="G39" s="890"/>
      <x:c r="H39" s="890"/>
      <x:c r="I39" s="890"/>
      <x:c r="J39" s="890"/>
      <x:c r="K39" s="890"/>
      <x:c r="L39" s="890"/>
      <x:c r="M39" s="890"/>
      <x:c r="N39" s="890"/>
    </x:row>
    <x:row r="40" ht="26" hidden="0" customHeight="1">
      <x:c r="A40" s="911" t="str">
        <x:v>5. Character Route를 D19 자원으로 바꾸는 보상안</x:v>
      </x:c>
      <x:c r="B40" s="911"/>
      <x:c r="C40" s="911"/>
      <x:c r="D40" s="911"/>
      <x:c r="E40" s="911"/>
      <x:c r="F40" s="911"/>
      <x:c r="G40" s="911"/>
      <x:c r="H40" s="911"/>
      <x:c r="I40" s="911"/>
      <x:c r="J40" s="911"/>
      <x:c r="K40" s="911"/>
      <x:c r="L40" s="911"/>
      <x:c r="M40" s="911"/>
      <x:c r="N40" s="911"/>
      <x:c r="O40" s="325"/>
      <x:c r="P40" s="325"/>
    </x:row>
    <x:row r="41" ht="30" hidden="0" customHeight="1">
      <x:c r="A41" s="916" t="str">
        <x:v>보상</x:v>
      </x:c>
      <x:c r="B41" s="916" t="str">
        <x:v>조건</x:v>
      </x:c>
      <x:c r="C41" s="916" t="str">
        <x:v>효과</x:v>
      </x:c>
      <x:c r="D41" s="916" t="str">
        <x:v>D19에서의 가치</x:v>
      </x:c>
      <x:c r="E41" s="916" t="str">
        <x:v>남용 방지</x:v>
      </x:c>
      <x:c r="F41" s="916" t="str">
        <x:v>상태</x:v>
      </x:c>
      <x:c r="G41" s="916" t="str">
        <x:v>예시</x:v>
      </x:c>
      <x:c r="H41" s="916" t="str">
        <x:v>메모</x:v>
      </x:c>
      <x:c r="I41" s="916"/>
      <x:c r="J41" s="916"/>
      <x:c r="K41" s="916"/>
      <x:c r="L41" s="916"/>
      <x:c r="M41" s="916"/>
      <x:c r="N41" s="916"/>
    </x:row>
    <x:row r="42" ht="30" hidden="0" customHeight="1">
      <x:c r="A42" s="892" t="str">
        <x:v>Character Final</x:v>
      </x:c>
      <x:c r="B42" s="892" t="str">
        <x:v>W3에서 해당 인물 Final 완료</x:v>
      </x:c>
      <x:c r="C42" s="892" t="str">
        <x:v>Will +2 / Max5</x:v>
      </x:c>
      <x:c r="D42" s="892" t="str">
        <x:v>한 번의 고난도 보완 또는 순수의지 선택 회복</x:v>
      </x:c>
      <x:c r="E42" s="892" t="str">
        <x:v>Final당1회</x:v>
      </x:c>
      <x:c r="F42" s="892" t="str">
        <x:v>TEMP 추천</x:v>
      </x:c>
      <x:c r="G42" s="892" t="str">
        <x:v>지나/디야/샘 등</x:v>
      </x:c>
      <x:c r="H42" s="892" t="str">
        <x:v>Quest를 감정+자원 보상으로</x:v>
      </x:c>
      <x:c r="I42" s="892"/>
      <x:c r="J42" s="892"/>
      <x:c r="K42" s="892"/>
      <x:c r="L42" s="892"/>
      <x:c r="M42" s="892"/>
      <x:c r="N42" s="892"/>
    </x:row>
    <x:row r="43" ht="21.600000381469727" hidden="0" customHeight="1">
      <x:c r="A43" s="890" t="str">
        <x:v>Faye 공연</x:v>
      </x:c>
      <x:c r="B43" s="890" t="str">
        <x:v>D18 / 페이+샘 생존 / 방송조건</x:v>
      </x:c>
      <x:c r="C43" s="890" t="str">
        <x:v>Will +3 / Max5</x:v>
      </x:c>
      <x:c r="D43" s="890" t="str">
        <x:v>Boss 직전 사실상 재충전</x:v>
      </x:c>
      <x:c r="E43" s="890" t="str">
        <x:v>1회</x:v>
      </x:c>
      <x:c r="F43" s="890" t="str">
        <x:v>TEMP 추천</x:v>
      </x:c>
      <x:c r="G43" s="890" t="str">
        <x:v>1h 유지</x:v>
      </x:c>
      <x:c r="H43" s="890" t="str">
        <x:v>공동체가 숨을 돌리는 장면</x:v>
      </x:c>
      <x:c r="I43" s="890"/>
      <x:c r="J43" s="890"/>
      <x:c r="K43" s="890"/>
      <x:c r="L43" s="890"/>
      <x:c r="M43" s="890"/>
      <x:c r="N43" s="890"/>
    </x:row>
    <x:row r="44" ht="30" hidden="0" customHeight="1">
      <x:c r="A44" s="892" t="str">
        <x:v>Route Mastery</x:v>
      </x:c>
      <x:c r="B44" s="892" t="str">
        <x:v>W1~3 한 인물 Route 완주</x:v>
      </x:c>
      <x:c r="C44" s="892" t="str">
        <x:v>관련 Stat XP +6 = Lv+1</x:v>
      </x:c>
      <x:c r="D44" s="892" t="str">
        <x:v>Stat8→9처럼 특수1h 선택을 무Will로 열 수 있음</x:v>
      </x:c>
      <x:c r="E44" s="892" t="str">
        <x:v>캐릭터별1회</x:v>
      </x:c>
      <x:c r="F44" s="892" t="str">
        <x:v>TEMP 추천</x:v>
      </x:c>
      <x:c r="G44" s="892" t="str">
        <x:v>Sam=강인함 / Benjamin·Borichi=기술 / Jina·Diya·Faye=교감 후보</x:v>
      </x:c>
      <x:c r="H44" s="892" t="str">
        <x:v>정확 매핑 추후</x:v>
      </x:c>
      <x:c r="I44" s="892"/>
      <x:c r="J44" s="892"/>
      <x:c r="K44" s="892"/>
      <x:c r="L44" s="892"/>
      <x:c r="M44" s="892"/>
      <x:c r="N44" s="892"/>
    </x:row>
    <x:row r="45" ht="21.600000381469727" hidden="0" customHeight="1">
      <x:c r="A45" s="890" t="str">
        <x:v>W3 일반 Character Beat</x:v>
      </x:c>
      <x:c r="B45" s="890" t="str">
        <x:v>Final 전 단계</x:v>
      </x:c>
      <x:c r="C45" s="890" t="str">
        <x:v>Will +1 후보</x:v>
      </x:c>
      <x:c r="D45" s="890" t="str">
        <x:v>Final까지 가는 과정도 자원 회복</x:v>
      </x:c>
      <x:c r="E45" s="890" t="str">
        <x:v>동일 Beat 반복불가</x:v>
      </x:c>
      <x:c r="F45" s="890" t="str">
        <x:v>TEMP 후보</x:v>
      </x:c>
      <x:c r="G45" s="890" t="str">
        <x:v>—</x:v>
      </x:c>
      <x:c r="H45" s="890" t="str">
        <x:v>보상 과다 여부 시뮬 필요</x:v>
      </x:c>
      <x:c r="I45" s="890"/>
      <x:c r="J45" s="890"/>
      <x:c r="K45" s="890"/>
      <x:c r="L45" s="890"/>
      <x:c r="M45" s="890"/>
      <x:c r="N45" s="890"/>
    </x:row>
    <x:row r="46" ht="21.600000381469727" hidden="0" customHeight="1">
      <x:c r="A46" s="890" t="str">
        <x:v>D19 Boss</x:v>
      </x:c>
      <x:c r="B46" s="890" t="str">
        <x:v>Boss 생존</x:v>
      </x:c>
      <x:c r="C46" s="890" t="str">
        <x:v>즉시 능력보상 없음</x:v>
      </x:c>
      <x:c r="D46" s="890" t="str">
        <x:v>보스 중 눈덩이 파워업 방지</x:v>
      </x:c>
      <x:c r="E46" s="890" t="str">
        <x:v>—</x:v>
      </x:c>
      <x:c r="F46" s="890" t="str">
        <x:v>TEMP 추천</x:v>
      </x:c>
      <x:c r="G46" s="890" t="str">
        <x:v>D20 후 보상/대화</x:v>
      </x:c>
      <x:c r="H46" s="890" t="str">
        <x:v>D19은 버티는 날</x:v>
      </x:c>
      <x:c r="I46" s="890"/>
      <x:c r="J46" s="890"/>
      <x:c r="K46" s="890"/>
      <x:c r="L46" s="890"/>
      <x:c r="M46" s="890"/>
      <x:c r="N46" s="890"/>
    </x:row>
    <x:row r="47" ht="15" hidden="0" customHeight="1">
      <x:c r="A47" s="890" t="str">
        <x:v>Overnight</x:v>
      </x:c>
      <x:c r="B47" s="890" t="str">
        <x:v>매일</x:v>
      </x:c>
      <x:c r="C47" s="890" t="str">
        <x:v>Will +1 / Max5</x:v>
      </x:c>
      <x:c r="D47" s="890" t="str">
        <x:v>기본 회복</x:v>
      </x:c>
      <x:c r="E47" s="890" t="str">
        <x:v>확정</x:v>
      </x:c>
      <x:c r="F47" s="890" t="str">
        <x:v>확정</x:v>
      </x:c>
      <x:c r="G47" s="890" t="str">
        <x:v>—</x:v>
      </x:c>
      <x:c r="H47" s="890" t="str">
        <x:v>기존 유지</x:v>
      </x:c>
      <x:c r="I47" s="890"/>
      <x:c r="J47" s="890"/>
      <x:c r="K47" s="890"/>
      <x:c r="L47" s="890"/>
      <x:c r="M47" s="890"/>
      <x:c r="N47" s="890"/>
    </x:row>
    <x:row r="48" ht="30" hidden="0" customHeight="1">
      <x:c r="A48" s="892" t="str">
        <x:v>Rest</x:v>
      </x:c>
      <x:c r="B48" s="892" t="str">
        <x:v>3h</x:v>
      </x:c>
      <x:c r="C48" s="892" t="str">
        <x:v>Will +1</x:v>
      </x:c>
      <x:c r="D48" s="892" t="str">
        <x:v>시간↔Will 교환</x:v>
      </x:c>
      <x:c r="E48" s="892" t="str">
        <x:v>확정</x:v>
      </x:c>
      <x:c r="F48" s="892" t="str">
        <x:v>확정</x:v>
      </x:c>
      <x:c r="G48" s="892" t="str">
        <x:v>—</x:v>
      </x:c>
      <x:c r="H48" s="892" t="str">
        <x:v>Boss 전날 선택 가능</x:v>
      </x:c>
      <x:c r="I48" s="892"/>
      <x:c r="J48" s="892"/>
      <x:c r="K48" s="892"/>
      <x:c r="L48" s="892"/>
      <x:c r="M48" s="892"/>
      <x:c r="N48" s="892"/>
    </x:row>
    <x:row r="49" ht="30" hidden="0" customHeight="1">
      <x:c r="A49" s="892" t="str">
        <x:v>보상 설계 핵심</x:v>
      </x:c>
      <x:c r="B49" s="892" t="str">
        <x:v>깊게 판 Route가 D19 대응 자산이 됨</x:v>
      </x:c>
      <x:c r="C49" s="892" t="str">
        <x:v>시간/Will/Stat/NPC 중 하나를 실제로 더 확보</x:v>
      </x:c>
      <x:c r="D49" s="892" t="str">
        <x:v>True/Hidden을 '가능'하게 만드는 보정</x:v>
      </x:c>
      <x:c r="E49" s="892" t="str">
        <x:v>모든 루트 풀보상은 시간상 어려워야 함</x:v>
      </x:c>
      <x:c r="F49" s="892" t="str">
        <x:v>방향 확정 추천</x:v>
      </x:c>
      <x:c r="G49" s="892" t="str">
        <x:v>—</x:v>
      </x:c>
      <x:c r="H49" s="892" t="str"/>
      <x:c r="I49" s="892"/>
      <x:c r="J49" s="892"/>
      <x:c r="K49" s="892"/>
      <x:c r="L49" s="892"/>
      <x:c r="M49" s="892"/>
      <x:c r="N49" s="892"/>
    </x:row>
    <x:row r="50" ht="15" hidden="0" customHeight="1">
      <x:c r="A50" s="890"/>
      <x:c r="B50" s="890"/>
      <x:c r="C50" s="890"/>
      <x:c r="D50" s="890"/>
      <x:c r="E50" s="890"/>
      <x:c r="F50" s="890"/>
      <x:c r="G50" s="890"/>
      <x:c r="H50" s="890"/>
      <x:c r="I50" s="890"/>
      <x:c r="J50" s="890"/>
      <x:c r="K50" s="890"/>
      <x:c r="L50" s="890"/>
      <x:c r="M50" s="890"/>
      <x:c r="N50" s="890"/>
    </x:row>
    <x:row r="51" ht="26" hidden="0" customHeight="1">
      <x:c r="A51" s="911" t="str">
        <x:v>6. Ending 난이도 목표 — 새 Wave 구조에서</x:v>
      </x:c>
      <x:c r="B51" s="911"/>
      <x:c r="C51" s="911"/>
      <x:c r="D51" s="911"/>
      <x:c r="E51" s="911"/>
      <x:c r="F51" s="911"/>
      <x:c r="G51" s="911"/>
      <x:c r="H51" s="911"/>
      <x:c r="I51" s="911"/>
      <x:c r="J51" s="911"/>
      <x:c r="K51" s="911"/>
      <x:c r="L51" s="911"/>
      <x:c r="M51" s="911"/>
      <x:c r="N51" s="911"/>
      <x:c r="O51" s="325"/>
      <x:c r="P51" s="325"/>
    </x:row>
    <x:row r="52" ht="15" hidden="0" customHeight="1">
      <x:c r="A52" s="894" t="str">
        <x:v>목표</x:v>
      </x:c>
      <x:c r="B52" s="894" t="str">
        <x:v>W2 준비</x:v>
      </x:c>
      <x:c r="C52" s="894" t="str">
        <x:v>W3 루트/자원</x:v>
      </x:c>
      <x:c r="D52" s="894" t="str">
        <x:v>D19 기대</x:v>
      </x:c>
      <x:c r="E52" s="894" t="str">
        <x:v>D20 요구</x:v>
      </x:c>
      <x:c r="F52" s="894" t="str">
        <x:v>판정</x:v>
      </x:c>
      <x:c r="G52" s="894" t="str">
        <x:v>현재 가능성</x:v>
      </x:c>
      <x:c r="H52" s="894" t="str">
        <x:v>밸런스 의도</x:v>
      </x:c>
      <x:c r="I52" s="890"/>
      <x:c r="J52" s="890"/>
      <x:c r="K52" s="890"/>
      <x:c r="L52" s="890"/>
      <x:c r="M52" s="890"/>
      <x:c r="N52" s="890"/>
    </x:row>
    <x:row r="53" ht="30" hidden="0" customHeight="1">
      <x:c r="A53" s="892" t="str">
        <x:v>Normal</x:v>
      </x:c>
      <x:c r="B53" s="892" t="str">
        <x:v>Shelter~Departure Normal</x:v>
      </x:c>
      <x:c r="C53" s="892" t="str">
        <x:v>NPC 1명 또는 일부 Stat/Will 활용</x:v>
      </x:c>
      <x:c r="D53" s="892" t="str">
        <x:v>1~2 Tick/한 시설 큰 손상까지 감수 가능</x:v>
      </x:c>
      <x:c r="E53" s="892" t="str">
        <x:v>필수시설 복구 1~3회</x:v>
      </x:c>
      <x:c r="F53" s="892" t="str">
        <x:v>벅차지만 가능</x:v>
      </x:c>
      <x:c r="G53" s="892" t="str">
        <x:v>가능</x:v>
      </x:c>
      <x:c r="H53" s="892" t="str">
        <x:v>기준 클리어</x:v>
      </x:c>
      <x:c r="I53" s="892"/>
      <x:c r="J53" s="892"/>
      <x:c r="K53" s="892"/>
      <x:c r="L53" s="892"/>
      <x:c r="M53" s="892"/>
      <x:c r="N53" s="892"/>
    </x:row>
    <x:row r="54" ht="21.600000381469727" hidden="0" customHeight="1">
      <x:c r="A54" s="890" t="str">
        <x:v>Normal 안정</x:v>
      </x:c>
      <x:c r="B54" s="890" t="str">
        <x:v>Living/Storm Buffer</x:v>
      </x:c>
      <x:c r="C54" s="890" t="str">
        <x:v>NPC 1명 + 기본 Character 진행</x:v>
      </x:c>
      <x:c r="D54" s="890" t="str">
        <x:v>Boss 0~1 Tick</x:v>
      </x:c>
      <x:c r="E54" s="890" t="str">
        <x:v>최종 Normal 복구</x:v>
      </x:c>
      <x:c r="F54" s="890" t="str">
        <x:v>가능</x:v>
      </x:c>
      <x:c r="G54" s="890" t="str">
        <x:v>높음</x:v>
      </x:c>
      <x:c r="H54" s="890" t="str">
        <x:v>잘한 첫 플레이</x:v>
      </x:c>
      <x:c r="I54" s="890"/>
      <x:c r="J54" s="890"/>
      <x:c r="K54" s="890"/>
      <x:c r="L54" s="890"/>
      <x:c r="M54" s="890"/>
      <x:c r="N54" s="890"/>
    </x:row>
    <x:row r="55" ht="30" hidden="0" customHeight="1">
      <x:c r="A55" s="892" t="str">
        <x:v>True</x:v>
      </x:c>
      <x:c r="B55" s="892" t="str">
        <x:v>Storm Buffer 이상 + 전원 생존</x:v>
      </x:c>
      <x:c r="C55" s="892" t="str">
        <x:v>핵심 Character Route 1개 이상 Mastery + NPC 배치 + Will 회복</x:v>
      </x:c>
      <x:c r="D55" s="892" t="str">
        <x:v>가능하면 치명 손실0 / 시설 Tick 최소</x:v>
      </x:c>
      <x:c r="E55" s="892" t="str">
        <x:v>D20 Stance Final까지 완료</x:v>
      </x:c>
      <x:c r="F55" s="892" t="str">
        <x:v>매우 빡빡하지만 가능</x:v>
      </x:c>
      <x:c r="G55" s="892" t="str">
        <x:v>가능 후보</x:v>
      </x:c>
      <x:c r="H55" s="892" t="str">
        <x:v>고난도 성취</x:v>
      </x:c>
      <x:c r="I55" s="892"/>
      <x:c r="J55" s="892"/>
      <x:c r="K55" s="892"/>
      <x:c r="L55" s="892"/>
      <x:c r="M55" s="892"/>
      <x:c r="N55" s="892"/>
    </x:row>
    <x:row r="56" ht="32.400001525878906" hidden="0" customHeight="1">
      <x:c r="A56" s="890" t="str">
        <x:v>Hidden</x:v>
      </x:c>
      <x:c r="B56" s="890" t="str">
        <x:v>Hidden/Recheck + Sustainability HIGH + Ship Normal+</x:v>
      </x:c>
      <x:c r="C56" s="890" t="str">
        <x:v>보리치 생존/Research + Pre-Boss 보상 + NPC</x:v>
      </x:c>
      <x:c r="D56" s="890" t="str">
        <x:v>Boss 후에도 Normal 복구 가능</x:v>
      </x:c>
      <x:c r="E56" s="890" t="str">
        <x:v>재점검/정착 최종조건 유지</x:v>
      </x:c>
      <x:c r="F56" s="890" t="str">
        <x:v>매우 빡빡하지만 가능</x:v>
      </x:c>
      <x:c r="G56" s="890" t="str">
        <x:v>가능 후보</x:v>
      </x:c>
      <x:c r="H56" s="890" t="str">
        <x:v>자발적 정착 성취</x:v>
      </x:c>
      <x:c r="I56" s="890"/>
      <x:c r="J56" s="890"/>
      <x:c r="K56" s="890"/>
      <x:c r="L56" s="890"/>
      <x:c r="M56" s="890"/>
      <x:c r="N56" s="890"/>
    </x:row>
    <x:row r="57" ht="21.600000381469727" hidden="0" customHeight="1">
      <x:c r="A57" s="890" t="str">
        <x:v>Good Ship</x:v>
      </x:c>
      <x:c r="B57" s="890" t="str">
        <x:v>W1~2 Ship 극단투자</x:v>
      </x:c>
      <x:c r="C57" s="890" t="str">
        <x:v>D19 대응도 우수</x:v>
      </x:c>
      <x:c r="D57" s="890" t="str">
        <x:v>Boss 후 1~3 Repair로 Good 복귀 가능 후보</x:v>
      </x:c>
      <x:c r="E57" s="890" t="str">
        <x:v>Character/Planet 콘텐츠 희생 큼</x:v>
      </x:c>
      <x:c r="F57" s="890" t="str">
        <x:v>가능</x:v>
      </x:c>
      <x:c r="G57" s="890" t="str">
        <x:v>특화 보상</x:v>
      </x:c>
      <x:c r="H57" s="890" t="str">
        <x:v>엔딩 자체 필수 아님</x:v>
      </x:c>
      <x:c r="I57" s="890"/>
      <x:c r="J57" s="890"/>
      <x:c r="K57" s="890"/>
      <x:c r="L57" s="890"/>
      <x:c r="M57" s="890"/>
      <x:c r="N57" s="890"/>
    </x:row>
    <x:row r="58" ht="32.400001525878906" hidden="0" customHeight="1">
      <x:c r="A58" s="890" t="str">
        <x:v>Bad</x:v>
      </x:c>
      <x:c r="B58" s="890" t="str">
        <x:v>Shelter Minimum + NPC/관계/Stat 부족</x:v>
      </x:c>
      <x:c r="C58" s="890" t="str">
        <x:v>Wave를 반복 방치</x:v>
      </x:c>
      <x:c r="D58" s="890" t="str">
        <x:v>D19 Freezer 실패/시설0/Hull0 연쇄</x:v>
      </x:c>
      <x:c r="E58" s="890" t="str">
        <x:v>회복 불가</x:v>
      </x:c>
      <x:c r="F58" s="890" t="str">
        <x:v>명확</x:v>
      </x:c>
      <x:c r="G58" s="890" t="str">
        <x:v>가능</x:v>
      </x:c>
      <x:c r="H58" s="890" t="str">
        <x:v>실패 원인이 읽혀야 함</x:v>
      </x:c>
      <x:c r="I58" s="890"/>
      <x:c r="J58" s="890"/>
      <x:c r="K58" s="890"/>
      <x:c r="L58" s="890"/>
      <x:c r="M58" s="890"/>
      <x:c r="N58" s="890"/>
    </x:row>
    <x:row r="59" ht="15" hidden="0" customHeight="1">
      <x:c r="A59" s="890"/>
      <x:c r="B59" s="890"/>
      <x:c r="C59" s="890"/>
      <x:c r="D59" s="890"/>
      <x:c r="E59" s="890"/>
      <x:c r="F59" s="890"/>
      <x:c r="G59" s="890"/>
      <x:c r="H59" s="890"/>
      <x:c r="I59" s="890"/>
      <x:c r="J59" s="890"/>
      <x:c r="K59" s="890"/>
      <x:c r="L59" s="890"/>
      <x:c r="M59" s="890"/>
      <x:c r="N59" s="890"/>
    </x:row>
    <x:row r="60" ht="26" hidden="0" customHeight="1">
      <x:c r="A60" s="911" t="str">
        <x:v>7. Departure Normal 기준 D19 예시 — Bridge + Research + Freezer</x:v>
      </x:c>
      <x:c r="B60" s="911"/>
      <x:c r="C60" s="911"/>
      <x:c r="D60" s="911"/>
      <x:c r="E60" s="911"/>
      <x:c r="F60" s="911"/>
      <x:c r="G60" s="911"/>
      <x:c r="H60" s="911"/>
      <x:c r="I60" s="911"/>
      <x:c r="J60" s="911"/>
      <x:c r="K60" s="911"/>
      <x:c r="L60" s="911"/>
      <x:c r="M60" s="911"/>
      <x:c r="N60" s="911"/>
      <x:c r="O60" s="325"/>
      <x:c r="P60" s="325"/>
    </x:row>
    <x:row r="61" ht="30" hidden="0" customHeight="1">
      <x:c r="A61" s="916" t="str">
        <x:v>시각</x:v>
      </x:c>
      <x:c r="B61" s="916" t="str">
        <x:v>Freezer</x:v>
      </x:c>
      <x:c r="C61" s="916" t="str">
        <x:v>Bridge Crisis</x:v>
      </x:c>
      <x:c r="D61" s="916" t="str">
        <x:v>Research Crisis</x:v>
      </x:c>
      <x:c r="E61" s="916" t="str">
        <x:v>선택</x:v>
      </x:c>
      <x:c r="F61" s="916" t="str">
        <x:v>결과</x:v>
      </x:c>
      <x:c r="G61" s="916" t="str">
        <x:v>감정</x:v>
      </x:c>
      <x:c r="H61" s="916"/>
      <x:c r="I61" s="916"/>
      <x:c r="J61" s="916"/>
      <x:c r="K61" s="916"/>
      <x:c r="L61" s="916"/>
      <x:c r="M61" s="916"/>
      <x:c r="N61" s="916"/>
    </x:row>
    <x:row r="62" ht="21.600000381469727" hidden="0" customHeight="1">
      <x:c r="A62" s="890" t="str">
        <x:v>09:00</x:v>
      </x:c>
      <x:c r="B62" s="890" t="str">
        <x:v>고정 공개</x:v>
      </x:c>
      <x:c r="C62" s="890" t="str">
        <x:v>공개</x:v>
      </x:c>
      <x:c r="D62" s="890" t="str">
        <x:v>공개</x:v>
      </x:c>
      <x:c r="E62" s="890" t="str">
        <x:v>벤자민을 Freezer로 이동</x:v>
      </x:c>
      <x:c r="F62" s="890" t="str">
        <x:v>보스 준비</x:v>
      </x:c>
      <x:c r="G62" s="890" t="str">
        <x:v>세 경보가 오기 전 1시간</x:v>
      </x:c>
      <x:c r="H62" s="890"/>
      <x:c r="I62" s="890"/>
      <x:c r="J62" s="890"/>
      <x:c r="K62" s="890"/>
      <x:c r="L62" s="890"/>
      <x:c r="M62" s="890"/>
      <x:c r="N62" s="890"/>
    </x:row>
    <x:row r="63" ht="21.600000381469727" hidden="0" customHeight="1">
      <x:c r="A63" s="890" t="str">
        <x:v>10:00</x:v>
      </x:c>
      <x:c r="B63" s="890" t="str">
        <x:v>Recovery 시작</x:v>
      </x:c>
      <x:c r="C63" s="890" t="str">
        <x:v>Root 시작</x:v>
      </x:c>
      <x:c r="D63" s="890" t="str">
        <x:v>Root 시작</x:v>
      </x:c>
      <x:c r="E63" s="890" t="str">
        <x:v>Jay가 Bridge부터 처리</x:v>
      </x:c>
      <x:c r="F63" s="890" t="str">
        <x:v>세 타이머 동시</x:v>
      </x:c>
      <x:c r="G63" s="890" t="str">
        <x:v>무엇부터 잡을지 결정</x:v>
      </x:c>
      <x:c r="H63" s="890"/>
      <x:c r="I63" s="890"/>
      <x:c r="J63" s="890"/>
      <x:c r="K63" s="890"/>
      <x:c r="L63" s="890"/>
      <x:c r="M63" s="890"/>
      <x:c r="N63" s="890"/>
    </x:row>
    <x:row r="64" ht="21.600000381469727" hidden="0" customHeight="1">
      <x:c r="A64" s="890" t="str">
        <x:v>12:00</x:v>
      </x:c>
      <x:c r="B64" s="890" t="str">
        <x:v>벤자민 해결</x:v>
      </x:c>
      <x:c r="C64" s="890" t="str">
        <x:v>진행</x:v>
      </x:c>
      <x:c r="D64" s="890" t="str">
        <x:v>진행</x:v>
      </x:c>
      <x:c r="E64" s="890" t="str">
        <x:v>Jay 계속 Bridge</x:v>
      </x:c>
      <x:c r="F64" s="890" t="str">
        <x:v>Freezer 안전</x:v>
      </x:c>
      <x:c r="G64" s="890" t="str">
        <x:v>출항 가능성 하나 확보</x:v>
      </x:c>
      <x:c r="H64" s="890"/>
      <x:c r="I64" s="890"/>
      <x:c r="J64" s="890"/>
      <x:c r="K64" s="890"/>
      <x:c r="L64" s="890"/>
      <x:c r="M64" s="890"/>
      <x:c r="N64" s="890"/>
    </x:row>
    <x:row r="65" ht="43.20000076293945" hidden="0" customHeight="1">
      <x:c r="A65" s="890" t="str">
        <x:v>14:00</x:v>
      </x:c>
      <x:c r="B65" s="890" t="str">
        <x:v>안전</x:v>
      </x:c>
      <x:c r="C65" s="890" t="str">
        <x:v>Jay 기본4h 완료</x:v>
      </x:c>
      <x:c r="D65" s="890" t="str">
        <x:v>Research 1 Tick</x:v>
      </x:c>
      <x:c r="E65" s="890" t="str">
        <x:v>Research2→1 / Greenhouse3→2 / Freezer는 이미 Recovery 종료</x:v>
      </x:c>
      <x:c r="F65" s="890" t="str">
        <x:v>한 손상 감수</x:v>
      </x:c>
      <x:c r="G65" s="890" t="str">
        <x:v>'연구를 버린 건가?'</x:v>
      </x:c>
      <x:c r="H65" s="890"/>
      <x:c r="I65" s="890"/>
      <x:c r="J65" s="890"/>
      <x:c r="K65" s="890"/>
      <x:c r="L65" s="890"/>
      <x:c r="M65" s="890"/>
      <x:c r="N65" s="890"/>
    </x:row>
    <x:row r="66" ht="21.600000381469727" hidden="0" customHeight="1">
      <x:c r="A66" s="890" t="str">
        <x:v>18:00</x:v>
      </x:c>
      <x:c r="B66" s="890" t="str">
        <x:v>안전</x:v>
      </x:c>
      <x:c r="C66" s="890" t="str">
        <x:v>안전</x:v>
      </x:c>
      <x:c r="D66" s="890" t="str">
        <x:v>Jay Research4h 완료</x:v>
      </x:c>
      <x:c r="E66" s="890" t="str">
        <x:v>Boss 종료</x:v>
      </x:c>
      <x:c r="F66" s="890" t="str">
        <x:v>Research1/Greenhouse2지만 생존</x:v>
      </x:c>
      <x:c r="G66" s="890" t="str">
        <x:v>D20 수리/재점검 압박</x:v>
      </x:c>
      <x:c r="H66" s="890"/>
      <x:c r="I66" s="890"/>
      <x:c r="J66" s="890"/>
      <x:c r="K66" s="890"/>
      <x:c r="L66" s="890"/>
      <x:c r="M66" s="890"/>
      <x:c r="N66" s="890"/>
    </x:row>
    <x:row r="67" ht="32.400001525878906" hidden="0" customHeight="1">
      <x:c r="A67" s="890" t="str">
        <x:v>D20</x:v>
      </x:c>
      <x:c r="B67" s="890" t="str">
        <x:v>—</x:v>
      </x:c>
      <x:c r="C67" s="890" t="str">
        <x:v>—</x:v>
      </x:c>
      <x:c r="D67" s="890" t="str">
        <x:v>—</x:v>
      </x:c>
      <x:c r="E67" s="890" t="str">
        <x:v>Research/Greenhouse/출항 필수 중 무엇을 고칠지</x:v>
      </x:c>
      <x:c r="F67" s="890" t="str">
        <x:v>Normal 복구 가능</x:v>
      </x:c>
      <x:c r="G67" s="890" t="str">
        <x:v>살아남았지만 모든 걸 지키진 못함</x:v>
      </x:c>
      <x:c r="H67" s="890"/>
      <x:c r="I67" s="890"/>
      <x:c r="J67" s="890"/>
      <x:c r="K67" s="890"/>
      <x:c r="L67" s="890"/>
      <x:c r="M67" s="890"/>
      <x:c r="N67" s="890"/>
    </x:row>
    <x:row r="68" ht="21.600000381469727" hidden="0" customHeight="1">
      <x:c r="A68" s="890" t="str">
        <x:v>True/Hidden 변형</x:v>
      </x:c>
      <x:c r="B68" s="890" t="str">
        <x:v>NPC/Stat 보상 추가</x:v>
      </x:c>
      <x:c r="C68" s="890" t="str">
        <x:v>—</x:v>
      </x:c>
      <x:c r="D68" s="890" t="str">
        <x:v>—</x:v>
      </x:c>
      <x:c r="E68" s="890" t="str">
        <x:v>Research까지 14:00 전에 해결 가능</x:v>
      </x:c>
      <x:c r="F68" s="890" t="str">
        <x:v>무손실 또는 최소손실</x:v>
      </x:c>
      <x:c r="G68" s="890" t="str">
        <x:v>집요한 준비가 보스에서 체감</x:v>
      </x:c>
      <x:c r="H68" s="890"/>
      <x:c r="I68" s="890"/>
      <x:c r="J68" s="890"/>
      <x:c r="K68" s="890"/>
      <x:c r="L68" s="890"/>
      <x:c r="M68" s="890"/>
      <x:c r="N68" s="890"/>
    </x:row>
    <x:row r="69" ht="15" hidden="0" customHeight="1">
      <x:c r="A69" s="890"/>
      <x:c r="B69" s="890"/>
      <x:c r="C69" s="890"/>
      <x:c r="D69" s="890"/>
      <x:c r="E69" s="890"/>
      <x:c r="F69" s="890"/>
      <x:c r="G69" s="890"/>
      <x:c r="H69" s="890"/>
      <x:c r="I69" s="890"/>
      <x:c r="J69" s="890"/>
      <x:c r="K69" s="890"/>
      <x:c r="L69" s="890"/>
      <x:c r="M69" s="890"/>
      <x:c r="N69" s="890"/>
    </x:row>
    <x:row r="70" ht="15" hidden="0" customHeight="1">
      <x:c r="A70" s="894" t="str">
        <x:v>9. Hard-Normal Facility Stress — 각 Wave에서 합리적으로 1 Tick씩 감수</x:v>
      </x:c>
      <x:c r="B70" s="894"/>
      <x:c r="C70" s="894"/>
      <x:c r="D70" s="894"/>
      <x:c r="E70" s="894"/>
      <x:c r="F70" s="894"/>
      <x:c r="G70" s="894"/>
      <x:c r="H70" s="894"/>
      <x:c r="I70" s="894"/>
      <x:c r="J70" s="894" t="str">
        <x:v>Stress Proxy의 의미: '매 Wave에서 아무 피해도 받는 완벽 플레이'가 아니라, D15와 D17에서 각각 한 시설을 1 Tick 방치하고, D19에서는 Freezer를 살리되 나머지 두 Crisis 중 하나를 1 Tick 맞는 플레이를 가정했다. 이 조건에서 Departure Normal은 Target Seed가 어떻게 나오더라도 **합리적 Triage를 하면 3~4회의 W3 Standard Repair로 Normal 복구**가 가능하다. 즉 Normal은 무료가 아니지만 현실적으로 가능한 수준이다. Storm Buffer는 2회, Hidden/Recheck는 1~3회면 충분해 True/Hidden의 '가능하지만 빡빡함'도 성립한다.</x:v>
      </x:c>
      <x:c r="K70" s="894"/>
      <x:c r="L70" s="894"/>
      <x:c r="M70" s="894"/>
      <x:c r="N70" s="894"/>
      <x:c r="O70" s="342"/>
      <x:c r="P70" s="342"/>
    </x:row>
    <x:row r="71" ht="21.600000381469727" hidden="0" customHeight="1">
      <x:c r="A71" s="894" t="str">
        <x:v>D15 Profile</x:v>
      </x:c>
      <x:c r="B71" s="894" t="str">
        <x:v>가능한 Target Path</x:v>
      </x:c>
      <x:c r="C71" s="894" t="str">
        <x:v>D15 1 Tick</x:v>
      </x:c>
      <x:c r="D71" s="894" t="str">
        <x:v>D17 1 Tick</x:v>
      </x:c>
      <x:c r="E71" s="894" t="str">
        <x:v>D19</x:v>
      </x:c>
      <x:c r="F71" s="894" t="str">
        <x:v>Normal 복구 최소 수리 범위</x:v>
      </x:c>
      <x:c r="G71" s="894" t="str">
        <x:v>Good 복구 최소 범위</x:v>
      </x:c>
      <x:c r="H71" s="894" t="str">
        <x:v>판정</x:v>
      </x:c>
      <x:c r="I71" s="890"/>
      <x:c r="J71" s="890"/>
      <x:c r="K71" s="890"/>
      <x:c r="L71" s="890"/>
      <x:c r="M71" s="890"/>
      <x:c r="N71" s="890"/>
      <x:c r="O71" s="329"/>
      <x:c r="P71" s="329"/>
    </x:row>
    <x:row r="72" ht="30" hidden="0" customHeight="1">
      <x:c r="A72" s="892" t="str">
        <x:v>Shelter Minimum</x:v>
      </x:c>
      <x:c r="B72" s="892" t="n">
        <x:v>9</x:v>
      </x:c>
      <x:c r="C72" s="892" t="str">
        <x:v>선택 Target 1개만 Tick</x:v>
      </x:c>
      <x:c r="D72" s="892" t="str">
        <x:v>선택 Target 1개만 Tick</x:v>
      </x:c>
      <x:c r="E72" s="892" t="str">
        <x:v>Freezer Recovery 성공→2 + 남은2 중 1개 Tick</x:v>
      </x:c>
      <x:c r="F72" s="892" t="str">
        <x:v>5~6회</x:v>
      </x:c>
      <x:c r="G72" s="892" t="str">
        <x:v>12회 내 불가</x:v>
      </x:c>
      <x:c r="H72" s="892" t="str">
        <x:v>Normal도 5~6회 복구 필요. W3 Character/Ending까지 병행하면 매우 위험.</x:v>
      </x:c>
      <x:c r="I72" s="892"/>
      <x:c r="J72" s="892"/>
      <x:c r="K72" s="892"/>
      <x:c r="L72" s="892"/>
      <x:c r="M72" s="892"/>
      <x:c r="N72" s="892"/>
      <x:c r="O72" s="329"/>
      <x:c r="P72" s="329"/>
    </x:row>
    <x:row r="73" ht="43.20000076293945" hidden="0" customHeight="1">
      <x:c r="A73" s="890" t="str">
        <x:v>Departure Normal</x:v>
      </x:c>
      <x:c r="B73" s="890" t="n">
        <x:v>6</x:v>
      </x:c>
      <x:c r="C73" s="890" t="str">
        <x:v>선택 Target 1개만 Tick</x:v>
      </x:c>
      <x:c r="D73" s="890" t="str">
        <x:v>선택 Target 1개만 Tick</x:v>
      </x:c>
      <x:c r="E73" s="890" t="str">
        <x:v>Freezer Recovery 성공→2 + 남은2 중 1개 Tick</x:v>
      </x:c>
      <x:c r="F73" s="890" t="str">
        <x:v>3~4회</x:v>
      </x:c>
      <x:c r="G73" s="890" t="str">
        <x:v>최소11회 / 일부 Target Seed는 12회 내 불가</x:v>
      </x:c>
      <x:c r="H73" s="890" t="str">
        <x:v>3~4회(6~8h) 수리로 Normal 복구. '노멀도 벅차다' 기준에 가장 잘 맞음.</x:v>
      </x:c>
      <x:c r="I73" s="890"/>
      <x:c r="J73" s="890"/>
      <x:c r="K73" s="890"/>
      <x:c r="L73" s="890"/>
      <x:c r="M73" s="890"/>
      <x:c r="N73" s="890"/>
      <x:c r="O73" s="329"/>
      <x:c r="P73" s="329"/>
    </x:row>
    <x:row r="74" ht="43.20000076293945" hidden="0" customHeight="1">
      <x:c r="A74" s="890" t="str">
        <x:v>Living Buffer</x:v>
      </x:c>
      <x:c r="B74" s="890" t="n">
        <x:v>3</x:v>
      </x:c>
      <x:c r="C74" s="890" t="str">
        <x:v>선택 Target 1개만 Tick</x:v>
      </x:c>
      <x:c r="D74" s="890" t="str">
        <x:v>선택 Target 1개만 Tick</x:v>
      </x:c>
      <x:c r="E74" s="890" t="str">
        <x:v>Freezer Recovery 성공→2 + 남은2 중 1개 Tick</x:v>
      </x:c>
      <x:c r="F74" s="890" t="str">
        <x:v>2~4회</x:v>
      </x:c>
      <x:c r="G74" s="890" t="str">
        <x:v>11~12회</x:v>
      </x:c>
      <x:c r="H74" s="890" t="str">
        <x:v>2~4회. W2 한 번의 추가 Living 투자가 일부 Seed에서 큰 차이.</x:v>
      </x:c>
      <x:c r="I74" s="890"/>
      <x:c r="J74" s="890"/>
      <x:c r="K74" s="890"/>
      <x:c r="L74" s="890"/>
      <x:c r="M74" s="890"/>
      <x:c r="N74" s="890"/>
      <x:c r="O74" s="329"/>
      <x:c r="P74" s="329"/>
    </x:row>
    <x:row r="75" ht="43.20000076293945" hidden="0" customHeight="1">
      <x:c r="A75" s="890" t="str">
        <x:v>Storm Buffer</x:v>
      </x:c>
      <x:c r="B75" s="890" t="n">
        <x:v>3</x:v>
      </x:c>
      <x:c r="C75" s="890" t="str">
        <x:v>선택 Target 1개만 Tick</x:v>
      </x:c>
      <x:c r="D75" s="890" t="str">
        <x:v>선택 Target 1개만 Tick</x:v>
      </x:c>
      <x:c r="E75" s="890" t="str">
        <x:v>Freezer Recovery 성공→2 + 남은2 중 1개 Tick</x:v>
      </x:c>
      <x:c r="F75" s="890" t="str">
        <x:v>2회</x:v>
      </x:c>
      <x:c r="G75" s="890" t="str">
        <x:v>8~9회</x:v>
      </x:c>
      <x:c r="H75" s="890" t="str">
        <x:v>모든 Target Seed에서 정확히 2회. True 생존 준비의 현실적 기준 후보.</x:v>
      </x:c>
      <x:c r="I75" s="890"/>
      <x:c r="J75" s="890"/>
      <x:c r="K75" s="890"/>
      <x:c r="L75" s="890"/>
      <x:c r="M75" s="890"/>
      <x:c r="N75" s="890"/>
      <x:c r="O75" s="329"/>
      <x:c r="P75" s="329"/>
    </x:row>
    <x:row r="76" ht="43.20000076293945" hidden="0" customHeight="1">
      <x:c r="A76" s="890" t="str">
        <x:v>Hidden/Recheck</x:v>
      </x:c>
      <x:c r="B76" s="890" t="n">
        <x:v>12</x:v>
      </x:c>
      <x:c r="C76" s="890" t="str">
        <x:v>선택 Target 1개만 Tick</x:v>
      </x:c>
      <x:c r="D76" s="890" t="str">
        <x:v>선택 Target 1개만 Tick</x:v>
      </x:c>
      <x:c r="E76" s="890" t="str">
        <x:v>Freezer Recovery 성공→2 + 남은2 중 1개 Tick</x:v>
      </x:c>
      <x:c r="F76" s="890" t="str">
        <x:v>1~3회</x:v>
      </x:c>
      <x:c r="G76" s="890" t="str">
        <x:v>8~9회</x:v>
      </x:c>
      <x:c r="H76" s="890" t="str">
        <x:v>1~3회. Research5 투자 때문에 Hidden 진행과 Normal+ 양립 가능.</x:v>
      </x:c>
      <x:c r="I76" s="890"/>
      <x:c r="J76" s="890"/>
      <x:c r="K76" s="890"/>
      <x:c r="L76" s="890"/>
      <x:c r="M76" s="890"/>
      <x:c r="N76" s="890"/>
      <x:c r="O76" s="329"/>
      <x:c r="P76" s="329"/>
    </x:row>
    <x:row r="77" ht="43.20000076293945" hidden="0" customHeight="1">
      <x:c r="A77" s="890" t="str">
        <x:v>Maximum Ship Good</x:v>
      </x:c>
      <x:c r="B77" s="890" t="n">
        <x:v>3</x:v>
      </x:c>
      <x:c r="C77" s="890" t="str">
        <x:v>선택 Target 1개만 Tick</x:v>
      </x:c>
      <x:c r="D77" s="890" t="str">
        <x:v>선택 Target 1개만 Tick</x:v>
      </x:c>
      <x:c r="E77" s="890" t="str">
        <x:v>Freezer Recovery 성공→2 + 남은2 중 1개 Tick</x:v>
      </x:c>
      <x:c r="F77" s="890" t="str">
        <x:v>0회</x:v>
      </x:c>
      <x:c r="G77" s="890" t="str">
        <x:v>4~5회</x:v>
      </x:c>
      <x:c r="H77" s="890" t="str">
        <x:v>Normal은 추가 수리0. Good 복귀는 4~5회라 보스전의 흔적은 남음.</x:v>
      </x:c>
      <x:c r="I77" s="890"/>
      <x:c r="J77" s="890"/>
      <x:c r="K77" s="890"/>
      <x:c r="L77" s="890"/>
      <x:c r="M77" s="890"/>
      <x:c r="N77" s="890"/>
      <x:c r="O77" s="329"/>
      <x:c r="P77" s="329"/>
    </x:row>
    <x:row r="78" ht="15" hidden="0" customHeight="1">
      <x:c r="A78" s="890"/>
      <x:c r="B78" s="890"/>
      <x:c r="C78" s="890"/>
      <x:c r="D78" s="890"/>
      <x:c r="E78" s="890"/>
      <x:c r="F78" s="890"/>
      <x:c r="G78" s="890"/>
      <x:c r="H78" s="890"/>
      <x:c r="I78" s="890"/>
      <x:c r="J78" s="890"/>
      <x:c r="K78" s="890"/>
      <x:c r="L78" s="890"/>
      <x:c r="M78" s="890"/>
      <x:c r="N78" s="890"/>
    </x:row>
    <x:row r="79" ht="15" hidden="0" customHeight="1">
      <x:c r="A79" s="894" t="str">
        <x:v>10. Will 회복 보상이 D19에 실제로 영향을 주는 예</x:v>
      </x:c>
      <x:c r="B79" s="894"/>
      <x:c r="C79" s="894"/>
      <x:c r="D79" s="894"/>
      <x:c r="E79" s="894"/>
      <x:c r="F79" s="894"/>
      <x:c r="G79" s="894"/>
      <x:c r="H79" s="894"/>
      <x:c r="I79" s="894"/>
      <x:c r="J79" s="894" t="str">
        <x:v>ShipCondition 재검증 결론</x:v>
      </x:c>
      <x:c r="K79" s="894"/>
      <x:c r="L79" s="894"/>
      <x:c r="M79" s="894"/>
      <x:c r="N79" s="894"/>
      <x:c r="O79" s="325"/>
      <x:c r="P79" s="325"/>
    </x:row>
    <x:row r="80" ht="30" hidden="0" customHeight="1">
      <x:c r="A80" s="916" t="str">
        <x:v>시점</x:v>
      </x:c>
      <x:c r="B80" s="916" t="str">
        <x:v>보상 없음</x:v>
      </x:c>
      <x:c r="C80" s="916" t="str">
        <x:v>Route 보상 사용</x:v>
      </x:c>
      <x:c r="D80" s="916" t="str">
        <x:v>설명</x:v>
      </x:c>
      <x:c r="E80" s="916" t="str">
        <x:v>상태</x:v>
      </x:c>
      <x:c r="F80" s="916" t="str">
        <x:v>비고</x:v>
      </x:c>
      <x:c r="G80" s="916" t="str">
        <x:v>D19 가치</x:v>
      </x:c>
      <x:c r="H80" s="916" t="str">
        <x:v>판정</x:v>
      </x:c>
      <x:c r="I80" s="916"/>
      <x:c r="J80" s="916" t="str">
        <x:v>항목</x:v>
      </x:c>
      <x:c r="K80" s="916" t="str">
        <x:v>v0.3 결과</x:v>
      </x:c>
      <x:c r="L80" s="916" t="str">
        <x:v>판정</x:v>
      </x:c>
      <x:c r="M80" s="916"/>
      <x:c r="N80" s="916"/>
    </x:row>
    <x:row r="81" ht="54" hidden="0" customHeight="1">
      <x:c r="A81" s="890" t="str">
        <x:v>D15 시작</x:v>
      </x:c>
      <x:c r="B81" s="890" t="n">
        <x:v>5</x:v>
      </x:c>
      <x:c r="C81" s="890" t="n">
        <x:v>5</x:v>
      </x:c>
      <x:c r="D81" s="890" t="str">
        <x:v>최대치 시작</x:v>
      </x:c>
      <x:c r="E81" s="890" t="str">
        <x:v>확정</x:v>
      </x:c>
      <x:c r="F81" s="890" t="str">
        <x:v>—</x:v>
      </x:c>
      <x:c r="G81" s="890" t="str">
        <x:v>—</x:v>
      </x:c>
      <x:c r="H81" s="890" t="str">
        <x:v>—</x:v>
      </x:c>
      <x:c r="I81" s="890"/>
      <x:c r="J81" s="890" t="str">
        <x:v>Normal34</x:v>
      </x:c>
      <x:c r="K81" s="890" t="str">
        <x:v>Departure Normal이 세 Wave에서 각1 Tick을 합리적으로 감수해도 3~4회 W3 수리로 복구 가능</x:v>
      </x:c>
      <x:c r="L81" s="890" t="str">
        <x:v>유지</x:v>
      </x:c>
      <x:c r="M81" s="890"/>
      <x:c r="N81" s="890"/>
    </x:row>
    <x:row r="82" ht="54" hidden="0" customHeight="1">
      <x:c r="A82" s="890" t="str">
        <x:v>D15 Wave에서 Will4 사용</x:v>
      </x:c>
      <x:c r="B82" s="890" t="n">
        <x:v>1</x:v>
      </x:c>
      <x:c r="C82" s="890" t="n">
        <x:v>1</x:v>
      </x:c>
      <x:c r="D82" s="890" t="str">
        <x:v>예: 낮은 스탯으로 1h 특수 강행</x:v>
      </x:c>
      <x:c r="E82" s="890" t="str">
        <x:v>Stress 예시</x:v>
      </x:c>
      <x:c r="F82" s="890" t="str">
        <x:v>고비용</x:v>
      </x:c>
      <x:c r="G82" s="890" t="str">
        <x:v>D15 피해 줄임</x:v>
      </x:c>
      <x:c r="H82" s="890" t="str">
        <x:v>—</x:v>
      </x:c>
      <x:c r="I82" s="890"/>
      <x:c r="J82" s="890" t="str">
        <x:v>Good44</x:v>
      </x:c>
      <x:c r="K82" s="890" t="str">
        <x:v>Boss 성공만으로는 쉽게 유지되지 않음. Storm Buffer도 8~9회 수준, Max Good은4~5회 복귀</x:v>
      </x:c>
      <x:c r="L82" s="890" t="str">
        <x:v>유지하되 희귀 등급</x:v>
      </x:c>
      <x:c r="M82" s="890"/>
      <x:c r="N82" s="890"/>
    </x:row>
    <x:row r="83" ht="32.400001525878906" hidden="0" customHeight="1">
      <x:c r="A83" s="890" t="str">
        <x:v>D16 시작(수면+1)</x:v>
      </x:c>
      <x:c r="B83" s="890" t="n">
        <x:v>2</x:v>
      </x:c>
      <x:c r="C83" s="890" t="n">
        <x:v>2</x:v>
      </x:c>
      <x:c r="D83" s="890" t="str">
        <x:v>Overnight +1</x:v>
      </x:c>
      <x:c r="E83" s="890" t="str">
        <x:v>확정</x:v>
      </x:c>
      <x:c r="F83" s="890" t="str">
        <x:v>—</x:v>
      </x:c>
      <x:c r="G83" s="890" t="str">
        <x:v>—</x:v>
      </x:c>
      <x:c r="H83" s="890" t="str">
        <x:v>—</x:v>
      </x:c>
      <x:c r="I83" s="890"/>
      <x:c r="J83" s="890" t="str">
        <x:v>Shelter Minimum</x:v>
      </x:c>
      <x:c r="K83" s="890" t="str">
        <x:v>Normal까지 5~6회 필요</x:v>
      </x:c>
      <x:c r="L83" s="890" t="str">
        <x:v>Bad2만 피한 플레이의 위험성으로 적절</x:v>
      </x:c>
      <x:c r="M83" s="890"/>
      <x:c r="N83" s="890"/>
    </x:row>
    <x:row r="84" ht="32.400001525878906" hidden="0" customHeight="1">
      <x:c r="A84" s="890" t="str">
        <x:v>D16 Character Final</x:v>
      </x:c>
      <x:c r="B84" s="890" t="n">
        <x:v>2</x:v>
      </x:c>
      <x:c r="C84" s="890" t="n">
        <x:v>4</x:v>
      </x:c>
      <x:c r="D84" s="890" t="str">
        <x:v>Route 쪽만 Will+2</x:v>
      </x:c>
      <x:c r="E84" s="890" t="str">
        <x:v>TEMP</x:v>
      </x:c>
      <x:c r="F84" s="890" t="str">
        <x:v>Final 보상</x:v>
      </x:c>
      <x:c r="G84" s="890" t="str">
        <x:v>다음 Wave 준비</x:v>
      </x:c>
      <x:c r="H84" s="890" t="str">
        <x:v>큰 차이</x:v>
      </x:c>
      <x:c r="I84" s="890"/>
      <x:c r="J84" s="890" t="str">
        <x:v>True</x:v>
      </x:c>
      <x:c r="K84" s="890" t="str">
        <x:v>Storm Buffer + Route/NPC를 쓰면 Normal+ 유지 가능</x:v>
      </x:c>
      <x:c r="L84" s="890" t="str">
        <x:v>가능</x:v>
      </x:c>
      <x:c r="M84" s="890"/>
      <x:c r="N84" s="890"/>
    </x:row>
    <x:row r="85" ht="43.20000076293945" hidden="0" customHeight="1">
      <x:c r="A85" s="890" t="str">
        <x:v>D17 시작(수면+1)</x:v>
      </x:c>
      <x:c r="B85" s="890" t="n">
        <x:v>3</x:v>
      </x:c>
      <x:c r="C85" s="890" t="n">
        <x:v>5</x:v>
      </x:c>
      <x:c r="D85" s="890" t="str">
        <x:v>Max5</x:v>
      </x:c>
      <x:c r="E85" s="890" t="str">
        <x:v>확정</x:v>
      </x:c>
      <x:c r="F85" s="890" t="str">
        <x:v>—</x:v>
      </x:c>
      <x:c r="G85" s="890" t="str">
        <x:v>—</x:v>
      </x:c>
      <x:c r="H85" s="890" t="str">
        <x:v>—</x:v>
      </x:c>
      <x:c r="I85" s="890"/>
      <x:c r="J85" s="890" t="str">
        <x:v>Hidden</x:v>
      </x:c>
      <x:c r="K85" s="890" t="str">
        <x:v>Hidden/Recheck + Route/NPC면 1~3회 수리로 Normal 복구 가능</x:v>
      </x:c>
      <x:c r="L85" s="890" t="str">
        <x:v>가능</x:v>
      </x:c>
      <x:c r="M85" s="890"/>
      <x:c r="N85" s="890"/>
    </x:row>
    <x:row r="86" ht="32.400001525878906" hidden="0" customHeight="1">
      <x:c r="A86" s="890" t="str">
        <x:v>D17 Wave에서 Will3 사용</x:v>
      </x:c>
      <x:c r="B86" s="890" t="n">
        <x:v>0</x:v>
      </x:c>
      <x:c r="C86" s="890" t="n">
        <x:v>2</x:v>
      </x:c>
      <x:c r="D86" s="890" t="str">
        <x:v>두 번째 고비용 특수</x:v>
      </x:c>
      <x:c r="E86" s="890" t="str">
        <x:v>Stress 예시</x:v>
      </x:c>
      <x:c r="F86" s="890" t="str">
        <x:v>—</x:v>
      </x:c>
      <x:c r="G86" s="890" t="str">
        <x:v>D17 피해 줄임</x:v>
      </x:c>
      <x:c r="H86" s="890" t="str">
        <x:v>—</x:v>
      </x:c>
      <x:c r="I86" s="890"/>
      <x:c r="J86" s="890" t="str">
        <x:v>Freezer 6h</x:v>
      </x:c>
      <x:c r="K86" s="890" t="str">
        <x:v>D19 고정으로 시스템 노출 문제 해결</x:v>
      </x:c>
      <x:c r="L86" s="890" t="str">
        <x:v>유지</x:v>
      </x:c>
      <x:c r="M86" s="890"/>
      <x:c r="N86" s="890"/>
    </x:row>
    <x:row r="87" ht="32.400001525878906" hidden="0" customHeight="1">
      <x:c r="A87" s="890" t="str">
        <x:v>D18→D19</x:v>
      </x:c>
      <x:c r="B87" s="890" t="n">
        <x:v>2</x:v>
      </x:c>
      <x:c r="C87" s="890" t="n">
        <x:v>5</x:v>
      </x:c>
      <x:c r="D87" s="890" t="str">
        <x:v>보상없음: 수면2회로2 / Route: D18 Faye+3 후 Max5</x:v>
      </x:c>
      <x:c r="E87" s="890" t="str">
        <x:v>TEMP</x:v>
      </x:c>
      <x:c r="F87" s="890" t="str">
        <x:v>Faye 공연</x:v>
      </x:c>
      <x:c r="G87" s="890" t="str">
        <x:v>Boss 시작 Will 2 vs 5</x:v>
      </x:c>
      <x:c r="H87" s="890" t="str">
        <x:v>핵심</x:v>
      </x:c>
      <x:c r="I87" s="890"/>
      <x:c r="J87" s="890"/>
      <x:c r="K87" s="890"/>
      <x:c r="L87" s="890"/>
      <x:c r="M87" s="890"/>
      <x:c r="N87" s="890"/>
    </x:row>
    <x:row r="88" ht="43.20000076293945" hidden="0" customHeight="1">
      <x:c r="A88" s="890" t="str">
        <x:v>D19 Boss</x:v>
      </x:c>
      <x:c r="B88" s="890" t="str">
        <x:v>제약 큼</x:v>
      </x:c>
      <x:c r="C88" s="890" t="str">
        <x:v>고난도 보완 2~5 가능</x:v>
      </x:c>
      <x:c r="D88" s="890" t="str">
        <x:v>같은 빌드라도 Character Route 진행이 Boss 대응력으로 환산</x:v>
      </x:c>
      <x:c r="E88" s="890" t="str">
        <x:v>방향 적합</x:v>
      </x:c>
      <x:c r="F88" s="890" t="str">
        <x:v>—</x:v>
      </x:c>
      <x:c r="G88" s="890" t="str">
        <x:v>True/Hidden 가능성 상승</x:v>
      </x:c>
      <x:c r="H88" s="890" t="str">
        <x:v>PASS</x:v>
      </x:c>
      <x:c r="I88" s="890"/>
      <x:c r="J88" s="890"/>
      <x:c r="K88" s="890"/>
      <x:c r="L88" s="890"/>
      <x:c r="M88" s="890"/>
      <x:c r="N88" s="890"/>
    </x:row>
    <x:row r="89" ht="15" hidden="0" customHeight="1">
      <x:c r="A89" s="890"/>
      <x:c r="B89" s="890"/>
      <x:c r="C89" s="890"/>
      <x:c r="D89" s="890"/>
      <x:c r="E89" s="890"/>
      <x:c r="F89" s="890"/>
      <x:c r="G89" s="890"/>
      <x:c r="H89" s="890"/>
      <x:c r="I89" s="890"/>
      <x:c r="J89" s="890"/>
      <x:c r="K89" s="890"/>
      <x:c r="L89" s="890"/>
      <x:c r="M89" s="890"/>
      <x:c r="N89" s="890"/>
    </x:row>
    <x:row r="90" ht="15" hidden="0" customHeight="1">
      <x:c r="A90" s="894" t="str">
        <x:v>11. Route Mastery +1 Lv의 보스전 가치</x:v>
      </x:c>
      <x:c r="B90" s="894"/>
      <x:c r="C90" s="894"/>
      <x:c r="D90" s="894"/>
      <x:c r="E90" s="894"/>
      <x:c r="F90" s="894"/>
      <x:c r="G90" s="894"/>
      <x:c r="H90" s="894"/>
      <x:c r="I90" s="894"/>
      <x:c r="J90" s="894" t="str">
        <x:v>Profile</x:v>
      </x:c>
      <x:c r="K90" s="894" t="str">
        <x:v>Normal 최소</x:v>
      </x:c>
      <x:c r="L90" s="894" t="str">
        <x:v>Normal 최대</x:v>
      </x:c>
      <x:c r="M90" s="894" t="str">
        <x:v>Good 최소</x:v>
      </x:c>
      <x:c r="N90" s="894" t="str">
        <x:v>Good 최대</x:v>
      </x:c>
      <x:c r="O90" s="325"/>
      <x:c r="P90" s="325"/>
    </x:row>
    <x:row r="91" ht="30" hidden="0" customHeight="1">
      <x:c r="A91" s="916" t="str">
        <x:v>상황</x:v>
      </x:c>
      <x:c r="B91" s="916" t="str">
        <x:v>Mastery 전</x:v>
      </x:c>
      <x:c r="C91" s="916" t="str">
        <x:v>Mastery 후</x:v>
      </x:c>
      <x:c r="D91" s="916" t="str">
        <x:v>시간/Will 변화</x:v>
      </x:c>
      <x:c r="E91" s="916" t="str">
        <x:v>왜 의미 있나</x:v>
      </x:c>
      <x:c r="F91" s="916" t="str">
        <x:v>상태</x:v>
      </x:c>
      <x:c r="G91" s="916" t="str">
        <x:v>예시</x:v>
      </x:c>
      <x:c r="H91" s="916"/>
      <x:c r="I91" s="916"/>
      <x:c r="J91" s="916" t="str">
        <x:v>Shelter Minimum</x:v>
      </x:c>
      <x:c r="K91" s="916" t="n">
        <x:v>5</x:v>
      </x:c>
      <x:c r="L91" s="916" t="n">
        <x:v>6</x:v>
      </x:c>
      <x:c r="M91" s="916"/>
      <x:c r="N91" s="916"/>
    </x:row>
    <x:row r="92" ht="21.600000381469727" hidden="0" customHeight="1">
      <x:c r="A92" s="890" t="str">
        <x:v>일반 고난도 Crisis</x:v>
      </x:c>
      <x:c r="B92" s="890" t="str">
        <x:v>Stat8 + 요구9</x:v>
      </x:c>
      <x:c r="C92" s="890" t="str">
        <x:v>Stat9</x:v>
      </x:c>
      <x:c r="D92" s="890" t="str">
        <x:v>1h 선택: Will1 → Will0</x:v>
      </x:c>
      <x:c r="E92" s="890" t="str">
        <x:v>반복 Crisis에서 Will 보존</x:v>
      </x:c>
      <x:c r="F92" s="890" t="str">
        <x:v>TEMP</x:v>
      </x:c>
      <x:c r="G92" s="890" t="str">
        <x:v>기술/교감 등</x:v>
      </x:c>
      <x:c r="H92" s="890"/>
      <x:c r="I92" s="890"/>
      <x:c r="J92" s="890" t="str">
        <x:v>Departure Normal</x:v>
      </x:c>
      <x:c r="K92" s="890" t="n">
        <x:v>3</x:v>
      </x:c>
      <x:c r="L92" s="890" t="n">
        <x:v>4</x:v>
      </x:c>
      <x:c r="M92" s="890" t="str">
        <x:v>11</x:v>
      </x:c>
      <x:c r="N92" s="890" t="str">
        <x:v>일부 Seed 12회 내 불가</x:v>
      </x:c>
    </x:row>
    <x:row r="93" ht="32.400001525878906" hidden="0" customHeight="1">
      <x:c r="A93" s="890" t="str">
        <x:v>Freezer Boss</x:v>
      </x:c>
      <x:c r="B93" s="890" t="str">
        <x:v>기술8 + 요구10</x:v>
      </x:c>
      <x:c r="C93" s="890" t="str">
        <x:v>기술9</x:v>
      </x:c>
      <x:c r="D93" s="890" t="str">
        <x:v>1h 선택: Will2 → Will1</x:v>
      </x:c>
      <x:c r="E93" s="890" t="str">
        <x:v>D19 세 사건 중 가장 급한 6h Deadline에 직접 영향</x:v>
      </x:c>
      <x:c r="F93" s="890" t="str">
        <x:v>TEMP</x:v>
      </x:c>
      <x:c r="G93" s="890" t="str">
        <x:v>Benjamin/Borichi 기술 Route</x:v>
      </x:c>
      <x:c r="H93" s="890"/>
      <x:c r="I93" s="890"/>
      <x:c r="J93" s="890" t="str">
        <x:v>Storm Buffer</x:v>
      </x:c>
      <x:c r="K93" s="890" t="n">
        <x:v>2</x:v>
      </x:c>
      <x:c r="L93" s="890" t="n">
        <x:v>2</x:v>
      </x:c>
      <x:c r="M93" s="890" t="n">
        <x:v>8</x:v>
      </x:c>
      <x:c r="N93" s="890" t="n">
        <x:v>9</x:v>
      </x:c>
    </x:row>
    <x:row r="94" ht="32.400001525878906" hidden="0" customHeight="1">
      <x:c r="A94" s="890" t="str">
        <x:v>일반 2h 전문해결</x:v>
      </x:c>
      <x:c r="B94" s="890" t="str">
        <x:v>Stat8</x:v>
      </x:c>
      <x:c r="C94" s="890" t="str">
        <x:v>Stat9</x:v>
      </x:c>
      <x:c r="D94" s="890" t="str">
        <x:v>2h 해법 자체는 동일</x:v>
      </x:c>
      <x:c r="E94" s="890" t="str">
        <x:v>보상은 단순 숫자보다 '1h 특수'를 싸게 만드는 데 집중</x:v>
      </x:c>
      <x:c r="F94" s="890" t="str">
        <x:v>적절</x:v>
      </x:c>
      <x:c r="G94" s="890" t="str">
        <x:v>—</x:v>
      </x:c>
      <x:c r="H94" s="890"/>
      <x:c r="I94" s="890"/>
      <x:c r="J94" s="890" t="str">
        <x:v>Hidden/Recheck</x:v>
      </x:c>
      <x:c r="K94" s="890" t="n">
        <x:v>1</x:v>
      </x:c>
      <x:c r="L94" s="890" t="n">
        <x:v>3</x:v>
      </x:c>
      <x:c r="M94" s="890" t="n">
        <x:v>8</x:v>
      </x:c>
      <x:c r="N94" s="890" t="n">
        <x:v>9</x:v>
      </x:c>
    </x:row>
    <x:row r="95" ht="43.20000076293945" hidden="0" customHeight="1">
      <x:c r="A95" s="890" t="str">
        <x:v>NPC 병렬과 조합</x:v>
      </x:c>
      <x:c r="B95" s="890" t="str">
        <x:v>Stat9 Jay + NPC1</x:v>
      </x:c>
      <x:c r="C95" s="890" t="str">
        <x:v>동일</x:v>
      </x:c>
      <x:c r="D95" s="890" t="str">
        <x:v>Jay 1h + NPC2h 병렬</x:v>
      </x:c>
      <x:c r="E95" s="890" t="str">
        <x:v>한 Route + 한 관계투자가 Boss 무피해 가능성을 크게 높임</x:v>
      </x:c>
      <x:c r="F95" s="890" t="str">
        <x:v>핵심</x:v>
      </x:c>
      <x:c r="G95" s="890" t="str">
        <x:v>True/Hidden</x:v>
      </x:c>
      <x:c r="H95" s="890"/>
      <x:c r="I95" s="890"/>
      <x:c r="J95" s="890" t="str">
        <x:v>Maximum Ship Good</x:v>
      </x:c>
      <x:c r="K95" s="890" t="n">
        <x:v>0</x:v>
      </x:c>
      <x:c r="L95" s="890" t="n">
        <x:v>0</x:v>
      </x:c>
      <x:c r="M95" s="890" t="n">
        <x:v>4</x:v>
      </x:c>
      <x:c r="N95" s="890" t="n">
        <x:v>5</x:v>
      </x:c>
    </x:row>
    <x:row r="96" ht="32.400001525878906" hidden="0" customHeight="1">
      <x:c r="A96" s="890" t="str">
        <x:v>비관련 Boss Target</x:v>
      </x:c>
      <x:c r="B96" s="890" t="str">
        <x:v>관련 Stat 아님</x:v>
      </x:c>
      <x:c r="C96" s="890" t="str">
        <x:v>관련 없음</x:v>
      </x:c>
      <x:c r="D96" s="890" t="str">
        <x:v>직접 효과 없음</x:v>
      </x:c>
      <x:c r="E96" s="890" t="str">
        <x:v>한 Route 보상이 모든 문제의 만능키가 되지 않음</x:v>
      </x:c>
      <x:c r="F96" s="890" t="str">
        <x:v>좋음</x:v>
      </x:c>
      <x:c r="G96" s="890" t="str">
        <x:v>NPC/Will/방치 필요</x:v>
      </x:c>
      <x:c r="H96" s="890"/>
      <x:c r="I96" s="890"/>
      <x:c r="J96" s="890" t="str">
        <x:v>Note</x:v>
      </x:c>
      <x:c r="K96" s="890" t="str">
        <x:v>Good 99=12회 내 불가</x:v>
      </x:c>
      <x:c r="L96" s="890"/>
      <x:c r="M96" s="890"/>
      <x:c r="N96" s="890"/>
    </x:row>
  </x:sheetData>
  <x:mergeCells>
    <x:mergeCell ref="A1:P1"/>
    <x:mergeCell ref="A2:P2"/>
    <x:mergeCell ref="A4:P4"/>
    <x:mergeCell ref="A14:P14"/>
    <x:mergeCell ref="G15:P21"/>
    <x:mergeCell ref="A23:P23"/>
    <x:mergeCell ref="A32:P32"/>
    <x:mergeCell ref="A40:P40"/>
    <x:mergeCell ref="A51:P51"/>
    <x:mergeCell ref="A60:P60"/>
    <x:mergeCell ref="J23:P23"/>
    <x:mergeCell ref="A70:P70"/>
    <x:mergeCell ref="J70:P77"/>
    <x:mergeCell ref="A79:P79"/>
    <x:mergeCell ref="A90:P90"/>
    <x:mergeCell ref="J79:P79"/>
  </x:mergeCells>
  <x:pageMargins left="0.7" right="0.7" top="0.75" bottom="0.75" header="0.3" footer="0.3"/>
  <x:drawing xmlns:r="http://schemas.openxmlformats.org/officeDocument/2006/relationships" r:id="Rb673d31f8a164a6b"/>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22" hidden="0" customWidth="1"/>
    <x:col min="13" max="13" width="22" hidden="0" customWidth="1"/>
    <x:col min="14" max="14" width="22" hidden="0" customWidth="1"/>
    <x:col min="15" max="15" width="18" hidden="0" customWidth="1"/>
    <x:col min="16" max="16" width="18" hidden="0" customWidth="1"/>
  </x:cols>
  <x:sheetData>
    <x:row r="1" ht="30" hidden="0" customHeight="1">
      <x:c r="A1" s="1030" t="str">
        <x:v>W3 Facility Crisis Grammar v0.1 — Player Choices / NPC Roles / Concurrent Assignment</x:v>
      </x:c>
      <x:c r="B1" s="1014"/>
      <x:c r="C1" s="1014"/>
      <x:c r="D1" s="1014"/>
      <x:c r="E1" s="1014"/>
      <x:c r="F1" s="1014"/>
      <x:c r="G1" s="1014"/>
      <x:c r="H1" s="1014"/>
      <x:c r="I1" s="1014"/>
      <x:c r="J1" s="1014"/>
      <x:c r="K1" s="1014"/>
      <x:c r="L1" s="1018"/>
      <x:c r="M1" s="1018"/>
      <x:c r="N1" s="1018"/>
      <x:c r="O1" s="346"/>
      <x:c r="P1" s="346"/>
    </x:row>
    <x:row r="2" ht="42" hidden="0" customHeight="1">
      <x:c r="A2" s="1031" t="str">
        <x:v>목표: D15/D17의 동시2, D19의 동시3에서 플레이어가 실제로 고르는 선택지를 시설별로 닫는다. 공통 원칙은 4h 기본 안전망, Stat7 전문해결 2h, 명시된 Stat9+Will 보완 1h, 전문 NPC 병렬대응이다. Emergency 해결은 이미 발생한 Integrity 손상을 복구하지 않는다.</x:v>
      </x:c>
      <x:c r="B2" s="565"/>
      <x:c r="C2" s="565"/>
      <x:c r="D2" s="565"/>
      <x:c r="E2" s="565"/>
      <x:c r="F2" s="565"/>
      <x:c r="G2" s="565"/>
      <x:c r="H2" s="565"/>
      <x:c r="I2" s="565"/>
      <x:c r="J2" s="565"/>
      <x:c r="K2" s="565"/>
      <x:c r="L2" s="108"/>
      <x:c r="M2" s="108"/>
      <x:c r="N2" s="108"/>
      <x:c r="O2" s="349"/>
      <x:c r="P2" s="349"/>
    </x:row>
    <x:row r="3" ht="15" hidden="0" customHeight="1">
      <x:c r="A3" s="933"/>
      <x:c r="B3" s="933"/>
      <x:c r="C3" s="933"/>
      <x:c r="D3" s="933"/>
      <x:c r="E3" s="933"/>
      <x:c r="F3" s="933"/>
      <x:c r="G3" s="933"/>
      <x:c r="H3" s="933"/>
      <x:c r="I3" s="933"/>
      <x:c r="J3" s="933"/>
      <x:c r="K3" s="933"/>
    </x:row>
    <x:row r="4" ht="26" hidden="0" customHeight="1">
      <x:c r="A4" s="1032" t="str">
        <x:v>1. 공통 Crisis 문법</x:v>
      </x:c>
      <x:c r="B4" s="1019"/>
      <x:c r="C4" s="1019"/>
      <x:c r="D4" s="1019"/>
      <x:c r="E4" s="1019"/>
      <x:c r="F4" s="1019"/>
      <x:c r="G4" s="1019"/>
      <x:c r="H4" s="1019"/>
      <x:c r="I4" s="1019"/>
      <x:c r="J4" s="1019"/>
      <x:c r="K4" s="1019"/>
      <x:c r="L4" s="1022"/>
      <x:c r="M4" s="1022"/>
      <x:c r="N4" s="1022"/>
      <x:c r="O4" s="350"/>
      <x:c r="P4" s="350"/>
    </x:row>
    <x:row r="5" ht="30" hidden="0" customHeight="1">
      <x:c r="A5" s="953" t="str">
        <x:v>문법</x:v>
      </x:c>
      <x:c r="B5" s="953" t="str">
        <x:v>시간</x:v>
      </x:c>
      <x:c r="C5" s="953" t="str">
        <x:v>조건</x:v>
      </x:c>
      <x:c r="D5" s="953" t="str">
        <x:v>결과</x:v>
      </x:c>
      <x:c r="E5" s="953" t="str">
        <x:v>설계 의미</x:v>
      </x:c>
      <x:c r="F5" s="953" t="str">
        <x:v>상태</x:v>
      </x:c>
      <x:c r="G5" s="953"/>
      <x:c r="H5" s="953"/>
      <x:c r="I5" s="953"/>
      <x:c r="J5" s="953"/>
      <x:c r="K5" s="953"/>
    </x:row>
    <x:row r="6" ht="30" hidden="0" customHeight="1">
      <x:c r="A6" s="941" t="str">
        <x:v>기본 안전망</x:v>
      </x:c>
      <x:c r="B6" s="941" t="n">
        <x:v>4</x:v>
      </x:c>
      <x:c r="C6" s="941" t="str">
        <x:v>없음</x:v>
      </x:c>
      <x:c r="D6" s="941" t="str">
        <x:v>Crisis 해결 / 정확히 T+4 완료면 첫 Tick보다 해결 우선</x:v>
      </x:c>
      <x:c r="E6" s="941" t="str">
        <x:v>모든 빌드가 시간만 지불하면 대응 가능</x:v>
      </x:c>
      <x:c r="F6" s="941" t="str">
        <x:v>확정방향</x:v>
      </x:c>
      <x:c r="G6" s="941"/>
      <x:c r="H6" s="941"/>
      <x:c r="I6" s="941"/>
      <x:c r="J6" s="941"/>
      <x:c r="K6" s="941"/>
    </x:row>
    <x:row r="7" ht="30" hidden="0" customHeight="1">
      <x:c r="A7" s="941" t="str">
        <x:v>전문화</x:v>
      </x:c>
      <x:c r="B7" s="941" t="n">
        <x:v>2</x:v>
      </x:c>
      <x:c r="C7" s="941" t="str">
        <x:v>시설별 관련 Stat &gt;=7</x:v>
      </x:c>
      <x:c r="D7" s="941" t="str">
        <x:v>Crisis 해결</x:v>
      </x:c>
      <x:c r="E7" s="941" t="str">
        <x:v>빌드가 Wave에서 2배 빠르게 움직임</x:v>
      </x:c>
      <x:c r="F7" s="941" t="str">
        <x:v>TEMP 확정 후보</x:v>
      </x:c>
      <x:c r="G7" s="941"/>
      <x:c r="H7" s="941"/>
      <x:c r="I7" s="941"/>
      <x:c r="J7" s="941"/>
      <x:c r="K7" s="941"/>
    </x:row>
    <x:row r="8" ht="30" hidden="0" customHeight="1">
      <x:c r="A8" s="941" t="str">
        <x:v>한계돌파</x:v>
      </x:c>
      <x:c r="B8" s="941" t="n">
        <x:v>1</x:v>
      </x:c>
      <x:c r="C8" s="941" t="str">
        <x:v>표에 적힌 Stat &gt;=9 또는 부족분을 Will 1:1 보완</x:v>
      </x:c>
      <x:c r="D8" s="941" t="str">
        <x:v>Crisis 해결</x:v>
      </x:c>
      <x:c r="E8" s="941" t="str">
        <x:v>Route Mastery + Will이 Boss 시간 압축으로 체감</x:v>
      </x:c>
      <x:c r="F8" s="941" t="str">
        <x:v>TEMP 확정 후보</x:v>
      </x:c>
      <x:c r="G8" s="941"/>
      <x:c r="H8" s="941"/>
      <x:c r="I8" s="941"/>
      <x:c r="J8" s="941"/>
      <x:c r="K8" s="941"/>
    </x:row>
    <x:row r="9" ht="30" hidden="0" customHeight="1">
      <x:c r="A9" s="941" t="str">
        <x:v>NPC 전문 대응</x:v>
      </x:c>
      <x:c r="B9" s="941" t="n">
        <x:v>2</x:v>
      </x:c>
      <x:c r="C9" s="941" t="str">
        <x:v>해당 Crisis의 Primary NPC가 현장/배치 가능</x:v>
      </x:c>
      <x:c r="D9" s="941" t="str">
        <x:v>Crisis 해결 / Jay 시간0</x:v>
      </x:c>
      <x:c r="E9" s="941" t="str">
        <x:v>관계·생존·배치를 병렬 처리 자원으로 사용</x:v>
      </x:c>
      <x:c r="F9" s="941" t="str">
        <x:v>방향 확정</x:v>
      </x:c>
      <x:c r="G9" s="941"/>
      <x:c r="H9" s="941"/>
      <x:c r="I9" s="941"/>
      <x:c r="J9" s="941"/>
      <x:c r="K9" s="941"/>
    </x:row>
    <x:row r="10" ht="30" hidden="0" customHeight="1">
      <x:c r="A10" s="941" t="str">
        <x:v>전문 NPC 2인 협업</x:v>
      </x:c>
      <x:c r="B10" s="941" t="n">
        <x:v>1</x:v>
      </x:c>
      <x:c r="C10" s="941" t="str">
        <x:v>해당 표에 Pair가 명시된 경우 + 둘 다 동일 Crisis 배치</x:v>
      </x:c>
      <x:c r="D10" s="941" t="str">
        <x:v>Crisis 해결</x:v>
      </x:c>
      <x:c r="E10" s="941" t="str">
        <x:v>한 사건을 가장 빨리 끝내는 대신 다른 Wave를 비울 수 있음</x:v>
      </x:c>
      <x:c r="F10" s="941" t="str">
        <x:v>TEMP</x:v>
      </x:c>
      <x:c r="G10" s="941"/>
      <x:c r="H10" s="941"/>
      <x:c r="I10" s="941"/>
      <x:c r="J10" s="941"/>
      <x:c r="K10" s="941"/>
    </x:row>
    <x:row r="11" ht="30" hidden="0" customHeight="1">
      <x:c r="A11" s="941" t="str">
        <x:v>지원 NPC</x:v>
      </x:c>
      <x:c r="B11" s="941" t="n">
        <x:v>2</x:v>
      </x:c>
      <x:c r="C11" s="941" t="str">
        <x:v>Support 역할</x:v>
      </x:c>
      <x:c r="D11" s="941" t="str">
        <x:v>다음 Tick 1회 무효 또는 작업 보조. Crisis는 지속</x:v>
      </x:c>
      <x:c r="E11" s="941" t="str">
        <x:v>전문가가 아니어도 시간을 벌 수 있음</x:v>
      </x:c>
      <x:c r="F11" s="941" t="str">
        <x:v>TEMP</x:v>
      </x:c>
      <x:c r="G11" s="941"/>
      <x:c r="H11" s="941"/>
      <x:c r="I11" s="941"/>
      <x:c r="J11" s="941"/>
      <x:c r="K11" s="941"/>
    </x:row>
    <x:row r="12" ht="30" hidden="0" customHeight="1">
      <x:c r="A12" s="941" t="str">
        <x:v>Tick</x:v>
      </x:c>
      <x:c r="B12" s="941" t="str">
        <x:v>4h</x:v>
      </x:c>
      <x:c r="C12" s="941" t="str">
        <x:v>Crisis 미해결</x:v>
      </x:c>
      <x:c r="D12" s="941" t="str">
        <x:v>시설별 Integrity 손상. 해결 후에는 추가 Tick 중단</x:v>
      </x:c>
      <x:c r="E12" s="941" t="str">
        <x:v>방치를 실제 Triage로 만듦</x:v>
      </x:c>
      <x:c r="F12" s="941" t="str">
        <x:v>확정방향</x:v>
      </x:c>
      <x:c r="G12" s="941"/>
      <x:c r="H12" s="941"/>
      <x:c r="I12" s="941"/>
      <x:c r="J12" s="941"/>
      <x:c r="K12" s="941"/>
    </x:row>
    <x:row r="13" ht="15" hidden="0" customHeight="1">
      <x:c r="A13" s="933"/>
      <x:c r="B13" s="933"/>
      <x:c r="C13" s="933"/>
      <x:c r="D13" s="933"/>
      <x:c r="E13" s="933"/>
      <x:c r="F13" s="933"/>
      <x:c r="G13" s="933"/>
      <x:c r="H13" s="933"/>
      <x:c r="I13" s="933"/>
      <x:c r="J13" s="933"/>
      <x:c r="K13" s="933"/>
    </x:row>
    <x:row r="14" ht="26" hidden="0" customHeight="1">
      <x:c r="A14" s="1032" t="str">
        <x:v>2. 시설별 Crisis 최종 문법</x:v>
      </x:c>
      <x:c r="B14" s="1019"/>
      <x:c r="C14" s="1019"/>
      <x:c r="D14" s="1019"/>
      <x:c r="E14" s="1019"/>
      <x:c r="F14" s="1019"/>
      <x:c r="G14" s="1019"/>
      <x:c r="H14" s="1019"/>
      <x:c r="I14" s="1019"/>
      <x:c r="J14" s="1019"/>
      <x:c r="K14" s="1019"/>
      <x:c r="L14" s="1022"/>
      <x:c r="M14" s="1022"/>
      <x:c r="N14" s="1022"/>
      <x:c r="O14" s="350"/>
      <x:c r="P14" s="350"/>
    </x:row>
    <x:row r="15" ht="30" hidden="0" customHeight="1">
      <x:c r="A15" s="953" t="str">
        <x:v>시설</x:v>
      </x:c>
      <x:c r="B15" s="953" t="str">
        <x:v>Crisis</x:v>
      </x:c>
      <x:c r="C15" s="953" t="str">
        <x:v>1 Tick 피해</x:v>
      </x:c>
      <x:c r="D15" s="953" t="str">
        <x:v>2h 해법</x:v>
      </x:c>
      <x:c r="E15" s="953" t="str">
        <x:v>1h 한계돌파</x:v>
      </x:c>
      <x:c r="F15" s="953" t="str">
        <x:v>Primary NPC</x:v>
      </x:c>
      <x:c r="G15" s="953" t="str">
        <x:v>Pair 1h</x:v>
      </x:c>
      <x:c r="H15" s="953" t="str">
        <x:v>Support</x:v>
      </x:c>
      <x:c r="I15" s="953" t="str">
        <x:v>연쇄</x:v>
      </x:c>
      <x:c r="J15" s="953" t="str">
        <x:v>상태</x:v>
      </x:c>
      <x:c r="K15" s="953"/>
    </x:row>
    <x:row r="16" ht="36" hidden="0" customHeight="1">
      <x:c r="A16" s="933" t="str">
        <x:v>함교</x:v>
      </x:c>
      <x:c r="B16" s="933" t="str">
        <x:v>지휘·항법 통제 붕괴</x:v>
      </x:c>
      <x:c r="C16" s="933" t="str">
        <x:v>함교-1 + Hull-1</x:v>
      </x:c>
      <x:c r="D16" s="933" t="str">
        <x:v>[교감7] 임시 지휘망 재구축 / [기술7] 항법·통신 버스 우회</x:v>
      </x:c>
      <x:c r="E16" s="933" t="str">
        <x:v>[교감9 또는 기술9 / Will 보완] 즉시 비상 지휘체계 전환</x:v>
      </x:c>
      <x:c r="F16" s="933" t="str">
        <x:v>샘 2h</x:v>
      </x:c>
      <x:c r="G16" s="933" t="str">
        <x:v>샘+페이</x:v>
      </x:c>
      <x:c r="H16" s="933" t="str">
        <x:v>페이 2h → 다음 Tick 1회 무효</x:v>
      </x:c>
      <x:c r="I16" s="933" t="str">
        <x:v>함교0 → 폐쇄 / 출항 불가</x:v>
      </x:c>
      <x:c r="J16" s="933" t="str">
        <x:v>TEMP 확정 후보</x:v>
      </x:c>
      <x:c r="K16" s="933"/>
    </x:row>
    <x:row r="17" ht="24" hidden="0" customHeight="1">
      <x:c r="A17" s="933" t="str">
        <x:v>엔진</x:v>
      </x:c>
      <x:c r="B17" s="933" t="str">
        <x:v>Engineering Breach</x:v>
      </x:c>
      <x:c r="C17" s="933" t="str">
        <x:v>엔진-1 + 산소-1 + Hull-1</x:v>
      </x:c>
      <x:c r="D17" s="933" t="str">
        <x:v>[기술7] 손상부 봉합</x:v>
      </x:c>
      <x:c r="E17" s="933" t="str">
        <x:v>[기술9 / Will 보완] 즉석 우회 봉합</x:v>
      </x:c>
      <x:c r="F17" s="933" t="str">
        <x:v>벤자민 또는 페이 2h</x:v>
      </x:c>
      <x:c r="G17" s="933" t="str">
        <x:v>벤자민+페이</x:v>
      </x:c>
      <x:c r="H17" s="933" t="str">
        <x:v>비전문 구조는 기존 Breach 희생/대피 문법</x:v>
      </x:c>
      <x:c r="I17" s="933" t="str">
        <x:v>Engine&lt;2 → 항해 불가 / Hull0 가능</x:v>
      </x:c>
      <x:c r="J17" s="933" t="str">
        <x:v>기존+정교화</x:v>
      </x:c>
      <x:c r="K17" s="933"/>
    </x:row>
    <x:row r="18" ht="36" hidden="0" customHeight="1">
      <x:c r="A18" s="933" t="str">
        <x:v>산소</x:v>
      </x:c>
      <x:c r="B18" s="933" t="str">
        <x:v>Oxygen Interruption</x:v>
      </x:c>
      <x:c r="C18" s="933" t="str">
        <x:v>엔진-1 + 산소-1</x:v>
      </x:c>
      <x:c r="D18" s="933" t="str">
        <x:v>[기술7] 분배 우회 / [강인함7] 저산소 구역 수동밸브</x:v>
      </x:c>
      <x:c r="E18" s="933" t="str">
        <x:v>[기술9 또는 강인함9 / Will 보완] 즉시 순환 복구</x:v>
      </x:c>
      <x:c r="F18" s="933" t="str">
        <x:v>벤자민 또는 페이 2h</x:v>
      </x:c>
      <x:c r="G18" s="933" t="str">
        <x:v>벤자민+페이</x:v>
      </x:c>
      <x:c r="H18" s="933" t="str">
        <x:v>비전문 1h 대피 → Crisis 지속</x:v>
      </x:c>
      <x:c r="I18" s="933" t="str">
        <x:v>Oxygen&lt;2 → 항해 불가</x:v>
      </x:c>
      <x:c r="J18" s="933" t="str">
        <x:v>기존+확장</x:v>
      </x:c>
      <x:c r="K18" s="933"/>
    </x:row>
    <x:row r="19" ht="24" hidden="0" customHeight="1">
      <x:c r="A19" s="933" t="str">
        <x:v>연구</x:v>
      </x:c>
      <x:c r="B19" s="933" t="str">
        <x:v>격리·환경제어 붕괴</x:v>
      </x:c>
      <x:c r="C19" s="933" t="str">
        <x:v>연구-1 + 냉동-1 + 온실-1</x:v>
      </x:c>
      <x:c r="D19" s="933" t="str">
        <x:v>[기술7] 격리/환경제어 재구성</x:v>
      </x:c>
      <x:c r="E19" s="933" t="str">
        <x:v>[기술9 / Will 보완] 비상 Containment 우회</x:v>
      </x:c>
      <x:c r="F19" s="933" t="str">
        <x:v>보리치 2h</x:v>
      </x:c>
      <x:c r="G19" s="933" t="str">
        <x:v>보리치+페이</x:v>
      </x:c>
      <x:c r="H19" s="933" t="str">
        <x:v>페이 2h → 다음 Tick 1회 무효</x:v>
      </x:c>
      <x:c r="I19" s="933" t="str">
        <x:v>냉동/온실 Recovery 가능</x:v>
      </x:c>
      <x:c r="J19" s="933" t="str">
        <x:v>TEMP 확정 후보</x:v>
      </x:c>
      <x:c r="K19" s="933"/>
    </x:row>
    <x:row r="20" ht="36" hidden="0" customHeight="1">
      <x:c r="A20" s="933" t="str">
        <x:v>온실</x:v>
      </x:c>
      <x:c r="B20" s="933" t="str">
        <x:v>온실 설비 파손</x:v>
      </x:c>
      <x:c r="C20" s="933" t="str">
        <x:v>온실-1</x:v>
      </x:c>
      <x:c r="D20" s="933" t="str">
        <x:v>[기술7] 급수·조명·순환 설비 응급복구</x:v>
      </x:c>
      <x:c r="E20" s="933" t="str">
        <x:v>[기술9 / Will 보완] 최소 생육 루프 즉시 우회</x:v>
      </x:c>
      <x:c r="F20" s="933" t="str">
        <x:v>보리치 2h</x:v>
      </x:c>
      <x:c r="G20" s="933" t="str">
        <x:v>없음</x:v>
      </x:c>
      <x:c r="H20" s="933" t="str">
        <x:v>디야 2h → 다음 Tick 1회 무효(수동 급수·작물 이동)</x:v>
      </x:c>
      <x:c r="I20" s="933" t="str">
        <x:v>온실0 → 24h Recovery → 실패 시 장거리 항해 불가</x:v>
      </x:c>
      <x:c r="J20" s="933" t="str">
        <x:v>단순화 확정방향</x:v>
      </x:c>
      <x:c r="K20" s="933"/>
    </x:row>
    <x:row r="21" ht="36" hidden="0" customHeight="1">
      <x:c r="A21" s="933" t="str">
        <x:v>거주구역</x:v>
      </x:c>
      <x:c r="B21" s="933" t="str">
        <x:v>생활지원·대피 혼란</x:v>
      </x:c>
      <x:c r="C21" s="933" t="str">
        <x:v>거주구역-1</x:v>
      </x:c>
      <x:c r="D21" s="933" t="str">
        <x:v>[교감7] 주민 분산·설명 / [강인함7] 위험 통로 직접 순회·대피</x:v>
      </x:c>
      <x:c r="E21" s="933" t="str">
        <x:v>[교감9 / Will 보완] 즉시 대피 질서 확립</x:v>
      </x:c>
      <x:c r="F21" s="933" t="str">
        <x:v>지나 또는 디야 2h</x:v>
      </x:c>
      <x:c r="G21" s="933" t="str">
        <x:v>지나+디야</x:v>
      </x:c>
      <x:c r="H21" s="933" t="str">
        <x:v>샘 2h(함교&gt;=2) → 다음 Tick 1회 무효</x:v>
      </x:c>
      <x:c r="I21" s="933" t="str">
        <x:v>Living&lt;=2 → Panic / Living0 → 대량사망 Bad</x:v>
      </x:c>
      <x:c r="J21" s="933" t="str">
        <x:v>TEMP 확정 후보</x:v>
      </x:c>
      <x:c r="K21" s="933"/>
    </x:row>
    <x:row r="22" ht="24" hidden="0" customHeight="1">
      <x:c r="A22" s="933" t="str">
        <x:v>냉동창고</x:v>
      </x:c>
      <x:c r="B22" s="933" t="str">
        <x:v>Freezer Core Critical</x:v>
      </x:c>
      <x:c r="C22" s="933" t="str">
        <x:v>4h Tick 없음 / 6h Deadline</x:v>
      </x:c>
      <x:c r="D22" s="933" t="str">
        <x:v>[기술8] 예비 냉각라인 2h / 기본4h 복구도 가능</x:v>
      </x:c>
      <x:c r="E22" s="933" t="str">
        <x:v>[기술10 / Will 보완] 1h 강제 우회</x:v>
      </x:c>
      <x:c r="F22" s="933" t="str">
        <x:v>벤자민 또는 페이 2h</x:v>
      </x:c>
      <x:c r="G22" s="933" t="str">
        <x:v>벤자민+페이</x:v>
      </x:c>
      <x:c r="H22" s="933" t="str">
        <x:v>없음</x:v>
      </x:c>
      <x:c r="I22" s="933" t="str">
        <x:v>6h 실패 → PERMANENT → 장거리 항해 불가</x:v>
      </x:c>
      <x:c r="J22" s="933" t="str">
        <x:v>D19 고정 확정방향</x:v>
      </x:c>
      <x:c r="K22" s="933"/>
    </x:row>
    <x:row r="23" ht="15" hidden="0" customHeight="1">
      <x:c r="A23" s="933"/>
      <x:c r="B23" s="933"/>
      <x:c r="C23" s="933"/>
      <x:c r="D23" s="933"/>
      <x:c r="E23" s="933"/>
      <x:c r="F23" s="933"/>
      <x:c r="G23" s="933"/>
      <x:c r="H23" s="933"/>
      <x:c r="I23" s="933"/>
      <x:c r="J23" s="933"/>
      <x:c r="K23" s="933"/>
    </x:row>
    <x:row r="24" ht="26" hidden="0" customHeight="1">
      <x:c r="A24" s="1032" t="str">
        <x:v>3. 플레이어에게 보일 선택지 예문</x:v>
      </x:c>
      <x:c r="B24" s="1019"/>
      <x:c r="C24" s="1019"/>
      <x:c r="D24" s="1019"/>
      <x:c r="E24" s="1019"/>
      <x:c r="F24" s="1019"/>
      <x:c r="G24" s="1019"/>
      <x:c r="H24" s="1019"/>
      <x:c r="I24" s="1019"/>
      <x:c r="J24" s="1019"/>
      <x:c r="K24" s="1019"/>
      <x:c r="L24" s="1022"/>
      <x:c r="M24" s="1022"/>
      <x:c r="N24" s="1022"/>
      <x:c r="O24" s="350"/>
      <x:c r="P24" s="350"/>
    </x:row>
    <x:row r="25" ht="30" hidden="0" customHeight="1">
      <x:c r="A25" s="953" t="str">
        <x:v>시설</x:v>
      </x:c>
      <x:c r="B25" s="953" t="str">
        <x:v>기본 4h</x:v>
      </x:c>
      <x:c r="C25" s="953" t="str">
        <x:v>Stat7 2h</x:v>
      </x:c>
      <x:c r="D25" s="953" t="str">
        <x:v>Stat9+Will 1h</x:v>
      </x:c>
      <x:c r="E25" s="953" t="str">
        <x:v>플레이 감정</x:v>
      </x:c>
      <x:c r="F25" s="953"/>
      <x:c r="G25" s="953"/>
      <x:c r="H25" s="953"/>
      <x:c r="I25" s="953"/>
      <x:c r="J25" s="953"/>
      <x:c r="K25" s="953"/>
    </x:row>
    <x:row r="26" ht="48" hidden="0" customHeight="1">
      <x:c r="A26" s="933" t="str">
        <x:v>함교</x:v>
      </x:c>
      <x:c r="B26" s="933" t="str">
        <x:v>수동 보고망을 세우고 항법계통을 하나씩 복구한다.</x:v>
      </x:c>
      <x:c r="C26" s="933" t="str">
        <x:v>[교감7] 모두의 보고 순서를 다시 세운다. / [기술7] 항법 버스를 우회한다.</x:v>
      </x:c>
      <x:c r="D26" s="933" t="str">
        <x:v>[교감9 또는 기술9 / 의지 보완] 임시 지휘체계를 즉시 강행한다.</x:v>
      </x:c>
      <x:c r="E26" s="933" t="str">
        <x:v>사람을 지휘할 것인가, 시스템을 다룰 것인가</x:v>
      </x:c>
      <x:c r="F26" s="933"/>
      <x:c r="G26" s="933"/>
      <x:c r="H26" s="933"/>
      <x:c r="I26" s="933"/>
      <x:c r="J26" s="933"/>
      <x:c r="K26" s="933"/>
    </x:row>
    <x:row r="27" ht="36" hidden="0" customHeight="1">
      <x:c r="A27" s="933" t="str">
        <x:v>엔진</x:v>
      </x:c>
      <x:c r="B27" s="933" t="str">
        <x:v>손상 구간을 차례로 봉합한다.</x:v>
      </x:c>
      <x:c r="C27" s="933" t="str">
        <x:v>[기술7] 파손 지점을 정확히 찾아 막는다.</x:v>
      </x:c>
      <x:c r="D27" s="933" t="str">
        <x:v>[기술9 / 의지 보완] 압력을 유지한 채 우회 봉합한다.</x:v>
      </x:c>
      <x:c r="E27" s="933" t="str">
        <x:v>정석 기술 Emergency</x:v>
      </x:c>
      <x:c r="F27" s="933"/>
      <x:c r="G27" s="933"/>
      <x:c r="H27" s="933"/>
      <x:c r="I27" s="933"/>
      <x:c r="J27" s="933"/>
      <x:c r="K27" s="933"/>
    </x:row>
    <x:row r="28" ht="48" hidden="0" customHeight="1">
      <x:c r="A28" s="933" t="str">
        <x:v>산소</x:v>
      </x:c>
      <x:c r="B28" s="933" t="str">
        <x:v>구역을 봉쇄하고 천천히 재가압한다.</x:v>
      </x:c>
      <x:c r="C28" s="933" t="str">
        <x:v>[기술7] 산소 분배를 우회한다. / [강인함7] 저산소 구역을 통과해 밸브를 연다.</x:v>
      </x:c>
      <x:c r="D28" s="933" t="str">
        <x:v>[기술9 또는 강인함9 / 의지 보완] 순환을 즉시 복구한다.</x:v>
      </x:c>
      <x:c r="E28" s="933" t="str">
        <x:v>기계와 몸 중 자신의 강점을 고른다</x:v>
      </x:c>
      <x:c r="F28" s="933"/>
      <x:c r="G28" s="933"/>
      <x:c r="H28" s="933"/>
      <x:c r="I28" s="933"/>
      <x:c r="J28" s="933"/>
      <x:c r="K28" s="933"/>
    </x:row>
    <x:row r="29" ht="36" hidden="0" customHeight="1">
      <x:c r="A29" s="933" t="str">
        <x:v>연구</x:v>
      </x:c>
      <x:c r="B29" s="933" t="str">
        <x:v>격리구역을 하나씩 닫고 환경제어를 재설정한다.</x:v>
      </x:c>
      <x:c r="C29" s="933" t="str">
        <x:v>[기술7] 냉각·격리 계통을 분리해 재구성한다.</x:v>
      </x:c>
      <x:c r="D29" s="933" t="str">
        <x:v>[기술9 / 의지 보완] 비상 격리 루프를 강제로 돌린다.</x:v>
      </x:c>
      <x:c r="E29" s="933" t="str">
        <x:v>한 번의 방치가 여러 자산으로 번진다</x:v>
      </x:c>
      <x:c r="F29" s="933"/>
      <x:c r="G29" s="933"/>
      <x:c r="H29" s="933"/>
      <x:c r="I29" s="933"/>
      <x:c r="J29" s="933"/>
      <x:c r="K29" s="933"/>
    </x:row>
    <x:row r="30" ht="36" hidden="0" customHeight="1">
      <x:c r="A30" s="933" t="str">
        <x:v>온실</x:v>
      </x:c>
      <x:c r="B30" s="933" t="str">
        <x:v>수동 급수와 조명을 연결해 설비를 안정화한다.</x:v>
      </x:c>
      <x:c r="C30" s="933" t="str">
        <x:v>[기술7] 급수·조명 회로를 빠르게 재연결한다.</x:v>
      </x:c>
      <x:c r="D30" s="933" t="str">
        <x:v>[기술9 / 의지 보완] 최소 생육 루프만 즉시 살린다.</x:v>
      </x:c>
      <x:c r="E30" s="933" t="str">
        <x:v>복잡한 미니게임이 아니라 식량 기반을 지키는 단순 판단</x:v>
      </x:c>
      <x:c r="F30" s="933"/>
      <x:c r="G30" s="933"/>
      <x:c r="H30" s="933"/>
      <x:c r="I30" s="933"/>
      <x:c r="J30" s="933"/>
      <x:c r="K30" s="933"/>
    </x:row>
    <x:row r="31" ht="60" hidden="0" customHeight="1">
      <x:c r="A31" s="933" t="str">
        <x:v>거주구역</x:v>
      </x:c>
      <x:c r="B31" s="933" t="str">
        <x:v>주민을 구획별로 옮기며 상황을 정리한다.</x:v>
      </x:c>
      <x:c r="C31" s="933" t="str">
        <x:v>[교감7] 주민을 설득해 질서 있게 분산한다. / [강인함7] 위험 통로를 직접 돌며 사람을 빼낸다.</x:v>
      </x:c>
      <x:c r="D31" s="933" t="str">
        <x:v>[교감9 / 의지 보완] 모두가 따를 하나의 대피명령을 즉시 세운다.</x:v>
      </x:c>
      <x:c r="E31" s="933" t="str">
        <x:v>사람을 움직이는 능력이 생존력으로 바뀐다</x:v>
      </x:c>
      <x:c r="F31" s="933"/>
      <x:c r="G31" s="933"/>
      <x:c r="H31" s="933"/>
      <x:c r="I31" s="933"/>
      <x:c r="J31" s="933"/>
      <x:c r="K31" s="933"/>
    </x:row>
    <x:row r="32" ht="36" hidden="0" customHeight="1">
      <x:c r="A32" s="933" t="str">
        <x:v>냉동창고</x:v>
      </x:c>
      <x:c r="B32" s="933" t="str">
        <x:v>냉각 회로를 차근차근 재구성한다.</x:v>
      </x:c>
      <x:c r="C32" s="933" t="str">
        <x:v>[기술8] 예비 냉각라인을 재연결한다.</x:v>
      </x:c>
      <x:c r="D32" s="933" t="str">
        <x:v>[기술10 / 의지 보완] 보호회로를 강제 우회한다.</x:v>
      </x:c>
      <x:c r="E32" s="933" t="str">
        <x:v>D19에서 가장 명확한 시간제한</x:v>
      </x:c>
      <x:c r="F32" s="933"/>
      <x:c r="G32" s="933"/>
      <x:c r="H32" s="933"/>
      <x:c r="I32" s="933"/>
      <x:c r="J32" s="933"/>
      <x:c r="K32" s="933"/>
    </x:row>
    <x:row r="33" ht="15" hidden="0" customHeight="1">
      <x:c r="A33" s="933"/>
      <x:c r="B33" s="933"/>
      <x:c r="C33" s="933"/>
      <x:c r="D33" s="933"/>
      <x:c r="E33" s="933"/>
      <x:c r="F33" s="933"/>
      <x:c r="G33" s="933"/>
      <x:c r="H33" s="933"/>
      <x:c r="I33" s="933"/>
      <x:c r="J33" s="933"/>
      <x:c r="K33" s="933"/>
    </x:row>
    <x:row r="34" ht="26" hidden="0" customHeight="1">
      <x:c r="A34" s="950" t="str">
        <x:v>4. NPC 전문성 매트릭스 — 모든 인물이 D19에 역할을 가질 수 있게</x:v>
      </x:c>
      <x:c r="B34" s="950"/>
      <x:c r="C34" s="950"/>
      <x:c r="D34" s="950"/>
      <x:c r="E34" s="950"/>
      <x:c r="F34" s="950"/>
      <x:c r="G34" s="950"/>
      <x:c r="H34" s="950"/>
      <x:c r="I34" s="950"/>
      <x:c r="J34" s="950"/>
      <x:c r="K34" s="950"/>
      <x:c r="L34" s="350"/>
      <x:c r="M34" s="350"/>
      <x:c r="N34" s="350"/>
      <x:c r="O34" s="350"/>
      <x:c r="P34" s="350"/>
    </x:row>
    <x:row r="35" ht="30" hidden="0" customHeight="1">
      <x:c r="A35" s="953" t="str">
        <x:v>NPC</x:v>
      </x:c>
      <x:c r="B35" s="953" t="str">
        <x:v>Primary Crisis</x:v>
      </x:c>
      <x:c r="C35" s="953" t="str">
        <x:v>Primary 효과</x:v>
      </x:c>
      <x:c r="D35" s="953" t="str">
        <x:v>Support Crisis</x:v>
      </x:c>
      <x:c r="E35" s="953" t="str">
        <x:v>Support 효과</x:v>
      </x:c>
      <x:c r="F35" s="953" t="str">
        <x:v>시스템 정체성</x:v>
      </x:c>
      <x:c r="G35" s="953" t="str">
        <x:v>상태</x:v>
      </x:c>
      <x:c r="H35" s="953"/>
      <x:c r="I35" s="953" t="str">
        <x:v>의도: D19 True Run에서는 '전원 생존' 자체가 대응 자산이 된다. 샘은 함교, 보리치는 연구/온실, 지나·디야는 거주, 벤자민·페이는 엔진·산소·냉동을 맡을 수 있다. 반대로 누군가 죽었거나 관계/배치가 부족하면 제이가 그 구멍을 직접 메워야 한다. Affinity는 자동 전문성을 주는 수치가 아니라 **NPC 이동 요청을 성립시키는 접근권**으로만 사용한다.</x:v>
      </x:c>
      <x:c r="J35" s="953"/>
      <x:c r="K35" s="953"/>
      <x:c r="L35" s="355"/>
      <x:c r="M35" s="355"/>
      <x:c r="N35" s="355"/>
      <x:c r="O35" s="355"/>
      <x:c r="P35" s="355"/>
    </x:row>
    <x:row r="36" ht="24" hidden="0" customHeight="1">
      <x:c r="A36" s="933" t="str">
        <x:v>샘</x:v>
      </x:c>
      <x:c r="B36" s="933" t="str">
        <x:v>함교</x:v>
      </x:c>
      <x:c r="C36" s="933" t="str">
        <x:v>2h 해결</x:v>
      </x:c>
      <x:c r="D36" s="933" t="str">
        <x:v>거주구역</x:v>
      </x:c>
      <x:c r="E36" s="933" t="str">
        <x:v>함교&gt;=2이면 다음 Tick 1회 무효</x:v>
      </x:c>
      <x:c r="F36" s="933" t="str">
        <x:v>지휘/항법</x:v>
      </x:c>
      <x:c r="G36" s="933" t="str">
        <x:v>TEMP 확정 후보</x:v>
      </x:c>
      <x:c r="H36" s="933"/>
      <x:c r="I36" s="933"/>
      <x:c r="J36" s="933"/>
      <x:c r="K36" s="933"/>
      <x:c r="L36" s="355"/>
      <x:c r="M36" s="355"/>
      <x:c r="N36" s="355"/>
      <x:c r="O36" s="355"/>
      <x:c r="P36" s="355"/>
    </x:row>
    <x:row r="37" ht="15" hidden="0" customHeight="1">
      <x:c r="A37" s="933" t="str">
        <x:v>벤자민</x:v>
      </x:c>
      <x:c r="B37" s="933" t="str">
        <x:v>엔진 / 산소 / 냉동</x:v>
      </x:c>
      <x:c r="C37" s="933" t="str">
        <x:v>각 2h 해결</x:v>
      </x:c>
      <x:c r="D37" s="933" t="str">
        <x:v>—</x:v>
      </x:c>
      <x:c r="E37" s="933" t="str">
        <x:v>—</x:v>
      </x:c>
      <x:c r="F37" s="933" t="str">
        <x:v>강력한 실무 수리자</x:v>
      </x:c>
      <x:c r="G37" s="933" t="str">
        <x:v>기존방향</x:v>
      </x:c>
      <x:c r="H37" s="933"/>
      <x:c r="I37" s="933"/>
      <x:c r="J37" s="933"/>
      <x:c r="K37" s="933"/>
      <x:c r="L37" s="355"/>
      <x:c r="M37" s="355"/>
      <x:c r="N37" s="355"/>
      <x:c r="O37" s="355"/>
      <x:c r="P37" s="355"/>
    </x:row>
    <x:row r="38" ht="24" hidden="0" customHeight="1">
      <x:c r="A38" s="933" t="str">
        <x:v>페이</x:v>
      </x:c>
      <x:c r="B38" s="933" t="str">
        <x:v>엔진 / 산소 / 냉동</x:v>
      </x:c>
      <x:c r="C38" s="933" t="str">
        <x:v>각 2h 해결</x:v>
      </x:c>
      <x:c r="D38" s="933" t="str">
        <x:v>함교 / 연구</x:v>
      </x:c>
      <x:c r="E38" s="933" t="str">
        <x:v>2h 지원 → 다음 Tick 1회 무효</x:v>
      </x:c>
      <x:c r="F38" s="933" t="str">
        <x:v>전자·전력 기술자</x:v>
      </x:c>
      <x:c r="G38" s="933" t="str">
        <x:v>TEMP 정교화</x:v>
      </x:c>
      <x:c r="H38" s="933"/>
      <x:c r="I38" s="933"/>
      <x:c r="J38" s="933"/>
      <x:c r="K38" s="933"/>
      <x:c r="L38" s="355"/>
      <x:c r="M38" s="355"/>
      <x:c r="N38" s="355"/>
      <x:c r="O38" s="355"/>
      <x:c r="P38" s="355"/>
    </x:row>
    <x:row r="39" ht="15" hidden="0" customHeight="1">
      <x:c r="A39" s="933" t="str">
        <x:v>보리치</x:v>
      </x:c>
      <x:c r="B39" s="933" t="str">
        <x:v>연구 / 온실</x:v>
      </x:c>
      <x:c r="C39" s="933" t="str">
        <x:v>각 2h 해결</x:v>
      </x:c>
      <x:c r="D39" s="933" t="str">
        <x:v>—</x:v>
      </x:c>
      <x:c r="E39" s="933" t="str">
        <x:v>—</x:v>
      </x:c>
      <x:c r="F39" s="933" t="str">
        <x:v>분석·환경/연구 시스템</x:v>
      </x:c>
      <x:c r="G39" s="933" t="str">
        <x:v>TEMP 확정 후보</x:v>
      </x:c>
      <x:c r="H39" s="933"/>
      <x:c r="I39" s="933"/>
      <x:c r="J39" s="933"/>
      <x:c r="K39" s="933"/>
      <x:c r="L39" s="355"/>
      <x:c r="M39" s="355"/>
      <x:c r="N39" s="355"/>
      <x:c r="O39" s="355"/>
      <x:c r="P39" s="355"/>
    </x:row>
    <x:row r="40" ht="15" hidden="0" customHeight="1">
      <x:c r="A40" s="933" t="str">
        <x:v>지나</x:v>
      </x:c>
      <x:c r="B40" s="933" t="str">
        <x:v>거주구역</x:v>
      </x:c>
      <x:c r="C40" s="933" t="str">
        <x:v>2h 해결</x:v>
      </x:c>
      <x:c r="D40" s="933" t="str">
        <x:v>Breach 구조 상황</x:v>
      </x:c>
      <x:c r="E40" s="933" t="str">
        <x:v>기존 희생/대피 문법만</x:v>
      </x:c>
      <x:c r="F40" s="933" t="str">
        <x:v>돌봄·현장 판단</x:v>
      </x:c>
      <x:c r="G40" s="933" t="str">
        <x:v>기존+정교화</x:v>
      </x:c>
      <x:c r="H40" s="933"/>
      <x:c r="I40" s="933"/>
      <x:c r="J40" s="933"/>
      <x:c r="K40" s="933"/>
      <x:c r="L40" s="355"/>
      <x:c r="M40" s="355"/>
      <x:c r="N40" s="355"/>
      <x:c r="O40" s="355"/>
      <x:c r="P40" s="355"/>
    </x:row>
    <x:row r="41" ht="24" hidden="0" customHeight="1">
      <x:c r="A41" s="933" t="str">
        <x:v>디야</x:v>
      </x:c>
      <x:c r="B41" s="933" t="str">
        <x:v>거주구역</x:v>
      </x:c>
      <x:c r="C41" s="933" t="str">
        <x:v>2h 해결</x:v>
      </x:c>
      <x:c r="D41" s="933" t="str">
        <x:v>온실</x:v>
      </x:c>
      <x:c r="E41" s="933" t="str">
        <x:v>2h 수동보존 → 다음 Tick 1회 무효</x:v>
      </x:c>
      <x:c r="F41" s="933" t="str">
        <x:v>생활·아이·공동체</x:v>
      </x:c>
      <x:c r="G41" s="933" t="str">
        <x:v>TEMP 확정 후보</x:v>
      </x:c>
      <x:c r="H41" s="933"/>
      <x:c r="I41" s="933"/>
      <x:c r="J41" s="933"/>
      <x:c r="K41" s="933"/>
      <x:c r="L41" s="355"/>
      <x:c r="M41" s="355"/>
      <x:c r="N41" s="355"/>
      <x:c r="O41" s="355"/>
      <x:c r="P41" s="355"/>
    </x:row>
    <x:row r="42" ht="15" hidden="0" customHeight="1">
      <x:c r="A42" s="933"/>
      <x:c r="B42" s="933"/>
      <x:c r="C42" s="933"/>
      <x:c r="D42" s="933"/>
      <x:c r="E42" s="933"/>
      <x:c r="F42" s="933"/>
      <x:c r="G42" s="933"/>
      <x:c r="H42" s="933"/>
      <x:c r="I42" s="933"/>
      <x:c r="J42" s="933"/>
      <x:c r="K42" s="933"/>
    </x:row>
    <x:row r="43" ht="26" hidden="0" customHeight="1">
      <x:c r="A43" s="950" t="str">
        <x:v>5. 동시 Wave의 NPC 배치·혼합 우선순위</x:v>
      </x:c>
      <x:c r="B43" s="950"/>
      <x:c r="C43" s="950"/>
      <x:c r="D43" s="950"/>
      <x:c r="E43" s="950"/>
      <x:c r="F43" s="950"/>
      <x:c r="G43" s="950"/>
      <x:c r="H43" s="950"/>
      <x:c r="I43" s="950"/>
      <x:c r="J43" s="950"/>
      <x:c r="K43" s="950"/>
      <x:c r="L43" s="350"/>
      <x:c r="M43" s="350"/>
      <x:c r="N43" s="350"/>
      <x:c r="O43" s="350"/>
      <x:c r="P43" s="350"/>
    </x:row>
    <x:row r="44" ht="30" hidden="0" customHeight="1">
      <x:c r="A44" s="953" t="str">
        <x:v>우선</x:v>
      </x:c>
      <x:c r="B44" s="953" t="str">
        <x:v>규칙</x:v>
      </x:c>
      <x:c r="C44" s="953" t="str">
        <x:v>예시</x:v>
      </x:c>
      <x:c r="D44" s="953" t="str">
        <x:v>이유</x:v>
      </x:c>
      <x:c r="E44" s="953" t="str">
        <x:v>상태</x:v>
      </x:c>
      <x:c r="F44" s="953"/>
      <x:c r="G44" s="953"/>
      <x:c r="H44" s="953"/>
      <x:c r="I44" s="953"/>
      <x:c r="J44" s="953"/>
      <x:c r="K44" s="953"/>
    </x:row>
    <x:row r="45" ht="60" hidden="0" customHeight="1">
      <x:c r="A45" s="933" t="n">
        <x:v>1</x:v>
      </x:c>
      <x:c r="B45" s="933" t="str">
        <x:v>Wave 1h 전 Target 공개 후 플레이어 명시 배치 최우선. 이동요청: Aff3+=0Will / Aff2=Will1 / Aff1=Will2 / Aff0=불가</x:v>
      </x:c>
      <x:c r="C45" s="933" t="str">
        <x:v>09:00 Freezer→벤자민</x:v>
      </x:c>
      <x:c r="D45" s="933" t="str">
        <x:v>관계 투자가 D19 자원으로 변환</x:v>
      </x:c>
      <x:c r="E45" s="933" t="str">
        <x:v>v1.1</x:v>
      </x:c>
      <x:c r="F45" s="933"/>
      <x:c r="G45" s="933"/>
      <x:c r="H45" s="933"/>
      <x:c r="I45" s="933"/>
      <x:c r="J45" s="933"/>
      <x:c r="K45" s="933"/>
    </x:row>
    <x:row r="46" ht="36" hidden="0" customHeight="1">
      <x:c r="A46" s="933" t="n">
        <x:v>2</x:v>
      </x:c>
      <x:c r="B46" s="933" t="str">
        <x:v>NPC는 동시에1 Crisis만. 이동1h 후 도착 시 작업 시작</x:v>
      </x:c>
      <x:c r="C46" s="933" t="str">
        <x:v>다른 구역 페이를 보내면 10:00 도착</x:v>
      </x:c>
      <x:c r="D46" s="933" t="str">
        <x:v>ScheduleService 권위 유지</x:v>
      </x:c>
      <x:c r="E46" s="933" t="str">
        <x:v>기존</x:v>
      </x:c>
      <x:c r="F46" s="933"/>
      <x:c r="G46" s="933"/>
      <x:c r="H46" s="933"/>
      <x:c r="I46" s="933"/>
      <x:c r="J46" s="933"/>
      <x:c r="K46" s="933"/>
    </x:row>
    <x:row r="47" ht="36" hidden="0" customHeight="1">
      <x:c r="A47" s="933" t="n">
        <x:v>3</x:v>
      </x:c>
      <x:c r="B47" s="933" t="str">
        <x:v>명령 없고 Primary가 현장에 있으면 자동 대응</x:v>
      </x:c>
      <x:c r="C47" s="933" t="str">
        <x:v>샘이 함교면2h</x:v>
      </x:c>
      <x:c r="D47" s="933" t="str">
        <x:v>현장 배치 가치</x:v>
      </x:c>
      <x:c r="E47" s="933" t="str">
        <x:v>유지</x:v>
      </x:c>
      <x:c r="F47" s="933"/>
      <x:c r="G47" s="933"/>
      <x:c r="H47" s="933"/>
      <x:c r="I47" s="933"/>
      <x:c r="J47" s="933"/>
      <x:c r="K47" s="933"/>
    </x:row>
    <x:row r="48" ht="36" hidden="0" customHeight="1">
      <x:c r="A48" s="933" t="n">
        <x:v>4</x:v>
      </x:c>
      <x:c r="B48" s="933" t="str">
        <x:v>여러 Crisis면 전문가 분산 우선. Pair 자동집중 금지</x:v>
      </x:c>
      <x:c r="C48" s="933" t="str">
        <x:v>Engine+Freezer에 벤자민/페이 1명씩</x:v>
      </x:c>
      <x:c r="D48" s="933" t="str">
        <x:v>병렬 가치</x:v>
      </x:c>
      <x:c r="E48" s="933" t="str">
        <x:v>유지</x:v>
      </x:c>
      <x:c r="F48" s="933"/>
      <x:c r="G48" s="933"/>
      <x:c r="H48" s="933"/>
      <x:c r="I48" s="933"/>
      <x:c r="J48" s="933"/>
      <x:c r="K48" s="933"/>
    </x:row>
    <x:row r="49" ht="48" hidden="0" customHeight="1">
      <x:c r="A49" s="933" t="n">
        <x:v>5</x:v>
      </x:c>
      <x:c r="B49" s="933" t="str">
        <x:v>Affinity&gt;=4 authored '무리한 부탁'은 1h Support/특수해법 가능, 완료 후 Affinity-1</x:v>
      </x:c>
      <x:c r="C49" s="933" t="str">
        <x:v>신뢰 높은 샘에게 즉시 임시지휘 부탁</x:v>
      </x:c>
      <x:c r="D49" s="933" t="str">
        <x:v>호감도를 소비 가능한 자원으로</x:v>
      </x:c>
      <x:c r="E49" s="933" t="str">
        <x:v>v1.1</x:v>
      </x:c>
      <x:c r="F49" s="933"/>
      <x:c r="G49" s="933"/>
      <x:c r="H49" s="933"/>
      <x:c r="I49" s="933"/>
      <x:c r="J49" s="933"/>
      <x:c r="K49" s="933"/>
    </x:row>
    <x:row r="50" ht="36" hidden="0" customHeight="1">
      <x:c r="A50" s="933" t="n">
        <x:v>6</x:v>
      </x:c>
      <x:c r="B50" s="933" t="str">
        <x:v>Pair1h는 명시 배치하거나 다른 미해결 Crisis 없을 때</x:v>
      </x:c>
      <x:c r="C50" s="933" t="str">
        <x:v>Freezer에 둘 다</x:v>
      </x:c>
      <x:c r="D50" s="933" t="str">
        <x:v>속도 vs 커버리지</x:v>
      </x:c>
      <x:c r="E50" s="933" t="str">
        <x:v>유지</x:v>
      </x:c>
      <x:c r="F50" s="933"/>
      <x:c r="G50" s="933"/>
      <x:c r="H50" s="933"/>
      <x:c r="I50" s="933"/>
      <x:c r="J50" s="933"/>
      <x:c r="K50" s="933"/>
    </x:row>
    <x:row r="51" ht="36" hidden="0" customHeight="1">
      <x:c r="A51" s="933" t="n">
        <x:v>7</x:v>
      </x:c>
      <x:c r="B51" s="933" t="str">
        <x:v>Support는 Primary 부재/시간벌기 선택 때만</x:v>
      </x:c>
      <x:c r="C51" s="933" t="str">
        <x:v>디야 온실 Tick무효</x:v>
      </x:c>
      <x:c r="D51" s="933" t="str">
        <x:v>지원이 전문해결을 덮지 않음</x:v>
      </x:c>
      <x:c r="E51" s="933" t="str">
        <x:v>유지</x:v>
      </x:c>
      <x:c r="F51" s="933"/>
      <x:c r="G51" s="933"/>
      <x:c r="H51" s="933"/>
      <x:c r="I51" s="933"/>
      <x:c r="J51" s="933"/>
      <x:c r="K51" s="933"/>
    </x:row>
    <x:row r="52" ht="24" hidden="0" customHeight="1">
      <x:c r="A52" s="933" t="n">
        <x:v>8</x:v>
      </x:c>
      <x:c r="B52" s="933" t="str">
        <x:v>모든 NPC가 Busy/불가면 Jay 직접 또는 Tick 감수</x:v>
      </x:c>
      <x:c r="C52" s="933" t="str">
        <x:v>한 Root 방치</x:v>
      </x:c>
      <x:c r="D52" s="933" t="str">
        <x:v>방치도 정상 전략</x:v>
      </x:c>
      <x:c r="E52" s="933" t="str">
        <x:v>유지</x:v>
      </x:c>
      <x:c r="F52" s="933"/>
      <x:c r="G52" s="933"/>
      <x:c r="H52" s="933"/>
      <x:c r="I52" s="933"/>
      <x:c r="J52" s="933"/>
      <x:c r="K52" s="933"/>
    </x:row>
    <x:row r="53" ht="15" hidden="0" customHeight="1">
      <x:c r="A53" s="933"/>
      <x:c r="B53" s="933"/>
      <x:c r="C53" s="933"/>
      <x:c r="D53" s="933"/>
      <x:c r="E53" s="933"/>
      <x:c r="F53" s="933"/>
      <x:c r="G53" s="933"/>
      <x:c r="H53" s="933"/>
      <x:c r="I53" s="933"/>
      <x:c r="J53" s="933"/>
      <x:c r="K53" s="933"/>
    </x:row>
    <x:row r="54" ht="26" hidden="0" customHeight="1">
      <x:c r="A54" s="950" t="str">
        <x:v>6. D19 Boss 배치 예시</x:v>
      </x:c>
      <x:c r="B54" s="950"/>
      <x:c r="C54" s="950"/>
      <x:c r="D54" s="950"/>
      <x:c r="E54" s="950"/>
      <x:c r="F54" s="950"/>
      <x:c r="G54" s="950"/>
      <x:c r="H54" s="950"/>
      <x:c r="I54" s="950"/>
      <x:c r="J54" s="950"/>
      <x:c r="K54" s="950"/>
      <x:c r="L54" s="350"/>
      <x:c r="M54" s="350"/>
      <x:c r="N54" s="350"/>
      <x:c r="O54" s="350"/>
      <x:c r="P54" s="350"/>
    </x:row>
    <x:row r="55" ht="30" hidden="0" customHeight="1">
      <x:c r="A55" s="953" t="str">
        <x:v>Boss Target</x:v>
      </x:c>
      <x:c r="B55" s="953" t="str">
        <x:v>NPC 배치</x:v>
      </x:c>
      <x:c r="C55" s="953" t="str">
        <x:v>Jay</x:v>
      </x:c>
      <x:c r="D55" s="953" t="str">
        <x:v>10~14시</x:v>
      </x:c>
      <x:c r="E55" s="953" t="str">
        <x:v>결과</x:v>
      </x:c>
      <x:c r="F55" s="953" t="str">
        <x:v>무엇을 보상하는가</x:v>
      </x:c>
      <x:c r="G55" s="953"/>
      <x:c r="H55" s="953"/>
      <x:c r="I55" s="953"/>
      <x:c r="J55" s="953"/>
      <x:c r="K55" s="953"/>
    </x:row>
    <x:row r="56" ht="36" hidden="0" customHeight="1">
      <x:c r="A56" s="933" t="str">
        <x:v>Freezer + 함교 + 연구</x:v>
      </x:c>
      <x:c r="B56" s="933" t="str">
        <x:v>벤자민→Freezer / 샘→함교 / 보리치→연구</x:v>
      </x:c>
      <x:c r="C56" s="933" t="str">
        <x:v>Character/수리 자유</x:v>
      </x:c>
      <x:c r="D56" s="933" t="str">
        <x:v>세 NPC 모두2h 해결</x:v>
      </x:c>
      <x:c r="E56" s="933" t="str">
        <x:v>무피해 가능</x:v>
      </x:c>
      <x:c r="F56" s="933" t="str">
        <x:v>전원 생존 + 관계/배치 = True급 보상</x:v>
      </x:c>
      <x:c r="G56" s="933"/>
      <x:c r="H56" s="933"/>
      <x:c r="I56" s="933"/>
      <x:c r="J56" s="933"/>
      <x:c r="K56" s="933"/>
    </x:row>
    <x:row r="57" ht="36" hidden="0" customHeight="1">
      <x:c r="A57" s="933" t="str">
        <x:v>Freezer + 함교 + 연구</x:v>
      </x:c>
      <x:c r="B57" s="933" t="str">
        <x:v>벤자민→Freezer / 보리치 사망 / 샘 관계부족</x:v>
      </x:c>
      <x:c r="C57" s="933" t="str">
        <x:v>함교4h → 연구4h</x:v>
      </x:c>
      <x:c r="D57" s="933" t="str">
        <x:v>14시 연구 1 Tick</x:v>
      </x:c>
      <x:c r="E57" s="933" t="str">
        <x:v>Freezer/함교 안전, 연구계열 손상</x:v>
      </x:c>
      <x:c r="F57" s="933" t="str">
        <x:v>죽음·관계 부족을 Jay 시간과 시설 피해로 지불</x:v>
      </x:c>
      <x:c r="G57" s="933"/>
      <x:c r="H57" s="933"/>
      <x:c r="I57" s="933"/>
      <x:c r="J57" s="933"/>
      <x:c r="K57" s="933"/>
    </x:row>
    <x:row r="58" ht="36" hidden="0" customHeight="1">
      <x:c r="A58" s="933" t="str">
        <x:v>Freezer + 엔진 + 거주</x:v>
      </x:c>
      <x:c r="B58" s="933" t="str">
        <x:v>페이→Freezer / 벤자민→엔진 / 지나→거주</x:v>
      </x:c>
      <x:c r="C58" s="933" t="str">
        <x:v>자유</x:v>
      </x:c>
      <x:c r="D58" s="933" t="str">
        <x:v>모두2h</x:v>
      </x:c>
      <x:c r="E58" s="933" t="str">
        <x:v>무피해 가능</x:v>
      </x:c>
      <x:c r="F58" s="933" t="str">
        <x:v>생존자 역할 분담</x:v>
      </x:c>
      <x:c r="G58" s="933"/>
      <x:c r="H58" s="933"/>
      <x:c r="I58" s="933"/>
      <x:c r="J58" s="933"/>
      <x:c r="K58" s="933"/>
    </x:row>
    <x:row r="59" ht="36" hidden="0" customHeight="1">
      <x:c r="A59" s="933" t="str">
        <x:v>Freezer + 온실 + Living</x:v>
      </x:c>
      <x:c r="B59" s="933" t="str">
        <x:v>벤자민→Freezer / 디야→Living / 보리치→온실</x:v>
      </x:c>
      <x:c r="C59" s="933" t="str">
        <x:v>자유</x:v>
      </x:c>
      <x:c r="D59" s="933" t="str">
        <x:v>모두2h</x:v>
      </x:c>
      <x:c r="E59" s="933" t="str">
        <x:v>무피해 가능</x:v>
      </x:c>
      <x:c r="F59" s="933" t="str">
        <x:v>생활/연구 캐릭터도 Boss 자산</x:v>
      </x:c>
      <x:c r="G59" s="933"/>
      <x:c r="H59" s="933"/>
      <x:c r="I59" s="933"/>
      <x:c r="J59" s="933"/>
      <x:c r="K59" s="933"/>
    </x:row>
    <x:row r="60" ht="24" hidden="0" customHeight="1">
      <x:c r="A60" s="933" t="str">
        <x:v>Freezer + Bridge + Research, NPC1</x:v>
      </x:c>
      <x:c r="B60" s="933" t="str">
        <x:v>벤자민→Freezer</x:v>
      </x:c>
      <x:c r="C60" s="933" t="str">
        <x:v>Bridge4h→Research4h</x:v>
      </x:c>
      <x:c r="D60" s="933" t="str">
        <x:v>14시 Research 1 Tick</x:v>
      </x:c>
      <x:c r="E60" s="933" t="str">
        <x:v>Normal은 D20 수리로 복구 가능</x:v>
      </x:c>
      <x:c r="F60" s="933" t="str">
        <x:v>Normal은 손상 감수가 기본</x:v>
      </x:c>
      <x:c r="G60" s="933"/>
      <x:c r="H60" s="933"/>
      <x:c r="I60" s="933"/>
      <x:c r="J60" s="933"/>
      <x:c r="K60" s="933"/>
    </x:row>
    <x:row r="61" ht="15" hidden="0" customHeight="1">
      <x:c r="A61" s="933"/>
      <x:c r="B61" s="933"/>
      <x:c r="C61" s="933"/>
      <x:c r="D61" s="933"/>
      <x:c r="E61" s="933"/>
      <x:c r="F61" s="933"/>
      <x:c r="G61" s="933"/>
      <x:c r="H61" s="933"/>
      <x:c r="I61" s="933"/>
      <x:c r="J61" s="933"/>
      <x:c r="K61" s="933"/>
    </x:row>
    <x:row r="62" ht="26" hidden="0" customHeight="1">
      <x:c r="A62" s="950" t="str">
        <x:v>7. 이번 단계에서 닫힌 것 / 남은 것</x:v>
      </x:c>
      <x:c r="B62" s="950"/>
      <x:c r="C62" s="950"/>
      <x:c r="D62" s="950"/>
      <x:c r="E62" s="950"/>
      <x:c r="F62" s="950"/>
      <x:c r="G62" s="950"/>
      <x:c r="H62" s="950"/>
      <x:c r="I62" s="950"/>
      <x:c r="J62" s="950"/>
      <x:c r="K62" s="950"/>
      <x:c r="L62" s="350"/>
      <x:c r="M62" s="350"/>
      <x:c r="N62" s="350"/>
      <x:c r="O62" s="350"/>
      <x:c r="P62" s="350"/>
    </x:row>
    <x:row r="63" ht="30" hidden="0" customHeight="1">
      <x:c r="A63" s="953" t="str">
        <x:v>항목</x:v>
      </x:c>
      <x:c r="B63" s="953" t="str">
        <x:v>결론</x:v>
      </x:c>
      <x:c r="C63" s="953" t="str">
        <x:v>상태</x:v>
      </x:c>
      <x:c r="D63" s="953"/>
      <x:c r="E63" s="953"/>
      <x:c r="F63" s="953"/>
      <x:c r="G63" s="953"/>
      <x:c r="H63" s="953"/>
      <x:c r="I63" s="953" t="str">
        <x:v>NPC</x:v>
      </x:c>
      <x:c r="J63" s="953" t="str">
        <x:v>Primary 수</x:v>
      </x:c>
      <x:c r="K63" s="953" t="str">
        <x:v>Support 수</x:v>
      </x:c>
    </x:row>
    <x:row r="64" ht="24" hidden="0" customHeight="1">
      <x:c r="A64" s="933" t="str">
        <x:v>함교 스탯</x:v>
      </x:c>
      <x:c r="B64" s="933" t="str">
        <x:v>교감/기술 Dual. 샘 Primary.</x:v>
      </x:c>
      <x:c r="C64" s="933" t="str">
        <x:v>TEMP 확정 후보</x:v>
      </x:c>
      <x:c r="D64" s="933"/>
      <x:c r="E64" s="933"/>
      <x:c r="F64" s="933"/>
      <x:c r="G64" s="933"/>
      <x:c r="H64" s="933"/>
      <x:c r="I64" s="933" t="str">
        <x:v>샘</x:v>
      </x:c>
      <x:c r="J64" s="933" t="n">
        <x:v>1</x:v>
      </x:c>
      <x:c r="K64" s="933" t="n">
        <x:v>1</x:v>
      </x:c>
    </x:row>
    <x:row r="65" ht="36" hidden="0" customHeight="1">
      <x:c r="A65" s="933" t="str">
        <x:v>엔진</x:v>
      </x:c>
      <x:c r="B65" s="933" t="str">
        <x:v>기술 단일. 기존 Engineering Breach와 동일.</x:v>
      </x:c>
      <x:c r="C65" s="933" t="str">
        <x:v>거의 확정</x:v>
      </x:c>
      <x:c r="D65" s="933"/>
      <x:c r="E65" s="933"/>
      <x:c r="F65" s="933"/>
      <x:c r="G65" s="933"/>
      <x:c r="H65" s="933"/>
      <x:c r="I65" s="933" t="str">
        <x:v>벤자민</x:v>
      </x:c>
      <x:c r="J65" s="933" t="n">
        <x:v>3</x:v>
      </x:c>
      <x:c r="K65" s="933" t="n">
        <x:v>0</x:v>
      </x:c>
    </x:row>
    <x:row r="66" ht="24" hidden="0" customHeight="1">
      <x:c r="A66" s="933" t="str">
        <x:v>산소</x:v>
      </x:c>
      <x:c r="B66" s="933" t="str">
        <x:v>기술/강인함 Dual. 벤자민·페이 Primary.</x:v>
      </x:c>
      <x:c r="C66" s="933" t="str">
        <x:v>거의 확정</x:v>
      </x:c>
      <x:c r="D66" s="933"/>
      <x:c r="E66" s="933"/>
      <x:c r="F66" s="933"/>
      <x:c r="G66" s="933"/>
      <x:c r="H66" s="933"/>
      <x:c r="I66" s="933" t="str">
        <x:v>페이</x:v>
      </x:c>
      <x:c r="J66" s="933" t="n">
        <x:v>3</x:v>
      </x:c>
      <x:c r="K66" s="933" t="n">
        <x:v>2</x:v>
      </x:c>
    </x:row>
    <x:row r="67" ht="24" hidden="0" customHeight="1">
      <x:c r="A67" s="933" t="str">
        <x:v>연구</x:v>
      </x:c>
      <x:c r="B67" s="933" t="str">
        <x:v>기술 단일. 보리치 Primary, 페이 Support.</x:v>
      </x:c>
      <x:c r="C67" s="933" t="str">
        <x:v>TEMP 확정 후보</x:v>
      </x:c>
      <x:c r="D67" s="933"/>
      <x:c r="E67" s="933"/>
      <x:c r="F67" s="933"/>
      <x:c r="G67" s="933"/>
      <x:c r="H67" s="933"/>
      <x:c r="I67" s="933" t="str">
        <x:v>보리치</x:v>
      </x:c>
      <x:c r="J67" s="933" t="n">
        <x:v>2</x:v>
      </x:c>
      <x:c r="K67" s="933" t="n">
        <x:v>0</x:v>
      </x:c>
    </x:row>
    <x:row r="68" ht="48" hidden="0" customHeight="1">
      <x:c r="A68" s="933" t="str">
        <x:v>온실</x:v>
      </x:c>
      <x:c r="B68" s="933" t="str">
        <x:v>기술 기반 단순 Crisis만. 별도 미니시스템 없음. 보리치 Primary, 디야 Support.</x:v>
      </x:c>
      <x:c r="C68" s="933" t="str">
        <x:v>확정방향</x:v>
      </x:c>
      <x:c r="D68" s="933"/>
      <x:c r="E68" s="933"/>
      <x:c r="F68" s="933"/>
      <x:c r="G68" s="933"/>
      <x:c r="H68" s="933"/>
      <x:c r="I68" s="933" t="str">
        <x:v>지나</x:v>
      </x:c>
      <x:c r="J68" s="933" t="n">
        <x:v>1</x:v>
      </x:c>
      <x:c r="K68" s="933" t="n">
        <x:v>1</x:v>
      </x:c>
    </x:row>
    <x:row r="69" ht="36" hidden="0" customHeight="1">
      <x:c r="A69" s="933" t="str">
        <x:v>거주</x:v>
      </x:c>
      <x:c r="B69" s="933" t="str">
        <x:v>교감/강인함 Dual. 지나·디야 Primary. Tick 후 &lt;=2면 Panic.</x:v>
      </x:c>
      <x:c r="C69" s="933" t="str">
        <x:v>TEMP 확정 후보</x:v>
      </x:c>
      <x:c r="D69" s="933"/>
      <x:c r="E69" s="933"/>
      <x:c r="F69" s="933"/>
      <x:c r="G69" s="933"/>
      <x:c r="H69" s="933"/>
      <x:c r="I69" s="933" t="str">
        <x:v>디야</x:v>
      </x:c>
      <x:c r="J69" s="933" t="n">
        <x:v>1</x:v>
      </x:c>
      <x:c r="K69" s="933" t="n">
        <x:v>1</x:v>
      </x:c>
    </x:row>
    <x:row r="70" ht="24" hidden="0" customHeight="1">
      <x:c r="A70" s="933" t="str">
        <x:v>냉동</x:v>
      </x:c>
      <x:c r="B70" s="933" t="str">
        <x:v>D19 고정 6h Critical. 기술8/10.</x:v>
      </x:c>
      <x:c r="C70" s="933" t="str">
        <x:v>확정방향</x:v>
      </x:c>
      <x:c r="D70" s="933"/>
      <x:c r="E70" s="933"/>
      <x:c r="F70" s="933"/>
      <x:c r="G70" s="933"/>
      <x:c r="H70" s="933"/>
      <x:c r="I70" s="933" t="str">
        <x:v>제이</x:v>
      </x:c>
      <x:c r="J70" s="933" t="str">
        <x:v>전부</x:v>
      </x:c>
      <x:c r="K70" s="933" t="str">
        <x:v>직접 선택</x:v>
      </x:c>
    </x:row>
    <x:row r="71" ht="36" hidden="0" customHeight="1">
      <x:c r="A71" s="933" t="str">
        <x:v>NPC 혼합</x:v>
      </x:c>
      <x:c r="B71" s="933" t="str">
        <x:v>명시배치 &gt; 현장 Primary 자동 &gt; 분산 우선 &gt; Pair &gt; Support &gt; Jay/방치</x:v>
      </x:c>
      <x:c r="C71" s="933" t="str">
        <x:v>TEMP 확정 후보</x:v>
      </x:c>
      <x:c r="D71" s="933"/>
      <x:c r="E71" s="933"/>
      <x:c r="F71" s="933"/>
      <x:c r="G71" s="933"/>
      <x:c r="H71" s="933"/>
      <x:c r="I71" s="933"/>
      <x:c r="J71" s="933"/>
      <x:c r="K71" s="933"/>
    </x:row>
    <x:row r="72" ht="48" hidden="0" customHeight="1">
      <x:c r="A72" s="933" t="str">
        <x:v>남은 작업</x:v>
      </x:c>
      <x:c r="B72" s="933" t="str">
        <x:v>각 Character Final과 Will/Stat 보상 정확히 확정 → Stance/Ending에 연결</x:v>
      </x:c>
      <x:c r="C72" s="933" t="str">
        <x:v>NEXT</x:v>
      </x:c>
      <x:c r="D72" s="933"/>
      <x:c r="E72" s="933"/>
      <x:c r="F72" s="933"/>
      <x:c r="G72" s="933"/>
      <x:c r="H72" s="933"/>
      <x:c r="I72" s="933"/>
      <x:c r="J72" s="933"/>
      <x:c r="K72" s="933"/>
    </x:row>
  </x:sheetData>
  <x:mergeCells>
    <x:mergeCell ref="A1:P1"/>
    <x:mergeCell ref="A2:P2"/>
    <x:mergeCell ref="A4:P4"/>
    <x:mergeCell ref="A14:P14"/>
    <x:mergeCell ref="A24:P24"/>
    <x:mergeCell ref="A34:P34"/>
    <x:mergeCell ref="I35:P41"/>
    <x:mergeCell ref="A43:P43"/>
    <x:mergeCell ref="A54:P54"/>
    <x:mergeCell ref="A62:P62"/>
  </x:mergeCells>
  <x:conditionalFormatting sqref="J16:J72">
    <x:cfRule type="expression" dxfId="196" priority="1">
      <x:formula>OR(J16="완료",J16="확정",J16="확정방향",J16="방향 확정",LEFT(J16,2)="확정")</x:formula>
    </x:cfRule>
    <x:cfRule type="expression" dxfId="197" priority="2">
      <x:formula>OR(J16="TBD",J16="대기",ISNUMBER(SEARCH("TEMP",J16)))</x:formula>
    </x:cfRule>
    <x:cfRule type="expression" dxfId="198" priority="3">
      <x:formula>OR(J16="폐기",J16="HISTORICAL",ISNUMBER(SEARCH("폐기",J16)))</x:formula>
    </x:cfRule>
    <x:cfRule type="expression" dxfId="199" priority="4">
      <x:formula>OR(J16="NEXT",J16="진행")</x:formula>
    </x:cfRule>
  </x:conditionalFormatting>
  <x:conditionalFormatting sqref="F6:F72">
    <x:cfRule type="expression" dxfId="200" priority="5">
      <x:formula>OR(F6="완료",F6="확정",F6="확정방향",F6="방향 확정",LEFT(F6,2)="확정")</x:formula>
    </x:cfRule>
    <x:cfRule type="expression" dxfId="201" priority="6">
      <x:formula>OR(F6="TBD",F6="대기",ISNUMBER(SEARCH("TEMP",F6)))</x:formula>
    </x:cfRule>
    <x:cfRule type="expression" dxfId="202" priority="7">
      <x:formula>OR(F6="폐기",F6="HISTORICAL",ISNUMBER(SEARCH("폐기",F6)))</x:formula>
    </x:cfRule>
    <x:cfRule type="expression" dxfId="203" priority="8">
      <x:formula>OR(F6="NEXT",F6="진행")</x:formula>
    </x:cfRule>
  </x:conditionalFormatting>
  <x:conditionalFormatting sqref="G36:G72">
    <x:cfRule type="expression" dxfId="204" priority="9">
      <x:formula>OR(G36="완료",G36="확정",G36="확정방향",G36="방향 확정",LEFT(G36,2)="확정")</x:formula>
    </x:cfRule>
    <x:cfRule type="expression" dxfId="205" priority="10">
      <x:formula>OR(G36="TBD",G36="대기",ISNUMBER(SEARCH("TEMP",G36)))</x:formula>
    </x:cfRule>
    <x:cfRule type="expression" dxfId="206" priority="11">
      <x:formula>OR(G36="폐기",G36="HISTORICAL",ISNUMBER(SEARCH("폐기",G36)))</x:formula>
    </x:cfRule>
    <x:cfRule type="expression" dxfId="207" priority="12">
      <x:formula>OR(G36="NEXT",G36="진행")</x:formula>
    </x:cfRule>
  </x:conditionalFormatting>
  <x:conditionalFormatting sqref="C64:C72">
    <x:cfRule type="expression" dxfId="208" priority="13">
      <x:formula>OR(C64="완료",C64="확정",C64="확정방향",C64="방향 확정",LEFT(C64,2)="확정")</x:formula>
    </x:cfRule>
    <x:cfRule type="expression" dxfId="209" priority="14">
      <x:formula>OR(C64="TBD",C64="대기",ISNUMBER(SEARCH("TEMP",C64)))</x:formula>
    </x:cfRule>
    <x:cfRule type="expression" dxfId="210" priority="15">
      <x:formula>OR(C64="폐기",C64="HISTORICAL",ISNUMBER(SEARCH("폐기",C64)))</x:formula>
    </x:cfRule>
    <x:cfRule type="expression" dxfId="211" priority="16">
      <x:formula>OR(C64="NEXT",C64="진행")</x:formula>
    </x:cfRule>
  </x:conditionalFormatting>
  <x:conditionalFormatting sqref="E45:E72">
    <x:cfRule type="expression" dxfId="212" priority="17">
      <x:formula>OR(E45="완료",E45="확정",E45="확정방향",E45="방향 확정",LEFT(E45,2)="확정")</x:formula>
    </x:cfRule>
    <x:cfRule type="expression" dxfId="213" priority="18">
      <x:formula>OR(E45="TBD",E45="대기",ISNUMBER(SEARCH("TEMP",E45)))</x:formula>
    </x:cfRule>
    <x:cfRule type="expression" dxfId="214" priority="19">
      <x:formula>OR(E45="폐기",E45="HISTORICAL",ISNUMBER(SEARCH("폐기",E45)))</x:formula>
    </x:cfRule>
    <x:cfRule type="expression" dxfId="215" priority="20">
      <x:formula>OR(E45="NEXT",E45="진행")</x:formula>
    </x:cfRule>
  </x:conditionalFormatting>
  <x:pageMargins left="0.7" right="0.7" top="0.75" bottom="0.75" header="0.3" footer="0.3"/>
  <x:drawing xmlns:r="http://schemas.openxmlformats.org/officeDocument/2006/relationships" r:id="Rb37b810524cb4a47"/>
</x:worksheet>
</file>

<file path=xl/worksheets/sheet17.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26" hidden="0" customWidth="1"/>
    <x:col min="5" max="5" width="18" hidden="0" customWidth="1"/>
    <x:col min="6" max="6" width="18" hidden="0" customWidth="1"/>
    <x:col min="7" max="7" width="18" hidden="0" customWidth="1"/>
    <x:col min="8" max="8" width="26" hidden="0" customWidth="1"/>
    <x:col min="9" max="9" width="18" hidden="0" customWidth="1"/>
    <x:col min="10" max="10" width="26"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30" hidden="0" customHeight="1">
      <x:c r="A1" s="944" t="str">
        <x:v>W3 Character Finals v0.1 — Stance / Will / Route Mastery / Boss Reward</x:v>
      </x:c>
      <x:c r="B1" s="944"/>
      <x:c r="C1" s="944"/>
      <x:c r="D1" s="944"/>
      <x:c r="E1" s="944"/>
      <x:c r="F1" s="944"/>
      <x:c r="G1" s="944"/>
      <x:c r="H1" s="944"/>
      <x:c r="I1" s="944"/>
      <x:c r="J1" s="944"/>
      <x:c r="K1" s="944"/>
      <x:c r="L1" s="359"/>
      <x:c r="M1" s="359"/>
      <x:c r="N1" s="359"/>
      <x:c r="O1" s="359"/>
      <x:c r="P1" s="359"/>
    </x:row>
    <x:row r="2" ht="42" hidden="0" customHeight="1">
      <x:c r="A2" s="947" t="str">
        <x:v>원칙: Final은 감정 결론이면서 D19 보스 직전의 실제 자원이다. 대부분 Final은 Will +2(Max5), 페이 공연은 Will +3(Max5). 다만 Jay의 Route Mastery XP +6(=1Lv)은 W1~W3에서 해당 인물의 핵심 Optional Beat를 끝까지 밟은 Full Route에만 지급한다. Stance 변화는 Affinity 수치가 아니라 각 인물의 구체적 사건/결론으로만 발생한다.</x:v>
      </x:c>
      <x:c r="B2" s="947"/>
      <x:c r="C2" s="947"/>
      <x:c r="D2" s="947"/>
      <x:c r="E2" s="947"/>
      <x:c r="F2" s="947"/>
      <x:c r="G2" s="947"/>
      <x:c r="H2" s="947"/>
      <x:c r="I2" s="947"/>
      <x:c r="J2" s="947"/>
      <x:c r="K2" s="947"/>
      <x:c r="L2" s="362"/>
      <x:c r="M2" s="362"/>
      <x:c r="N2" s="362"/>
      <x:c r="O2" s="362"/>
      <x:c r="P2" s="362"/>
    </x:row>
    <x:row r="3" ht="15" hidden="0" customHeight="1">
      <x:c r="A3" s="933"/>
      <x:c r="B3" s="933"/>
      <x:c r="C3" s="933"/>
      <x:c r="D3" s="933"/>
      <x:c r="E3" s="933"/>
      <x:c r="F3" s="933"/>
      <x:c r="G3" s="933"/>
      <x:c r="H3" s="933"/>
      <x:c r="I3" s="933"/>
      <x:c r="J3" s="933"/>
      <x:c r="K3" s="933"/>
    </x:row>
    <x:row r="4" ht="26" hidden="0" customHeight="1">
      <x:c r="A4" s="950" t="str">
        <x:v>1. 공통 보상 문법</x:v>
      </x:c>
      <x:c r="B4" s="950"/>
      <x:c r="C4" s="950"/>
      <x:c r="D4" s="950"/>
      <x:c r="E4" s="950"/>
      <x:c r="F4" s="950"/>
      <x:c r="G4" s="950"/>
      <x:c r="H4" s="950"/>
      <x:c r="I4" s="950"/>
      <x:c r="J4" s="950"/>
      <x:c r="K4" s="950"/>
      <x:c r="L4" s="363"/>
      <x:c r="M4" s="363"/>
      <x:c r="N4" s="363"/>
      <x:c r="O4" s="363"/>
      <x:c r="P4" s="363"/>
    </x:row>
    <x:row r="5" ht="30" hidden="0" customHeight="1">
      <x:c r="A5" s="953" t="str">
        <x:v>항목</x:v>
      </x:c>
      <x:c r="B5" s="953" t="str">
        <x:v>규칙</x:v>
      </x:c>
      <x:c r="C5" s="953" t="str">
        <x:v>의도</x:v>
      </x:c>
      <x:c r="D5" s="953" t="str">
        <x:v>상태</x:v>
      </x:c>
      <x:c r="E5" s="953"/>
      <x:c r="F5" s="953"/>
      <x:c r="G5" s="953"/>
      <x:c r="H5" s="953"/>
      <x:c r="I5" s="953"/>
      <x:c r="J5" s="953"/>
      <x:c r="K5" s="953"/>
    </x:row>
    <x:row r="6" ht="36" hidden="0" customHeight="1">
      <x:c r="A6" s="933" t="str">
        <x:v>Final Will</x:v>
      </x:c>
      <x:c r="B6" s="933" t="str">
        <x:v>대부분 +2 / Max5. 페이 공연 +3.</x:v>
      </x:c>
      <x:c r="C6" s="933" t="str">
        <x:v>W3 Character를 보면 보스 대응 여유가 실제로 생김</x:v>
      </x:c>
      <x:c r="D6" s="933" t="str">
        <x:v>TEMP 확정 후보</x:v>
      </x:c>
      <x:c r="E6" s="933"/>
      <x:c r="F6" s="933"/>
      <x:c r="G6" s="933"/>
      <x:c r="H6" s="933"/>
      <x:c r="I6" s="933"/>
      <x:c r="J6" s="933"/>
      <x:c r="K6" s="933"/>
    </x:row>
    <x:row r="7" ht="30" hidden="0" customHeight="1">
      <x:c r="A7" s="941" t="str">
        <x:v>Route Mastery</x:v>
      </x:c>
      <x:c r="B7" s="941" t="str">
        <x:v>Full Route일 때만 Jay 관련 Stat XP +6 (=Lv+1)</x:v>
      </x:c>
      <x:c r="C7" s="941" t="str">
        <x:v>한 인물을 집요하게 따라간 플레이의 영구 성장 보상</x:v>
      </x:c>
      <x:c r="D7" s="941" t="str">
        <x:v>TEMP 확정 후보</x:v>
      </x:c>
      <x:c r="E7" s="941"/>
      <x:c r="F7" s="941"/>
      <x:c r="G7" s="941"/>
      <x:c r="H7" s="941"/>
      <x:c r="I7" s="941"/>
      <x:c r="J7" s="941"/>
      <x:c r="K7" s="941"/>
    </x:row>
    <x:row r="8" ht="30" hidden="0" customHeight="1">
      <x:c r="A8" s="941" t="str">
        <x:v>중복</x:v>
      </x:c>
      <x:c r="B8" s="941" t="str">
        <x:v>캐릭터별 1회. 여러 Full Route를 완주했다면 각각 받을 수 있음.</x:v>
      </x:c>
      <x:c r="C8" s="941" t="str">
        <x:v>임의 1개 제한은 두지 않고 W1~2 시간경쟁으로 자연 제한</x:v>
      </x:c>
      <x:c r="D8" s="941" t="str">
        <x:v>TEMP / W2 역산 검증 필요</x:v>
      </x:c>
      <x:c r="E8" s="941"/>
      <x:c r="F8" s="941"/>
      <x:c r="G8" s="941"/>
      <x:c r="H8" s="941"/>
      <x:c r="I8" s="941"/>
      <x:c r="J8" s="941"/>
      <x:c r="K8" s="941"/>
    </x:row>
    <x:row r="9" ht="30" hidden="0" customHeight="1">
      <x:c r="A9" s="941" t="str">
        <x:v>Stance</x:v>
      </x:c>
      <x:c r="B9" s="941" t="str">
        <x:v>Final을 봤다고 자동 호감→입장 변화하지 않음. 표의 구체 조건에서만 Set.</x:v>
      </x:c>
      <x:c r="C9" s="941" t="str">
        <x:v>Affinity와 미래 판단 분리</x:v>
      </x:c>
      <x:c r="D9" s="941" t="str">
        <x:v>확정방향</x:v>
      </x:c>
      <x:c r="E9" s="941"/>
      <x:c r="F9" s="941"/>
      <x:c r="G9" s="941"/>
      <x:c r="H9" s="941"/>
      <x:c r="I9" s="941"/>
      <x:c r="J9" s="941"/>
      <x:c r="K9" s="941"/>
    </x:row>
    <x:row r="10" ht="36" hidden="0" customHeight="1">
      <x:c r="A10" s="933" t="str">
        <x:v>D19</x:v>
      </x:c>
      <x:c r="B10" s="933" t="str">
        <x:v>D19에는 신규 큰 Final을 열지 않음. Final/보상은 D16~18, 남은 정서 Epilogue는 D20.</x:v>
      </x:c>
      <x:c r="C10" s="933" t="str">
        <x:v>보스전 집중도 보호</x:v>
      </x:c>
      <x:c r="D10" s="933" t="str">
        <x:v>확정방향</x:v>
      </x:c>
      <x:c r="E10" s="933"/>
      <x:c r="F10" s="933"/>
      <x:c r="G10" s="933"/>
      <x:c r="H10" s="933"/>
      <x:c r="I10" s="933"/>
      <x:c r="J10" s="933"/>
      <x:c r="K10" s="933"/>
    </x:row>
    <x:row r="11" ht="24" hidden="0" customHeight="1">
      <x:c r="A11" s="933" t="str">
        <x:v>Will 초과</x:v>
      </x:c>
      <x:c r="B11" s="933" t="str">
        <x:v>Max5 초과분 소멸</x:v>
      </x:c>
      <x:c r="C11" s="933" t="str">
        <x:v>보상 연속 획득 폭주 방지</x:v>
      </x:c>
      <x:c r="D11" s="933" t="str">
        <x:v>확정</x:v>
      </x:c>
      <x:c r="E11" s="933"/>
      <x:c r="F11" s="933"/>
      <x:c r="G11" s="933"/>
      <x:c r="H11" s="933"/>
      <x:c r="I11" s="933"/>
      <x:c r="J11" s="933"/>
      <x:c r="K11" s="933"/>
    </x:row>
    <x:row r="12" ht="15" hidden="0" customHeight="1">
      <x:c r="A12" s="933"/>
      <x:c r="B12" s="933"/>
      <x:c r="C12" s="933"/>
      <x:c r="D12" s="933"/>
      <x:c r="E12" s="933"/>
      <x:c r="F12" s="933"/>
      <x:c r="G12" s="933"/>
      <x:c r="H12" s="933"/>
      <x:c r="I12" s="933"/>
      <x:c r="J12" s="933"/>
      <x:c r="K12" s="933"/>
    </x:row>
    <x:row r="13" ht="26" hidden="0" customHeight="1">
      <x:c r="A13" s="950" t="str">
        <x:v>2. 핵심 6인 Final</x:v>
      </x:c>
      <x:c r="B13" s="950"/>
      <x:c r="C13" s="950"/>
      <x:c r="D13" s="950"/>
      <x:c r="E13" s="950"/>
      <x:c r="F13" s="950"/>
      <x:c r="G13" s="950"/>
      <x:c r="H13" s="950"/>
      <x:c r="I13" s="950"/>
      <x:c r="J13" s="950"/>
      <x:c r="K13" s="950"/>
      <x:c r="L13" s="363"/>
      <x:c r="M13" s="363"/>
      <x:c r="N13" s="363"/>
      <x:c r="O13" s="363"/>
      <x:c r="P13" s="363"/>
    </x:row>
    <x:row r="14" ht="30" hidden="0" customHeight="1">
      <x:c r="A14" s="953" t="str">
        <x:v>인물</x:v>
      </x:c>
      <x:c r="B14" s="953" t="str">
        <x:v>Final / 핵심 문장</x:v>
      </x:c>
      <x:c r="C14" s="953" t="str">
        <x:v>권장 시기</x:v>
      </x:c>
      <x:c r="D14" s="953" t="str">
        <x:v>Full Route 조건 요약</x:v>
      </x:c>
      <x:c r="E14" s="953" t="str">
        <x:v>시간</x:v>
      </x:c>
      <x:c r="F14" s="953" t="str">
        <x:v>Will</x:v>
      </x:c>
      <x:c r="G14" s="953" t="str">
        <x:v>Mastery</x:v>
      </x:c>
      <x:c r="H14" s="953" t="str">
        <x:v>Stance 결과</x:v>
      </x:c>
      <x:c r="I14" s="953" t="str">
        <x:v>D19 직접 가치</x:v>
      </x:c>
      <x:c r="J14" s="953" t="str">
        <x:v>Ending 의미</x:v>
      </x:c>
      <x:c r="K14" s="953" t="str">
        <x:v>상태</x:v>
      </x:c>
    </x:row>
    <x:row r="15" ht="36" hidden="0" customHeight="1">
      <x:c r="A15" s="933" t="str">
        <x:v>샘</x:v>
      </x:c>
      <x:c r="B15" s="933" t="str">
        <x:v>「내가 정할 건 배가 갈 수 있느냐까지. 어디로 갈지는 각자 말하게 할게」</x:v>
      </x:c>
      <x:c r="C15" s="933" t="str">
        <x:v>D16~18</x:v>
      </x:c>
      <x:c r="D15" s="933" t="str">
        <x:v>W1 D3+D6 샘 책임 Episode 둘 다 + W2 D9 또는 D13 자발 Deepening + D15 선언/Final</x:v>
      </x:c>
      <x:c r="E15" s="933" t="n">
        <x:v>2</x:v>
      </x:c>
      <x:c r="F15" s="933" t="str">
        <x:v>+2</x:v>
      </x:c>
      <x:c r="G15" s="933" t="str">
        <x:v>강인함 XP +6</x:v>
      </x:c>
      <x:c r="H15" s="933" t="str">
        <x:v>LEAVE 유지</x:v>
      </x:c>
      <x:c r="I15" s="933" t="str">
        <x:v>Jay 강인함 성장 + 샘 생존/함교 Primary 유지</x:v>
      </x:c>
      <x:c r="J15" s="933" t="str">
        <x:v>True/Hidden 모두 공동체 선택을 강요하지 않는 선장</x:v>
      </x:c>
      <x:c r="K15" s="933" t="str">
        <x:v>TEMP 확정 후보</x:v>
      </x:c>
    </x:row>
    <x:row r="16" ht="36" hidden="0" customHeight="1">
      <x:c r="A16" s="933" t="str">
        <x:v>지나</x:v>
      </x:c>
      <x:c r="B16" s="933" t="str">
        <x:v>「찬성은 못 해. 그래도 네 선택을 막진 않을게」 — 답을 대신 내리던 관계에서 함께 계산하는 동료로</x:v>
      </x:c>
      <x:c r="C16" s="933" t="str">
        <x:v>D17</x:v>
      </x:c>
      <x:c r="D16" s="933" t="str">
        <x:v>W1 D2 시간차+업무 신뢰 + D4 항해 때 제이 대화 + Focus A=지나 + W2 D10 미라 직접 수색·발견 + D12 과거 심화 + Final</x:v>
      </x:c>
      <x:c r="E16" s="933" t="n">
        <x:v>2</x:v>
      </x:c>
      <x:c r="F16" s="933" t="str">
        <x:v>+2</x:v>
      </x:c>
      <x:c r="G16" s="933" t="str">
        <x:v>교감 XP +6</x:v>
      </x:c>
      <x:c r="H16" s="933" t="str">
        <x:v>STAY → LEAVE 또는 STAY (최종 계산 선택)</x:v>
      </x:c>
      <x:c r="I16" s="933" t="str">
        <x:v>Jay 교감 성장 / 지나 거주구역 Primary 유지</x:v>
      </x:c>
      <x:c r="J16" s="933" t="str">
        <x:v>True의 강한 반대 해소. 핵심은 과거 친구 회복이 아니라 현재의 제이를 동료로 신뢰하는 것. LEAVE까지는 강제하지 않음.</x:v>
      </x:c>
      <x:c r="K16" s="933" t="str">
        <x:v>거의 확정</x:v>
      </x:c>
    </x:row>
    <x:row r="17" ht="48" hidden="0" customHeight="1">
      <x:c r="A17" s="933" t="str">
        <x:v>페이</x:v>
      </x:c>
      <x:c r="B17" s="933" t="str">
        <x:v>「한 시간만큼은, 살아 있었어」 — 함교 방송 공연</x:v>
      </x:c>
      <x:c r="C17" s="933" t="str">
        <x:v>D18</x:v>
      </x:c>
      <x:c r="D17" s="933" t="str">
        <x:v>W1 D2 장비정리 + D4 음악꿈 + Focus A=페이 + W2 D9 엔진↔함교 AUDIO_LINK + D13 장비/회선 보존 + 공연</x:v>
      </x:c>
      <x:c r="E17" s="933" t="n">
        <x:v>1</x:v>
      </x:c>
      <x:c r="F17" s="933" t="str">
        <x:v>+3</x:v>
      </x:c>
      <x:c r="G17" s="933" t="str">
        <x:v>기술 XP +6</x:v>
      </x:c>
      <x:c r="H17" s="933" t="str">
        <x:v>Full Route 공연 성공 → LEAVE</x:v>
      </x:c>
      <x:c r="I17" s="933" t="str">
        <x:v>Jay 기술 성장 + Boss 직전 Will 대회복</x:v>
      </x:c>
      <x:c r="J17" s="933" t="str">
        <x:v>함교/엔진이 각각1 이상 남아야만 전자음악 공연 가능. 대체 공연 없음.</x:v>
      </x:c>
      <x:c r="K17" s="933" t="str">
        <x:v>TEMP 확정 후보</x:v>
      </x:c>
    </x:row>
    <x:row r="18" ht="30" hidden="0" customHeight="1">
      <x:c r="A18" s="941" t="str">
        <x:v>벤자민</x:v>
      </x:c>
      <x:c r="B18" s="941" t="str">
        <x:v>D19: 「살아 있는 사람은 지금 고쳐」 / D20: 「그 사람을 기억하는 건 장소에 묶어두는 일이 아니더라」</x:v>
      </x:c>
      <x:c r="C18" s="941" t="str">
        <x:v>D19 Crisis / D20 결</x:v>
      </x:c>
      <x:c r="D18" s="941" t="str">
        <x:v>W1 D1 묘지 + D5 후속 + Focus B=벤자민 + W2 D10 Deepening + D12 Living Ship</x:v>
      </x:c>
      <x:c r="E18" s="941" t="n">
        <x:v>1</x:v>
      </x:c>
      <x:c r="F18" s="941" t="str">
        <x:v>D19: +3</x:v>
      </x:c>
      <x:c r="G18" s="941" t="str">
        <x:v>Full Route면 강인함 XP +6</x:v>
      </x:c>
      <x:c r="H18" s="941" t="str">
        <x:v>D20: STAY→UNDECIDED / Faye 공연까지 경험하면 LEAVE 가능</x:v>
      </x:c>
      <x:c r="I18" s="941" t="str">
        <x:v>D19에 1h 투자해 Will을 대폭 회복하는 위기 속 Final. Benjamin은 그 1h 동안 Specialist 불가.</x:v>
      </x:c>
      <x:c r="J18" s="941" t="str">
        <x:v>D19=절정, D20=약혼자의 기억과 장소를 분리. Hidden에서는 STAY 결론 유지 가능.</x:v>
      </x:c>
      <x:c r="K18" s="941" t="str">
        <x:v>TEMP 확정 후보</x:v>
      </x:c>
    </x:row>
    <x:row r="19" ht="48" hidden="0" customHeight="1">
      <x:c r="A19" s="933" t="str">
        <x:v>보리치</x:v>
      </x:c>
      <x:c r="B19" s="933" t="str">
        <x:v>「그때도 봤다. 이번에는 끝까지 확인했다」</x:v>
      </x:c>
      <x:c r="C19" s="933" t="str">
        <x:v>D18</x:v>
      </x:c>
      <x:c r="D19" s="933" t="str">
        <x:v>W1 D2 기록 + D3 자료대조 + D5 악몽 + Focus A=보리치 + W2 D8 고백 + D12 연구기록 + Final</x:v>
      </x:c>
      <x:c r="E19" s="933" t="n">
        <x:v>1.5</x:v>
      </x:c>
      <x:c r="F19" s="933" t="str">
        <x:v>+2</x:v>
      </x:c>
      <x:c r="G19" s="933" t="str">
        <x:v>기술 XP +6</x:v>
      </x:c>
      <x:c r="H19" s="933" t="str">
        <x:v>LEAVE 유지</x:v>
      </x:c>
      <x:c r="I19" s="933" t="str">
        <x:v>Jay 기술 성장 + 보리치 연구/온실 Primary</x:v>
      </x:c>
      <x:c r="J19" s="933" t="str">
        <x:v>True: 강한 LEAVE 유지. Hidden: 재분석 Variant에서 새 증거를 받아들여도 개인 입장을 강요하지 않음</x:v>
      </x:c>
      <x:c r="K19" s="933" t="str">
        <x:v>TEMP 확정 후보</x:v>
      </x:c>
    </x:row>
    <x:row r="20" ht="36" hidden="0" customHeight="1">
      <x:c r="A20" s="933" t="str">
        <x:v>디야</x:v>
      </x:c>
      <x:c r="B20" s="933" t="str">
        <x:v>True/Leave-side: 「아이들까지 위험에 묶어두는 게 어른의 답은 아니지」 / Hidden/Stay-side: 「이번에는 폐허 말고 살아갈 곳을 남기자」</x:v>
      </x:c>
      <x:c r="C20" s="933" t="str">
        <x:v>D18</x:v>
      </x:c>
      <x:c r="D20" s="933" t="str">
        <x:v>W1 D2 생활공간 + D5 뜨개질 + Focus B=디야 + W2 D11 A/B + D12 시험재배 + Final</x:v>
      </x:c>
      <x:c r="E20" s="933" t="n">
        <x:v>1.5</x:v>
      </x:c>
      <x:c r="F20" s="933" t="str">
        <x:v>+2</x:v>
      </x:c>
      <x:c r="G20" s="933" t="str">
        <x:v>교감 XP +6</x:v>
      </x:c>
      <x:c r="H20" s="933" t="str">
        <x:v>True/출항측: STAY→LEAVE / Hidden/정착측: STAY 유지</x:v>
      </x:c>
      <x:c r="I20" s="933" t="str">
        <x:v>Jay 교감 성장 + 디야 거주 Primary/온실 Support</x:v>
      </x:c>
      <x:c r="J20" s="933" t="str">
        <x:v>STAY/LEAVE 모두 '기성세대의 실패를 다음 세대에 반복하지 않는다'는 동일 가치에서 갈라짐.</x:v>
      </x:c>
      <x:c r="K20" s="933" t="str">
        <x:v>거의 확정</x:v>
      </x:c>
    </x:row>
    <x:row r="21" ht="15" hidden="0" customHeight="1">
      <x:c r="A21" s="933"/>
      <x:c r="B21" s="933"/>
      <x:c r="C21" s="933"/>
      <x:c r="D21" s="933"/>
      <x:c r="E21" s="933"/>
      <x:c r="F21" s="933"/>
      <x:c r="G21" s="933"/>
      <x:c r="H21" s="933"/>
      <x:c r="I21" s="933"/>
      <x:c r="J21" s="933"/>
      <x:c r="K21" s="933"/>
    </x:row>
    <x:row r="22" ht="26" hidden="0" customHeight="1">
      <x:c r="A22" s="950" t="str">
        <x:v>3. Stance 변화의 정확한 의미</x:v>
      </x:c>
      <x:c r="B22" s="950"/>
      <x:c r="C22" s="950"/>
      <x:c r="D22" s="950"/>
      <x:c r="E22" s="950"/>
      <x:c r="F22" s="950"/>
      <x:c r="G22" s="950"/>
      <x:c r="H22" s="950"/>
      <x:c r="I22" s="950"/>
      <x:c r="J22" s="950"/>
      <x:c r="K22" s="950"/>
      <x:c r="L22" s="363"/>
      <x:c r="M22" s="363"/>
      <x:c r="N22" s="363"/>
      <x:c r="O22" s="363"/>
      <x:c r="P22" s="363"/>
    </x:row>
    <x:row r="23" ht="30" hidden="0" customHeight="1">
      <x:c r="A23" s="953" t="str">
        <x:v>인물</x:v>
      </x:c>
      <x:c r="B23" s="953" t="str">
        <x:v>초기 방향</x:v>
      </x:c>
      <x:c r="C23" s="953" t="str">
        <x:v>Final 전제</x:v>
      </x:c>
      <x:c r="D23" s="953" t="str">
        <x:v>Final 결과</x:v>
      </x:c>
      <x:c r="E23" s="953" t="str">
        <x:v>절대 하지 않는 것</x:v>
      </x:c>
      <x:c r="F23" s="953" t="str">
        <x:v>이유</x:v>
      </x:c>
      <x:c r="G23" s="953"/>
      <x:c r="H23" s="953"/>
      <x:c r="I23" s="953"/>
      <x:c r="J23" s="953"/>
      <x:c r="K23" s="953"/>
    </x:row>
    <x:row r="24" ht="48" hidden="0" customHeight="1">
      <x:c r="A24" s="933" t="str">
        <x:v>샘</x:v>
      </x:c>
      <x:c r="B24" s="933" t="str">
        <x:v>강한 LEAVE</x:v>
      </x:c>
      <x:c r="C24" s="933" t="str">
        <x:v>책임 회피/붕괴를 넘김</x:v>
      </x:c>
      <x:c r="D24" s="933" t="str">
        <x:v>LEAVE 유지</x:v>
      </x:c>
      <x:c r="E24" s="933" t="str">
        <x:v>STAY로 설득</x:v>
      </x:c>
      <x:c r="F24" s="933" t="str">
        <x:v>떠나고 싶은 이유는 충분히 강하며 성장점은 의견 변경이 아니라 타인의 선택 존중</x:v>
      </x:c>
      <x:c r="G24" s="933"/>
      <x:c r="H24" s="933"/>
      <x:c r="I24" s="933"/>
      <x:c r="J24" s="933"/>
      <x:c r="K24" s="933"/>
    </x:row>
    <x:row r="25" ht="36" hidden="0" customHeight="1">
      <x:c r="A25" s="933" t="str">
        <x:v>보리치</x:v>
      </x:c>
      <x:c r="B25" s="933" t="str">
        <x:v>강한 LEAVE</x:v>
      </x:c>
      <x:c r="C25" s="933" t="str">
        <x:v>과거 사고와 현재 폭풍을 끝까지 분석</x:v>
      </x:c>
      <x:c r="D25" s="933" t="str">
        <x:v>LEAVE 유지</x:v>
      </x:c>
      <x:c r="E25" s="933" t="str">
        <x:v>Hidden에서 억지 STAY 전환</x:v>
      </x:c>
      <x:c r="F25" s="933" t="str">
        <x:v>재분석은 증거를 고치는 성장이지 개인 욕구 삭제가 아님</x:v>
      </x:c>
      <x:c r="G25" s="933"/>
      <x:c r="H25" s="933"/>
      <x:c r="I25" s="933"/>
      <x:c r="J25" s="933"/>
      <x:c r="K25" s="933"/>
    </x:row>
    <x:row r="26" ht="36" hidden="0" customHeight="1">
      <x:c r="A26" s="933" t="str">
        <x:v>지나</x:v>
      </x:c>
      <x:c r="B26" s="933" t="str">
        <x:v>강한 STAY</x:v>
      </x:c>
      <x:c r="C26" s="933" t="str">
        <x:v>Jay가 실종된 Mira를 직접 찾아내고 현재의 Jay를 신뢰 + 둘이 조건을 함께 계산</x:v>
      </x:c>
      <x:c r="D26" s="933" t="str">
        <x:v>LEAVE 또는 STAY</x:v>
      </x:c>
      <x:c r="E26" s="933" t="str">
        <x:v>과거 관계 때문에 자동으로 한쪽 입장 고정</x:v>
      </x:c>
      <x:c r="F26" s="933" t="str">
        <x:v>성장점은 '답을 맡기던 관계'에서 '함께 계산하는 동료'로 바뀌는 것</x:v>
      </x:c>
      <x:c r="G26" s="933"/>
      <x:c r="H26" s="933"/>
      <x:c r="I26" s="933"/>
      <x:c r="J26" s="933"/>
      <x:c r="K26" s="933"/>
    </x:row>
    <x:row r="27" ht="24" hidden="0" customHeight="1">
      <x:c r="A27" s="933" t="str">
        <x:v>디야</x:v>
      </x:c>
      <x:c r="B27" s="933" t="str">
        <x:v>강한 STAY</x:v>
      </x:c>
      <x:c r="C27" s="933" t="str">
        <x:v>아이들의 안전을 장소보다 우선(True/출항측)</x:v>
      </x:c>
      <x:c r="D27" s="933" t="str">
        <x:v>LEAVE</x:v>
      </x:c>
      <x:c r="E27" s="933" t="str">
        <x:v>집을 사랑한다는 이유만으로 STAY 강제</x:v>
      </x:c>
      <x:c r="F27" s="933" t="str">
        <x:v>기성세대가 남긴 실패를 아이들에게 반복하지 않으려는 선택</x:v>
      </x:c>
      <x:c r="G27" s="933"/>
      <x:c r="H27" s="933"/>
      <x:c r="I27" s="933"/>
      <x:c r="J27" s="933"/>
      <x:c r="K27" s="933"/>
    </x:row>
    <x:row r="28" ht="30" hidden="0" customHeight="1">
      <x:c r="A28" s="941" t="str">
        <x:v>디야</x:v>
      </x:c>
      <x:c r="B28" s="941" t="str">
        <x:v>강한 STAY</x:v>
      </x:c>
      <x:c r="C28" s="941" t="str">
        <x:v>다음 세대가 실제로 살 기반을 만들 수 있음(Hidden/정착측)</x:v>
      </x:c>
      <x:c r="D28" s="941" t="str">
        <x:v>STAY 유지</x:v>
      </x:c>
      <x:c r="E28" s="941" t="str">
        <x:v>장소 집착으로 단순화</x:v>
      </x:c>
      <x:c r="F28" s="941" t="str">
        <x:v>정착은 폐허를 물려주지 않기 위해 새 기반을 직접 만드는 선택</x:v>
      </x:c>
      <x:c r="G28" s="941"/>
      <x:c r="H28" s="941"/>
      <x:c r="I28" s="941"/>
      <x:c r="J28" s="941"/>
      <x:c r="K28" s="941"/>
    </x:row>
    <x:row r="29" ht="30" hidden="0" customHeight="1">
      <x:c r="A29" s="941" t="str">
        <x:v>페이</x:v>
      </x:c>
      <x:c r="B29" s="941" t="str">
        <x:v>Stay-side / 유동</x:v>
      </x:c>
      <x:c r="C29" s="941" t="str">
        <x:v>음악 Route 완주 + 공연 성공</x:v>
      </x:c>
      <x:c r="D29" s="941" t="str">
        <x:v>LEAVE</x:v>
      </x:c>
      <x:c r="E29" s="941" t="str">
        <x:v>Affinity만으로 자동 이동</x:v>
      </x:c>
      <x:c r="F29" s="941" t="str">
        <x:v>배도 사람이 살아갈 장소가 될 수 있음을 직접 경험</x:v>
      </x:c>
      <x:c r="G29" s="941"/>
      <x:c r="H29" s="941"/>
      <x:c r="I29" s="941"/>
      <x:c r="J29" s="941"/>
      <x:c r="K29" s="941"/>
    </x:row>
    <x:row r="30" ht="36" hidden="0" customHeight="1">
      <x:c r="A30" s="933" t="str">
        <x:v>벤자민</x:v>
      </x:c>
      <x:c r="B30" s="933" t="str">
        <x:v>Stay-side</x:v>
      </x:c>
      <x:c r="C30" s="933" t="str">
        <x:v>Living Ship milestone + 약혼자 기억/장소 분리</x:v>
      </x:c>
      <x:c r="D30" s="933" t="str">
        <x:v>UNDECIDED</x:v>
      </x:c>
      <x:c r="E30" s="933" t="str">
        <x:v>단일 쉬운 이벤트로 즉시 LEAVE</x:v>
      </x:c>
      <x:c r="F30" s="933" t="str">
        <x:v>약혼자의 무덤을 두고 간다는 감정장벽이 크므로 한 단계만</x:v>
      </x:c>
      <x:c r="G30" s="933"/>
      <x:c r="H30" s="933"/>
      <x:c r="I30" s="933"/>
      <x:c r="J30" s="933"/>
      <x:c r="K30" s="933"/>
    </x:row>
    <x:row r="31" ht="30" hidden="0" customHeight="1">
      <x:c r="A31" s="941" t="str">
        <x:v>벤자민</x:v>
      </x:c>
      <x:c r="B31" s="941" t="str">
        <x:v>UNDECIDED</x:v>
      </x:c>
      <x:c r="C31" s="941" t="str">
        <x:v>UNDECIDED + 위 조건 + 추가 미래 근거</x:v>
      </x:c>
      <x:c r="D31" s="941" t="str">
        <x:v>LEAVE</x:v>
      </x:c>
      <x:c r="E31" s="941" t="str">
        <x:v>약혼자의 기억 자체를 부정</x:v>
      </x:c>
      <x:c r="F31" s="941" t="str">
        <x:v>장소를 떠나는 것과 약혼자를 잊는 것은 다르다는 마지막 근거가 필요</x:v>
      </x:c>
      <x:c r="G31" s="941"/>
      <x:c r="H31" s="941"/>
      <x:c r="I31" s="941"/>
      <x:c r="J31" s="941"/>
      <x:c r="K31" s="941"/>
    </x:row>
    <x:row r="32" ht="15" hidden="0" customHeight="1">
      <x:c r="A32" s="933"/>
      <x:c r="B32" s="933"/>
      <x:c r="C32" s="933"/>
      <x:c r="D32" s="933"/>
      <x:c r="E32" s="933"/>
      <x:c r="F32" s="933"/>
      <x:c r="G32" s="933"/>
      <x:c r="H32" s="933"/>
      <x:c r="I32" s="933"/>
      <x:c r="J32" s="933"/>
      <x:c r="K32" s="933"/>
    </x:row>
    <x:row r="33" ht="26" hidden="0" customHeight="1">
      <x:c r="A33" s="950" t="str">
        <x:v>4. Route Mastery Stat 배치 — 2 / 2 / 2</x:v>
      </x:c>
      <x:c r="B33" s="950"/>
      <x:c r="C33" s="950"/>
      <x:c r="D33" s="950"/>
      <x:c r="E33" s="950"/>
      <x:c r="F33" s="950"/>
      <x:c r="G33" s="950"/>
      <x:c r="H33" s="950"/>
      <x:c r="I33" s="950"/>
      <x:c r="J33" s="950"/>
      <x:c r="K33" s="950"/>
      <x:c r="L33" s="363"/>
      <x:c r="M33" s="363"/>
      <x:c r="N33" s="363"/>
      <x:c r="O33" s="363"/>
      <x:c r="P33" s="363"/>
    </x:row>
    <x:row r="34" ht="15" hidden="0" customHeight="1">
      <x:c r="A34" s="936" t="str">
        <x:v>Stat</x:v>
      </x:c>
      <x:c r="B34" s="936" t="str">
        <x:v>캐릭터</x:v>
      </x:c>
      <x:c r="C34" s="936" t="str">
        <x:v>왜 이 Stat인가</x:v>
      </x:c>
      <x:c r="D34" s="936" t="str">
        <x:v>D19에서 생기는 변화</x:v>
      </x:c>
      <x:c r="E34" s="933"/>
      <x:c r="F34" s="933"/>
      <x:c r="G34" s="933"/>
      <x:c r="H34" s="936" t="str">
        <x:v>Stat</x:v>
      </x:c>
      <x:c r="I34" s="936" t="str">
        <x:v>Full Route 수</x:v>
      </x:c>
      <x:c r="J34" s="936" t="str">
        <x:v>Max XP</x:v>
      </x:c>
      <x:c r="K34" s="933"/>
    </x:row>
    <x:row r="35" ht="24" hidden="0" customHeight="1">
      <x:c r="A35" s="933" t="str">
        <x:v>강인함</x:v>
      </x:c>
      <x:c r="B35" s="933" t="str">
        <x:v>샘</x:v>
      </x:c>
      <x:c r="C35" s="933" t="str">
        <x:v>결정의 무게를 견디는 법을 Jay가 함께 배움</x:v>
      </x:c>
      <x:c r="D35" s="933" t="str">
        <x:v>산소/거주 위험 돌파, Stat9 특수의 Will 절감</x:v>
      </x:c>
      <x:c r="E35" s="933"/>
      <x:c r="F35" s="933"/>
      <x:c r="G35" s="933"/>
      <x:c r="H35" s="933" t="str">
        <x:v>강인함</x:v>
      </x:c>
      <x:c r="I35" s="933" t="n">
        <x:v>2</x:v>
      </x:c>
      <x:c r="J35" s="933" t="n">
        <x:v>12</x:v>
      </x:c>
      <x:c r="K35" s="933"/>
    </x:row>
    <x:row r="36" ht="36" hidden="0" customHeight="1">
      <x:c r="A36" s="933" t="str">
        <x:v>강인함</x:v>
      </x:c>
      <x:c r="B36" s="933" t="str">
        <x:v>벤자민</x:v>
      </x:c>
      <x:c r="C36" s="933" t="str">
        <x:v>슬픔을 지우지 않고 살아 있는 사람에게 다시 손을 뻗는 힘</x:v>
      </x:c>
      <x:c r="D36" s="933" t="str">
        <x:v>Jay의 신체/정신적 위기 대응 강화</x:v>
      </x:c>
      <x:c r="E36" s="933"/>
      <x:c r="F36" s="933"/>
      <x:c r="G36" s="933"/>
      <x:c r="H36" s="933" t="str">
        <x:v>교감</x:v>
      </x:c>
      <x:c r="I36" s="933" t="n">
        <x:v>2</x:v>
      </x:c>
      <x:c r="J36" s="933" t="n">
        <x:v>12</x:v>
      </x:c>
      <x:c r="K36" s="933"/>
    </x:row>
    <x:row r="37" ht="24" hidden="0" customHeight="1">
      <x:c r="A37" s="933" t="str">
        <x:v>교감</x:v>
      </x:c>
      <x:c r="B37" s="933" t="str">
        <x:v>지나</x:v>
      </x:c>
      <x:c r="C37" s="933" t="str">
        <x:v>항해 중 의지하던 사람과 현재의 동료 관계를 다시 연결</x:v>
      </x:c>
      <x:c r="D37" s="933" t="str">
        <x:v>함교/거주 Crisis 시간 압축</x:v>
      </x:c>
      <x:c r="E37" s="933"/>
      <x:c r="F37" s="933"/>
      <x:c r="G37" s="933"/>
      <x:c r="H37" s="933" t="str">
        <x:v>기술</x:v>
      </x:c>
      <x:c r="I37" s="933" t="n">
        <x:v>2</x:v>
      </x:c>
      <x:c r="J37" s="933" t="n">
        <x:v>12</x:v>
      </x:c>
      <x:c r="K37" s="933"/>
    </x:row>
    <x:row r="38" ht="24" hidden="0" customHeight="1">
      <x:c r="A38" s="933" t="str">
        <x:v>교감</x:v>
      </x:c>
      <x:c r="B38" s="933" t="str">
        <x:v>디야</x:v>
      </x:c>
      <x:c r="C38" s="933" t="str">
        <x:v>아이·다음 세대·공동체의 선택을 듣는 태도</x:v>
      </x:c>
      <x:c r="D38" s="933" t="str">
        <x:v>함교/거주 Crisis 시간 압축</x:v>
      </x:c>
      <x:c r="E38" s="933"/>
      <x:c r="F38" s="933"/>
      <x:c r="G38" s="933"/>
      <x:c r="H38" s="933" t="str">
        <x:v>합계</x:v>
      </x:c>
      <x:c r="I38" s="933" t="n">
        <x:v>6</x:v>
      </x:c>
      <x:c r="J38" s="933" t="n">
        <x:v>36</x:v>
      </x:c>
      <x:c r="K38" s="933"/>
    </x:row>
    <x:row r="39" ht="24" hidden="0" customHeight="1">
      <x:c r="A39" s="933" t="str">
        <x:v>기술</x:v>
      </x:c>
      <x:c r="B39" s="933" t="str">
        <x:v>보리치</x:v>
      </x:c>
      <x:c r="C39" s="933" t="str">
        <x:v>관측→가설→검증을 끝까지 수행</x:v>
      </x:c>
      <x:c r="D39" s="933" t="str">
        <x:v>연구/기술 Crisis, Freezer 부족 Will 절감</x:v>
      </x:c>
      <x:c r="E39" s="933"/>
      <x:c r="F39" s="933"/>
      <x:c r="G39" s="933"/>
      <x:c r="H39" s="933"/>
      <x:c r="I39" s="933"/>
      <x:c r="J39" s="933"/>
      <x:c r="K39" s="933"/>
    </x:row>
    <x:row r="40" ht="36" hidden="0" customHeight="1">
      <x:c r="A40" s="933" t="str">
        <x:v>기술</x:v>
      </x:c>
      <x:c r="B40" s="933" t="str">
        <x:v>페이</x:v>
      </x:c>
      <x:c r="C40" s="933" t="str">
        <x:v>기술을 '고치는 일'에서 '삶을 만드는 도구'까지 확장</x:v>
      </x:c>
      <x:c r="D40" s="933" t="str">
        <x:v>Freezer/Engine 등 Boss 기술 체크 강화</x:v>
      </x:c>
      <x:c r="E40" s="933"/>
      <x:c r="F40" s="933"/>
      <x:c r="G40" s="933"/>
      <x:c r="H40" s="933"/>
      <x:c r="I40" s="933"/>
      <x:c r="J40" s="933"/>
      <x:c r="K40" s="933"/>
    </x:row>
    <x:row r="41" ht="15" hidden="0" customHeight="1">
      <x:c r="A41" s="933"/>
      <x:c r="B41" s="933"/>
      <x:c r="C41" s="933"/>
      <x:c r="D41" s="933"/>
      <x:c r="E41" s="933"/>
      <x:c r="F41" s="933"/>
      <x:c r="G41" s="933"/>
      <x:c r="H41" s="933"/>
      <x:c r="I41" s="933"/>
      <x:c r="J41" s="933"/>
      <x:c r="K41" s="933"/>
    </x:row>
    <x:row r="42" ht="26" hidden="0" customHeight="1">
      <x:c r="A42" s="950" t="str">
        <x:v>5. True / Hidden 역산 — 어떤 Final이 실제로 필요한가</x:v>
      </x:c>
      <x:c r="B42" s="950"/>
      <x:c r="C42" s="950"/>
      <x:c r="D42" s="950"/>
      <x:c r="E42" s="950"/>
      <x:c r="F42" s="950"/>
      <x:c r="G42" s="950"/>
      <x:c r="H42" s="950"/>
      <x:c r="I42" s="950"/>
      <x:c r="J42" s="950"/>
      <x:c r="K42" s="950"/>
      <x:c r="L42" s="363"/>
      <x:c r="M42" s="363"/>
      <x:c r="N42" s="363"/>
      <x:c r="O42" s="363"/>
      <x:c r="P42" s="363"/>
    </x:row>
    <x:row r="43" ht="30" hidden="0" customHeight="1">
      <x:c r="A43" s="953" t="str">
        <x:v>Ending</x:v>
      </x:c>
      <x:c r="B43" s="953" t="str">
        <x:v>Final 관련 필수/권장</x:v>
      </x:c>
      <x:c r="C43" s="953" t="str">
        <x:v>왜</x:v>
      </x:c>
      <x:c r="D43" s="953" t="str">
        <x:v>D19 전 보상 압력</x:v>
      </x:c>
      <x:c r="E43" s="953" t="str">
        <x:v>상태</x:v>
      </x:c>
      <x:c r="F43" s="953"/>
      <x:c r="G43" s="953"/>
      <x:c r="H43" s="953"/>
      <x:c r="I43" s="953"/>
      <x:c r="J43" s="953"/>
      <x:c r="K43" s="953"/>
    </x:row>
    <x:row r="44" ht="30" hidden="0" customHeight="1">
      <x:c r="A44" s="941" t="str">
        <x:v>True</x:v>
      </x:c>
      <x:c r="B44" s="941" t="str">
        <x:v>지나 출항측 Final/대화 + 디야 출항측 Final/대화 + 페이 LEAVE + 벤자민 최소 UNDECIDED</x:v>
      </x:c>
      <x:c r="C44" s="941" t="str">
        <x:v>Sam/Borichi/Faye는 LEAVE. Jina/Diya/Benjamin도 LEAVE 또는 UNDECIDED로 STAY 밖에 있어야 TrueStanceSet 성립.</x:v>
      </x:c>
      <x:c r="D44" s="941" t="str">
        <x:v>Final을 여러 개 밀어야 해서 W1~2 선행투자와 D16~18 시간이 모두 필요</x:v>
      </x:c>
      <x:c r="E44" s="941" t="str">
        <x:v>핵심</x:v>
      </x:c>
      <x:c r="F44" s="941"/>
      <x:c r="G44" s="941"/>
      <x:c r="H44" s="941"/>
      <x:c r="I44" s="941"/>
      <x:c r="J44" s="941"/>
      <x:c r="K44" s="941"/>
    </x:row>
    <x:row r="45" ht="36" hidden="0" customHeight="1">
      <x:c r="A45" s="933" t="str">
        <x:v>True 권장</x:v>
      </x:c>
      <x:c r="B45" s="933" t="str">
        <x:v>샘/보리치 Full Route는 필수 stance가 아니지만 Mastery/NPC 생존 때문에 강력</x:v>
      </x:c>
      <x:c r="C45" s="933" t="str">
        <x:v>D19 무피해 또는 최소피해 확률 상승</x:v>
      </x:c>
      <x:c r="D45" s="933" t="str">
        <x:v>스탯+NPC 병렬처리가 True의 실제 난이도 완충</x:v>
      </x:c>
      <x:c r="E45" s="933" t="str">
        <x:v>추천</x:v>
      </x:c>
      <x:c r="F45" s="933"/>
      <x:c r="G45" s="933"/>
      <x:c r="H45" s="933"/>
      <x:c r="I45" s="933"/>
      <x:c r="J45" s="933"/>
      <x:c r="K45" s="933"/>
    </x:row>
    <x:row r="46" ht="36" hidden="0" customHeight="1">
      <x:c r="A46" s="933" t="str">
        <x:v>Hidden</x:v>
      </x:c>
      <x:c r="B46" s="933" t="str">
        <x:v>디야 Hidden Variant 권장 + 보리치 재분석 완료 + Faye/Benjamin 중 최소1명 STAY</x:v>
      </x:c>
      <x:c r="C46" s="933" t="str">
        <x:v>정착 이유를 사람/증거/농업 가능성으로 쌓음</x:v>
      </x:c>
      <x:c r="D46" s="933" t="str">
        <x:v>모든 Departure Final을 다 보면 오히려 Hidden이 막힐 수 있음</x:v>
      </x:c>
      <x:c r="E46" s="933" t="str">
        <x:v>핵심</x:v>
      </x:c>
      <x:c r="F46" s="933"/>
      <x:c r="G46" s="933"/>
      <x:c r="H46" s="933"/>
      <x:c r="I46" s="933"/>
      <x:c r="J46" s="933"/>
      <x:c r="K46" s="933"/>
    </x:row>
    <x:row r="47" ht="30" hidden="0" customHeight="1">
      <x:c r="A47" s="941" t="str">
        <x:v>Normal</x:v>
      </x:c>
      <x:c r="B47" s="941" t="str">
        <x:v>Final 일부만 완료해도 가능</x:v>
      </x:c>
      <x:c r="C47" s="941" t="str">
        <x:v>Normal은 완벽한 사람/배 상태가 아니라 손상을 감수하고 결론에 도달</x:v>
      </x:c>
      <x:c r="D47" s="941" t="str">
        <x:v>Will 보상이 없으면 D19 Tick을 더 감수하는 쪽으로 자연스럽게 흐름</x:v>
      </x:c>
      <x:c r="E47" s="941" t="str">
        <x:v>기준</x:v>
      </x:c>
      <x:c r="F47" s="941"/>
      <x:c r="G47" s="941"/>
      <x:c r="H47" s="941"/>
      <x:c r="I47" s="941"/>
      <x:c r="J47" s="941"/>
      <x:c r="K47" s="941"/>
    </x:row>
    <x:row r="48" ht="15" hidden="0" customHeight="1">
      <x:c r="A48" s="933"/>
      <x:c r="B48" s="933"/>
      <x:c r="C48" s="933"/>
      <x:c r="D48" s="933"/>
      <x:c r="E48" s="933"/>
      <x:c r="F48" s="933"/>
      <x:c r="G48" s="933"/>
      <x:c r="H48" s="933"/>
      <x:c r="I48" s="933"/>
      <x:c r="J48" s="933"/>
      <x:c r="K48" s="933"/>
    </x:row>
    <x:row r="49" ht="26" hidden="0" customHeight="1">
      <x:c r="A49" s="950" t="str">
        <x:v>6. D16~18 Final 시간경쟁 — 보상을 전부 공짜로 먹을 수 있는가</x:v>
      </x:c>
      <x:c r="B49" s="950"/>
      <x:c r="C49" s="950"/>
      <x:c r="D49" s="950"/>
      <x:c r="E49" s="950"/>
      <x:c r="F49" s="950"/>
      <x:c r="G49" s="950"/>
      <x:c r="H49" s="950"/>
      <x:c r="I49" s="950"/>
      <x:c r="J49" s="950"/>
      <x:c r="K49" s="950"/>
      <x:c r="L49" s="363"/>
      <x:c r="M49" s="363"/>
      <x:c r="N49" s="363"/>
      <x:c r="O49" s="363"/>
      <x:c r="P49" s="363"/>
    </x:row>
    <x:row r="50" ht="30" hidden="0" customHeight="1">
      <x:c r="A50" s="941" t="str">
        <x:v>Final</x:v>
      </x:c>
      <x:c r="B50" s="941" t="str">
        <x:v>시간</x:v>
      </x:c>
      <x:c r="C50" s="941" t="str">
        <x:v>Will</x:v>
      </x:c>
      <x:c r="D50" s="941" t="str">
        <x:v>Mastery</x:v>
      </x:c>
      <x:c r="E50" s="941" t="str">
        <x:v>고정/조건</x:v>
      </x:c>
      <x:c r="F50" s="941" t="str">
        <x:v>경쟁</x:v>
      </x:c>
      <x:c r="G50" s="941"/>
      <x:c r="H50" s="941" t="str">
        <x:v>W1 Reverse Audit 결과: 별도 Mastery 토큰을 만들지 않고 기존 D6/D7 Character 슬롯을 Focus Anchor로 사용한다. Focus A(지나/페이/보리치 중1) + Focus B(벤자민/디야 중1) + 반복투자형 샘으로 **실전 Mastery 최대 3개**가 된다. Final 접근은 Anchor가 없어도 가능하므로 엔딩 Route 소프트락은 만들지 않는다.</x:v>
      </x:c>
      <x:c r="I50" s="941"/>
      <x:c r="J50" s="941"/>
      <x:c r="K50" s="941"/>
      <x:c r="L50" s="369"/>
      <x:c r="M50" s="369"/>
      <x:c r="N50" s="369"/>
      <x:c r="O50" s="369"/>
      <x:c r="P50" s="369"/>
    </x:row>
    <x:row r="51" ht="30" hidden="0" customHeight="1">
      <x:c r="A51" s="941" t="str">
        <x:v>샘</x:v>
      </x:c>
      <x:c r="B51" s="941" t="n">
        <x:v>2</x:v>
      </x:c>
      <x:c r="C51" s="941" t="str">
        <x:v>+2</x:v>
      </x:c>
      <x:c r="D51" s="941" t="str">
        <x:v>강인함+1Lv</x:v>
      </x:c>
      <x:c r="E51" s="941" t="str">
        <x:v>D16~18 조건부</x:v>
      </x:c>
      <x:c r="F51" s="941" t="str">
        <x:v>시설 수리/다른 Character</x:v>
      </x:c>
      <x:c r="G51" s="941"/>
      <x:c r="H51" s="941"/>
      <x:c r="I51" s="941"/>
      <x:c r="J51" s="941"/>
      <x:c r="K51" s="941"/>
      <x:c r="L51" s="369"/>
      <x:c r="M51" s="369"/>
      <x:c r="N51" s="369"/>
      <x:c r="O51" s="369"/>
      <x:c r="P51" s="369"/>
    </x:row>
    <x:row r="52" ht="15" hidden="0" customHeight="1">
      <x:c r="A52" s="933" t="str">
        <x:v>지나</x:v>
      </x:c>
      <x:c r="B52" s="933" t="n">
        <x:v>2</x:v>
      </x:c>
      <x:c r="C52" s="933" t="str">
        <x:v>+2</x:v>
      </x:c>
      <x:c r="D52" s="933" t="str">
        <x:v>교감+1Lv</x:v>
      </x:c>
      <x:c r="E52" s="933" t="str">
        <x:v>D17 조건부</x:v>
      </x:c>
      <x:c r="F52" s="933" t="str">
        <x:v>D17 Wave + 수리</x:v>
      </x:c>
      <x:c r="G52" s="933"/>
      <x:c r="H52" s="933"/>
      <x:c r="I52" s="933"/>
      <x:c r="J52" s="933"/>
      <x:c r="K52" s="933"/>
      <x:c r="L52" s="369"/>
      <x:c r="M52" s="369"/>
      <x:c r="N52" s="369"/>
      <x:c r="O52" s="369"/>
      <x:c r="P52" s="369"/>
    </x:row>
    <x:row r="53" ht="24" hidden="0" customHeight="1">
      <x:c r="A53" s="933" t="str">
        <x:v>페이</x:v>
      </x:c>
      <x:c r="B53" s="933" t="n">
        <x:v>1</x:v>
      </x:c>
      <x:c r="C53" s="933" t="str">
        <x:v>+3</x:v>
      </x:c>
      <x:c r="D53" s="933" t="str">
        <x:v>기술+1Lv</x:v>
      </x:c>
      <x:c r="E53" s="933" t="str">
        <x:v>D18</x:v>
      </x:c>
      <x:c r="F53" s="933" t="str">
        <x:v>재점검/디야/벤자민/수리</x:v>
      </x:c>
      <x:c r="G53" s="933"/>
      <x:c r="H53" s="933"/>
      <x:c r="I53" s="933"/>
      <x:c r="J53" s="933"/>
      <x:c r="K53" s="933"/>
      <x:c r="L53" s="369"/>
      <x:c r="M53" s="369"/>
      <x:c r="N53" s="369"/>
      <x:c r="O53" s="369"/>
      <x:c r="P53" s="369"/>
    </x:row>
    <x:row r="54" ht="15" hidden="0" customHeight="1">
      <x:c r="A54" s="933" t="str">
        <x:v>벤자민</x:v>
      </x:c>
      <x:c r="B54" s="933" t="n">
        <x:v>2</x:v>
      </x:c>
      <x:c r="C54" s="933" t="str">
        <x:v>+2</x:v>
      </x:c>
      <x:c r="D54" s="933" t="str">
        <x:v>강인함+1Lv</x:v>
      </x:c>
      <x:c r="E54" s="933" t="str">
        <x:v>D18 권장</x:v>
      </x:c>
      <x:c r="F54" s="933" t="str">
        <x:v>페이/보리치/디야/수리</x:v>
      </x:c>
      <x:c r="G54" s="933"/>
      <x:c r="H54" s="933"/>
      <x:c r="I54" s="933"/>
      <x:c r="J54" s="933"/>
      <x:c r="K54" s="933"/>
      <x:c r="L54" s="369"/>
      <x:c r="M54" s="369"/>
      <x:c r="N54" s="369"/>
      <x:c r="O54" s="369"/>
      <x:c r="P54" s="369"/>
    </x:row>
    <x:row r="55" ht="24" hidden="0" customHeight="1">
      <x:c r="A55" s="933" t="str">
        <x:v>보리치</x:v>
      </x:c>
      <x:c r="B55" s="933" t="n">
        <x:v>1.5</x:v>
      </x:c>
      <x:c r="C55" s="933" t="str">
        <x:v>+2</x:v>
      </x:c>
      <x:c r="D55" s="933" t="str">
        <x:v>기술+1Lv</x:v>
      </x:c>
      <x:c r="E55" s="933" t="str">
        <x:v>D18 권장</x:v>
      </x:c>
      <x:c r="F55" s="933" t="str">
        <x:v>재점검 시 분석3h 추가 가능</x:v>
      </x:c>
      <x:c r="G55" s="933"/>
      <x:c r="H55" s="933"/>
      <x:c r="I55" s="933"/>
      <x:c r="J55" s="933"/>
      <x:c r="K55" s="933"/>
      <x:c r="L55" s="369"/>
      <x:c r="M55" s="369"/>
      <x:c r="N55" s="369"/>
      <x:c r="O55" s="369"/>
      <x:c r="P55" s="369"/>
    </x:row>
    <x:row r="56" ht="15" hidden="0" customHeight="1">
      <x:c r="A56" s="933" t="str">
        <x:v>디야</x:v>
      </x:c>
      <x:c r="B56" s="933" t="n">
        <x:v>1.5</x:v>
      </x:c>
      <x:c r="C56" s="933" t="str">
        <x:v>+2</x:v>
      </x:c>
      <x:c r="D56" s="933" t="str">
        <x:v>교감+1Lv</x:v>
      </x:c>
      <x:c r="E56" s="933" t="str">
        <x:v>D18</x:v>
      </x:c>
      <x:c r="F56" s="933" t="str">
        <x:v>재점검/페이/벤자민</x:v>
      </x:c>
      <x:c r="G56" s="933"/>
      <x:c r="H56" s="933"/>
      <x:c r="I56" s="933"/>
      <x:c r="J56" s="933"/>
      <x:c r="K56" s="933"/>
      <x:c r="L56" s="369"/>
      <x:c r="M56" s="369"/>
      <x:c r="N56" s="369"/>
      <x:c r="O56" s="369"/>
      <x:c r="P56" s="369"/>
    </x:row>
    <x:row r="57" ht="30" hidden="0" customHeight="1">
      <x:c r="A57" s="941" t="str">
        <x:v>6개 Final 시간합</x:v>
      </x:c>
      <x:c r="B57" s="941" t="n">
        <x:v>10</x:v>
      </x:c>
      <x:c r="C57" s="941"/>
      <x:c r="D57" s="941"/>
      <x:c r="E57" s="941" t="str">
        <x:v>선행조건 모두 충족 가정</x:v>
      </x:c>
      <x:c r="F57" s="941" t="str">
        <x:v>Final만 10h + Main/Wave/수리. 실제 Full Route 선행투자는 W1~2에 더 큼</x:v>
      </x:c>
      <x:c r="G57" s="941"/>
      <x:c r="H57" s="941"/>
      <x:c r="I57" s="941"/>
      <x:c r="J57" s="941"/>
      <x:c r="K57" s="941"/>
      <x:c r="L57" s="369"/>
      <x:c r="M57" s="369"/>
      <x:c r="N57" s="369"/>
      <x:c r="O57" s="369"/>
      <x:c r="P57" s="369"/>
    </x:row>
    <x:row r="58" ht="15" hidden="0" customHeight="1">
      <x:c r="A58" s="933"/>
      <x:c r="B58" s="933"/>
      <x:c r="C58" s="933"/>
      <x:c r="D58" s="933"/>
      <x:c r="E58" s="933"/>
      <x:c r="F58" s="933"/>
      <x:c r="G58" s="933"/>
      <x:c r="H58" s="933"/>
      <x:c r="I58" s="933"/>
      <x:c r="J58" s="933"/>
      <x:c r="K58" s="933"/>
    </x:row>
    <x:row r="59" ht="26" hidden="0" customHeight="1">
      <x:c r="A59" s="950" t="str">
        <x:v>7. Authoring용 결과 Flag 제안 — 구현 전 이름은 TBD</x:v>
      </x:c>
      <x:c r="B59" s="950"/>
      <x:c r="C59" s="950"/>
      <x:c r="D59" s="950"/>
      <x:c r="E59" s="950"/>
      <x:c r="F59" s="950"/>
      <x:c r="G59" s="950"/>
      <x:c r="H59" s="950"/>
      <x:c r="I59" s="950"/>
      <x:c r="J59" s="950"/>
      <x:c r="K59" s="950"/>
      <x:c r="L59" s="363"/>
      <x:c r="M59" s="363"/>
      <x:c r="N59" s="363"/>
      <x:c r="O59" s="363"/>
      <x:c r="P59" s="363"/>
    </x:row>
    <x:row r="60" ht="30" hidden="0" customHeight="1">
      <x:c r="A60" s="953" t="str">
        <x:v>인물</x:v>
      </x:c>
      <x:c r="B60" s="953" t="str">
        <x:v>Final Flag</x:v>
      </x:c>
      <x:c r="C60" s="953" t="str">
        <x:v>Mastery Flag</x:v>
      </x:c>
      <x:c r="D60" s="953" t="str">
        <x:v>Stance 결과 Flag</x:v>
      </x:c>
      <x:c r="E60" s="953" t="str">
        <x:v>보상</x:v>
      </x:c>
      <x:c r="F60" s="953"/>
      <x:c r="G60" s="953"/>
      <x:c r="H60" s="953"/>
      <x:c r="I60" s="953"/>
      <x:c r="J60" s="953"/>
      <x:c r="K60" s="953"/>
    </x:row>
    <x:row r="61" ht="15" hidden="0" customHeight="1">
      <x:c r="A61" s="933" t="str">
        <x:v>샘</x:v>
      </x:c>
      <x:c r="B61" s="933" t="str">
        <x:v>SAM_FINAL_DONE</x:v>
      </x:c>
      <x:c r="C61" s="933" t="str">
        <x:v>SAM_ROUTE_FULL</x:v>
      </x:c>
      <x:c r="D61" s="933" t="str">
        <x:v>—</x:v>
      </x:c>
      <x:c r="E61" s="933" t="str">
        <x:v>Will+2 / Strong XP+6</x:v>
      </x:c>
      <x:c r="F61" s="933"/>
      <x:c r="G61" s="933"/>
      <x:c r="H61" s="933"/>
      <x:c r="I61" s="933"/>
      <x:c r="J61" s="933"/>
      <x:c r="K61" s="933"/>
    </x:row>
    <x:row r="62" ht="15" hidden="0" customHeight="1">
      <x:c r="A62" s="933" t="str">
        <x:v>지나</x:v>
      </x:c>
      <x:c r="B62" s="933" t="str">
        <x:v>JINA_FINAL_DONE</x:v>
      </x:c>
      <x:c r="C62" s="933" t="str">
        <x:v>JINA_ROUTE_FULL</x:v>
      </x:c>
      <x:c r="D62" s="933" t="str">
        <x:v>JINA_STANCE_LEAVE / STAY</x:v>
      </x:c>
      <x:c r="E62" s="933" t="str">
        <x:v>Will+2 / Social XP+6</x:v>
      </x:c>
      <x:c r="F62" s="933"/>
      <x:c r="G62" s="933"/>
      <x:c r="H62" s="933"/>
      <x:c r="I62" s="933"/>
      <x:c r="J62" s="933"/>
      <x:c r="K62" s="933"/>
    </x:row>
    <x:row r="63" ht="15" hidden="0" customHeight="1">
      <x:c r="A63" s="933" t="str">
        <x:v>페이</x:v>
      </x:c>
      <x:c r="B63" s="933" t="str">
        <x:v>FAYE_PERFORMANCE_DONE</x:v>
      </x:c>
      <x:c r="C63" s="933" t="str">
        <x:v>FAYE_ROUTE_FULL</x:v>
      </x:c>
      <x:c r="D63" s="933" t="str">
        <x:v>FAYE_STANCE_LEAVE</x:v>
      </x:c>
      <x:c r="E63" s="933" t="str">
        <x:v>Will+3 / Tech XP+6</x:v>
      </x:c>
      <x:c r="F63" s="933"/>
      <x:c r="G63" s="933"/>
      <x:c r="H63" s="933"/>
      <x:c r="I63" s="933"/>
      <x:c r="J63" s="933"/>
      <x:c r="K63" s="933"/>
    </x:row>
    <x:row r="64" ht="15" hidden="0" customHeight="1">
      <x:c r="A64" s="933" t="str">
        <x:v>벤자민</x:v>
      </x:c>
      <x:c r="B64" s="933" t="str">
        <x:v>BEN_FINAL_DONE</x:v>
      </x:c>
      <x:c r="C64" s="933" t="str">
        <x:v>BEN_ROUTE_FULL</x:v>
      </x:c>
      <x:c r="D64" s="933" t="str">
        <x:v>BEN_STANCE_UNDECIDED / LEAVE</x:v>
      </x:c>
      <x:c r="E64" s="933" t="str">
        <x:v>Will+2 / Strong XP+6</x:v>
      </x:c>
      <x:c r="F64" s="933"/>
      <x:c r="G64" s="933"/>
      <x:c r="H64" s="933"/>
      <x:c r="I64" s="933"/>
      <x:c r="J64" s="933"/>
      <x:c r="K64" s="933"/>
    </x:row>
    <x:row r="65" ht="15" hidden="0" customHeight="1">
      <x:c r="A65" s="933" t="str">
        <x:v>보리치</x:v>
      </x:c>
      <x:c r="B65" s="933" t="str">
        <x:v>BORICHI_FINAL_DONE</x:v>
      </x:c>
      <x:c r="C65" s="933" t="str">
        <x:v>BORICHI_ROUTE_FULL</x:v>
      </x:c>
      <x:c r="D65" s="933" t="str">
        <x:v>—</x:v>
      </x:c>
      <x:c r="E65" s="933" t="str">
        <x:v>Will+2 / Tech XP+6</x:v>
      </x:c>
      <x:c r="F65" s="933"/>
      <x:c r="G65" s="933"/>
      <x:c r="H65" s="933"/>
      <x:c r="I65" s="933"/>
      <x:c r="J65" s="933"/>
      <x:c r="K65" s="933"/>
    </x:row>
    <x:row r="66" ht="24" hidden="0" customHeight="1">
      <x:c r="A66" s="933" t="str">
        <x:v>디야</x:v>
      </x:c>
      <x:c r="B66" s="933" t="str">
        <x:v>DIYA_FINAL_TRUE / DIYA_FINAL_HIDDEN</x:v>
      </x:c>
      <x:c r="C66" s="933" t="str">
        <x:v>DIYA_ROUTE_FULL</x:v>
      </x:c>
      <x:c r="D66" s="933" t="str">
        <x:v>UNDECIDED / STAY</x:v>
      </x:c>
      <x:c r="E66" s="933" t="str">
        <x:v>Will+2 / Social XP+6</x:v>
      </x:c>
      <x:c r="F66" s="933"/>
      <x:c r="G66" s="933"/>
      <x:c r="H66" s="933"/>
      <x:c r="I66" s="933"/>
      <x:c r="J66" s="933"/>
      <x:c r="K66" s="933"/>
    </x:row>
  </x:sheetData>
  <x:mergeCells>
    <x:mergeCell ref="A1:P1"/>
    <x:mergeCell ref="A2:P2"/>
    <x:mergeCell ref="A4:P4"/>
    <x:mergeCell ref="A13:P13"/>
    <x:mergeCell ref="A22:P22"/>
    <x:mergeCell ref="A33:P33"/>
    <x:mergeCell ref="A42:P42"/>
    <x:mergeCell ref="A49:P49"/>
    <x:mergeCell ref="H50:P57"/>
    <x:mergeCell ref="A59:P59"/>
  </x:mergeCells>
  <x:conditionalFormatting sqref="E44:E66">
    <x:cfRule type="expression" dxfId="216" priority="1">
      <x:formula>OR(E44="완료",E44="확정",E44="확정방향",E44="방향 확정",LEFT(E44,2)="확정")</x:formula>
    </x:cfRule>
    <x:cfRule type="expression" dxfId="217" priority="2">
      <x:formula>OR(E44="TBD",E44="대기",ISNUMBER(SEARCH("TEMP",E44)))</x:formula>
    </x:cfRule>
    <x:cfRule type="expression" dxfId="218" priority="3">
      <x:formula>OR(E44="폐기",E44="HISTORICAL",ISNUMBER(SEARCH("폐기",E44)))</x:formula>
    </x:cfRule>
    <x:cfRule type="expression" dxfId="219" priority="4">
      <x:formula>OR(E44="NEXT",E44="진행")</x:formula>
    </x:cfRule>
  </x:conditionalFormatting>
  <x:conditionalFormatting sqref="D6:D66">
    <x:cfRule type="expression" dxfId="220" priority="5">
      <x:formula>OR(D6="완료",D6="확정",D6="확정방향",D6="방향 확정",LEFT(D6,2)="확정")</x:formula>
    </x:cfRule>
    <x:cfRule type="expression" dxfId="221" priority="6">
      <x:formula>OR(D6="TBD",D6="대기",ISNUMBER(SEARCH("TEMP",D6)))</x:formula>
    </x:cfRule>
    <x:cfRule type="expression" dxfId="222" priority="7">
      <x:formula>OR(D6="폐기",D6="HISTORICAL",ISNUMBER(SEARCH("폐기",D6)))</x:formula>
    </x:cfRule>
    <x:cfRule type="expression" dxfId="223" priority="8">
      <x:formula>OR(D6="NEXT",D6="진행")</x:formula>
    </x:cfRule>
  </x:conditionalFormatting>
  <x:conditionalFormatting sqref="K15:K66">
    <x:cfRule type="expression" dxfId="224" priority="9">
      <x:formula>OR(K15="완료",K15="확정",K15="확정방향",K15="방향 확정",LEFT(K15,2)="확정")</x:formula>
    </x:cfRule>
    <x:cfRule type="expression" dxfId="225" priority="10">
      <x:formula>OR(K15="TBD",K15="대기",ISNUMBER(SEARCH("TEMP",K15)))</x:formula>
    </x:cfRule>
    <x:cfRule type="expression" dxfId="226" priority="11">
      <x:formula>OR(K15="폐기",K15="HISTORICAL",ISNUMBER(SEARCH("폐기",K15)))</x:formula>
    </x:cfRule>
    <x:cfRule type="expression" dxfId="227" priority="12">
      <x:formula>OR(K15="NEXT",K15="진행")</x:formula>
    </x:cfRule>
  </x:conditionalFormatting>
  <x:pageMargins left="0.7" right="0.7" top="0.75" bottom="0.75" header="0.3" footer="0.3"/>
  <x:drawing xmlns:r="http://schemas.openxmlformats.org/officeDocument/2006/relationships" r:id="Reaab2a6a48924639"/>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ht="30" hidden="0" customHeight="1">
      <x:c r="A1" s="944" t="str">
        <x:v>Ending Evaluator v0.1 — Survival / Ship / Planet / People</x:v>
      </x:c>
      <x:c r="B1" s="944"/>
      <x:c r="C1" s="944"/>
      <x:c r="D1" s="944"/>
      <x:c r="E1" s="944"/>
      <x:c r="F1" s="944"/>
      <x:c r="G1" s="944"/>
      <x:c r="H1" s="944"/>
      <x:c r="I1" s="944"/>
      <x:c r="J1" s="944"/>
      <x:c r="K1" s="944"/>
      <x:c r="L1" s="944"/>
      <x:c r="M1" s="944"/>
      <x:c r="N1" s="944"/>
      <x:c r="O1" s="944"/>
      <x:c r="P1" s="944"/>
      <x:c r="Q1" s="944"/>
      <x:c r="R1" s="359"/>
    </x:row>
    <x:row r="2" ht="42" hidden="0" customHeight="1">
      <x:c r="A2" s="947" t="str">
        <x:v>네 축을 순서대로 읽는다: ① 살아남았는가 ② 폭풍을 버틸 준비가 있었는가 ③ 배/행성 중 물리적 미래가 남았는가 ④ 그 미래를 실행할 사람 조합이 남았는가. 그 뒤에 True/Hidden 특수조건을 확인하고 Normal을 판정한다.</x:v>
      </x:c>
      <x:c r="B2" s="947"/>
      <x:c r="C2" s="947"/>
      <x:c r="D2" s="947"/>
      <x:c r="E2" s="947"/>
      <x:c r="F2" s="947"/>
      <x:c r="G2" s="947"/>
      <x:c r="H2" s="947"/>
      <x:c r="I2" s="947"/>
      <x:c r="J2" s="947"/>
      <x:c r="K2" s="947"/>
      <x:c r="L2" s="947"/>
      <x:c r="M2" s="947"/>
      <x:c r="N2" s="947"/>
      <x:c r="O2" s="947"/>
      <x:c r="P2" s="947"/>
      <x:c r="Q2" s="947"/>
      <x:c r="R2" s="362"/>
    </x:row>
    <x:row r="3" ht="15" hidden="0" customHeight="1">
      <x:c r="A3" s="933"/>
      <x:c r="B3" s="933"/>
      <x:c r="C3" s="933"/>
      <x:c r="D3" s="933"/>
      <x:c r="E3" s="933"/>
      <x:c r="F3" s="933"/>
      <x:c r="G3" s="933"/>
      <x:c r="H3" s="933"/>
      <x:c r="I3" s="933"/>
      <x:c r="J3" s="933"/>
      <x:c r="K3" s="933"/>
      <x:c r="L3" s="933"/>
      <x:c r="M3" s="933"/>
      <x:c r="N3" s="933"/>
      <x:c r="O3" s="933"/>
      <x:c r="P3" s="933"/>
      <x:c r="Q3" s="933"/>
    </x:row>
    <x:row r="4" ht="26" hidden="0" customHeight="1">
      <x:c r="A4" s="950" t="str">
        <x:v>1. D21 판정에 쓰는 Derived State</x:v>
      </x:c>
      <x:c r="B4" s="950"/>
      <x:c r="C4" s="950"/>
      <x:c r="D4" s="950"/>
      <x:c r="E4" s="950"/>
      <x:c r="F4" s="950"/>
      <x:c r="G4" s="950"/>
      <x:c r="H4" s="950"/>
      <x:c r="I4" s="950"/>
      <x:c r="J4" s="950"/>
      <x:c r="K4" s="950"/>
      <x:c r="L4" s="950"/>
      <x:c r="M4" s="950"/>
      <x:c r="N4" s="950"/>
      <x:c r="O4" s="950"/>
      <x:c r="P4" s="950"/>
      <x:c r="Q4" s="950"/>
      <x:c r="R4" s="363"/>
    </x:row>
    <x:row r="5" ht="30" hidden="0" customHeight="1">
      <x:c r="A5" s="953" t="str">
        <x:v>변수</x:v>
      </x:c>
      <x:c r="B5" s="953" t="str">
        <x:v>정의</x:v>
      </x:c>
      <x:c r="C5" s="953" t="str">
        <x:v>예</x:v>
      </x:c>
      <x:c r="D5" s="953" t="str">
        <x:v>의미</x:v>
      </x:c>
      <x:c r="E5" s="953" t="str">
        <x:v>상태</x:v>
      </x:c>
      <x:c r="F5" s="953"/>
      <x:c r="G5" s="953"/>
      <x:c r="H5" s="953"/>
      <x:c r="I5" s="953"/>
      <x:c r="J5" s="953"/>
      <x:c r="K5" s="953"/>
      <x:c r="L5" s="953"/>
      <x:c r="M5" s="953"/>
      <x:c r="N5" s="953"/>
      <x:c r="O5" s="953"/>
      <x:c r="P5" s="953"/>
      <x:c r="Q5" s="953"/>
    </x:row>
    <x:row r="6" ht="36" hidden="0" customHeight="1">
      <x:c r="A6" s="933" t="str">
        <x:v>DeparturePossible</x:v>
      </x:c>
      <x:c r="B6" s="933" t="str">
        <x:v>ShipCondition != 항해 불가</x:v>
      </x:c>
      <x:c r="C6" s="933" t="str">
        <x:v>수리 필요/보통/좋음 = TRUE</x:v>
      </x:c>
      <x:c r="D6" s="933" t="str">
        <x:v>폭풍 뒤 추가 수리까지 포함하면 언젠가 출항 가능한가</x:v>
      </x:c>
      <x:c r="E6" s="933" t="str">
        <x:v>확정 후보</x:v>
      </x:c>
      <x:c r="F6" s="933"/>
      <x:c r="G6" s="933"/>
      <x:c r="H6" s="933"/>
      <x:c r="I6" s="933"/>
      <x:c r="J6" s="933"/>
      <x:c r="K6" s="933"/>
      <x:c r="L6" s="933"/>
      <x:c r="M6" s="933"/>
      <x:c r="N6" s="933"/>
      <x:c r="O6" s="933"/>
      <x:c r="P6" s="933"/>
      <x:c r="Q6" s="933"/>
    </x:row>
    <x:row r="7" ht="36" hidden="0" customHeight="1">
      <x:c r="A7" s="933" t="str">
        <x:v>DepartureReady</x:v>
      </x:c>
      <x:c r="B7" s="933" t="str">
        <x:v>ShipCondition ∈ {보통, 좋음}</x:v>
      </x:c>
      <x:c r="C7" s="933" t="str">
        <x:v>보통=TRUE / 수리 필요=FALSE</x:v>
      </x:c>
      <x:c r="D7" s="933" t="str">
        <x:v>True/Hidden처럼 '지금도 떠날 수 있는 배'인가</x:v>
      </x:c>
      <x:c r="E7" s="933" t="str">
        <x:v>확정 후보</x:v>
      </x:c>
      <x:c r="F7" s="933"/>
      <x:c r="G7" s="933"/>
      <x:c r="H7" s="933"/>
      <x:c r="I7" s="933"/>
      <x:c r="J7" s="933"/>
      <x:c r="K7" s="933"/>
      <x:c r="L7" s="933"/>
      <x:c r="M7" s="933"/>
      <x:c r="N7" s="933"/>
      <x:c r="O7" s="933"/>
      <x:c r="P7" s="933"/>
      <x:c r="Q7" s="933"/>
    </x:row>
    <x:row r="8" ht="48" hidden="0" customHeight="1">
      <x:c r="A8" s="933" t="str">
        <x:v>SettlementPossible</x:v>
      </x:c>
      <x:c r="B8" s="933" t="str">
        <x:v>재점검 완료 AND Oasis&gt;=1 AND Settlement&gt;=1 AND (Oasis+Settlement)&gt;=3</x:v>
      </x:c>
      <x:c r="C8" s="933" t="str">
        <x:v>1+2 이상</x:v>
      </x:c>
      <x:c r="D8" s="933" t="str">
        <x:v>행성 정착을 실제 미래로 검토할 최소 근거(MEDIUM/HIGH)</x:v>
      </x:c>
      <x:c r="E8" s="933" t="str">
        <x:v>v1.1</x:v>
      </x:c>
      <x:c r="F8" s="933"/>
      <x:c r="G8" s="933"/>
      <x:c r="H8" s="933"/>
      <x:c r="I8" s="933"/>
      <x:c r="J8" s="933"/>
      <x:c r="K8" s="933"/>
      <x:c r="L8" s="933"/>
      <x:c r="M8" s="933"/>
      <x:c r="N8" s="933"/>
      <x:c r="O8" s="933"/>
      <x:c r="P8" s="933"/>
      <x:c r="Q8" s="933"/>
    </x:row>
    <x:row r="9" ht="24" hidden="0" customHeight="1">
      <x:c r="A9" s="933" t="str">
        <x:v>DepartureCrew</x:v>
      </x:c>
      <x:c r="B9" s="933" t="str">
        <x:v>Sam 생존 AND (Faye OR Benjamin 생존)</x:v>
      </x:c>
      <x:c r="C9" s="933" t="str">
        <x:v>선장 + 최소 1 기술인력</x:v>
      </x:c>
      <x:c r="D9" s="933" t="str">
        <x:v>출항을 실행할 사람 조합</x:v>
      </x:c>
      <x:c r="E9" s="933" t="str">
        <x:v>확정 후보</x:v>
      </x:c>
      <x:c r="F9" s="933"/>
      <x:c r="G9" s="933"/>
      <x:c r="H9" s="933"/>
      <x:c r="I9" s="933"/>
      <x:c r="J9" s="933"/>
      <x:c r="K9" s="933"/>
      <x:c r="L9" s="933"/>
      <x:c r="M9" s="933"/>
      <x:c r="N9" s="933"/>
      <x:c r="O9" s="933"/>
      <x:c r="P9" s="933"/>
      <x:c r="Q9" s="933"/>
    </x:row>
    <x:row r="10" ht="24" hidden="0" customHeight="1">
      <x:c r="A10" s="933" t="str">
        <x:v>SettlementCore</x:v>
      </x:c>
      <x:c r="B10" s="933" t="str">
        <x:v>(Jina OR Diya 생존) AND (Faye OR Benjamin 생존)</x:v>
      </x:c>
      <x:c r="C10" s="933" t="str">
        <x:v>공동체 Anchor + 기술인력</x:v>
      </x:c>
      <x:c r="D10" s="933" t="str">
        <x:v>정착을 유지할 사람 조합</x:v>
      </x:c>
      <x:c r="E10" s="933" t="str">
        <x:v>확정 후보</x:v>
      </x:c>
      <x:c r="F10" s="933"/>
      <x:c r="G10" s="933"/>
      <x:c r="H10" s="933"/>
      <x:c r="I10" s="933"/>
      <x:c r="J10" s="933"/>
      <x:c r="K10" s="933"/>
      <x:c r="L10" s="933"/>
      <x:c r="M10" s="933"/>
      <x:c r="N10" s="933"/>
      <x:c r="O10" s="933"/>
      <x:c r="P10" s="933"/>
      <x:c r="Q10" s="933"/>
    </x:row>
    <x:row r="11" ht="24" hidden="0" customHeight="1">
      <x:c r="A11" s="933" t="str">
        <x:v>StayCount</x:v>
      </x:c>
      <x:c r="B11" s="933" t="str">
        <x:v>생존 핵심6 중 STAY 수</x:v>
      </x:c>
      <x:c r="C11" s="933" t="str">
        <x:v>0~6</x:v>
      </x:c>
      <x:c r="D11" s="933" t="str">
        <x:v>Normal 3의 거주 우세 판단</x:v>
      </x:c>
      <x:c r="E11" s="933" t="str">
        <x:v>TEMP</x:v>
      </x:c>
      <x:c r="F11" s="933"/>
      <x:c r="G11" s="933"/>
      <x:c r="H11" s="933"/>
      <x:c r="I11" s="933"/>
      <x:c r="J11" s="933"/>
      <x:c r="K11" s="933"/>
      <x:c r="L11" s="933"/>
      <x:c r="M11" s="933"/>
      <x:c r="N11" s="933"/>
      <x:c r="O11" s="933"/>
      <x:c r="P11" s="933"/>
      <x:c r="Q11" s="933"/>
    </x:row>
    <x:row r="12" ht="24" hidden="0" customHeight="1">
      <x:c r="A12" s="933" t="str">
        <x:v>LeaveCount</x:v>
      </x:c>
      <x:c r="B12" s="933" t="str">
        <x:v>생존 핵심6 중 LEAVE 수</x:v>
      </x:c>
      <x:c r="C12" s="933" t="str">
        <x:v>0~6</x:v>
      </x:c>
      <x:c r="D12" s="933" t="str">
        <x:v>Normal 2의 출항/분리 판단</x:v>
      </x:c>
      <x:c r="E12" s="933" t="str">
        <x:v>TEMP</x:v>
      </x:c>
      <x:c r="F12" s="933"/>
      <x:c r="G12" s="933"/>
      <x:c r="H12" s="933"/>
      <x:c r="I12" s="933"/>
      <x:c r="J12" s="933"/>
      <x:c r="K12" s="933"/>
      <x:c r="L12" s="933"/>
      <x:c r="M12" s="933"/>
      <x:c r="N12" s="933"/>
      <x:c r="O12" s="933"/>
      <x:c r="P12" s="933"/>
      <x:c r="Q12" s="933"/>
    </x:row>
    <x:row r="13" ht="30" hidden="0" customHeight="1">
      <x:c r="A13" s="941" t="str">
        <x:v>TrueStanceSet</x:v>
      </x:c>
      <x:c r="B13" s="941" t="str">
        <x:v>Sam/Borichi/Faye=LEAVE, Jina/Diya/Benjamin=LEAVE 또는 UNDECIDED (STAY 없음)</x:v>
      </x:c>
      <x:c r="C13" s="941" t="str">
        <x:v>TRUE/FALSE</x:v>
      </x:c>
      <x:c r="D13" s="941" t="str">
        <x:v>Affinity가 아니라 Final 결과를 읽음</x:v>
      </x:c>
      <x:c r="E13" s="941" t="str">
        <x:v>확정 후보</x:v>
      </x:c>
      <x:c r="F13" s="941"/>
      <x:c r="G13" s="941"/>
      <x:c r="H13" s="941"/>
      <x:c r="I13" s="941"/>
      <x:c r="J13" s="941"/>
      <x:c r="K13" s="941"/>
      <x:c r="L13" s="941"/>
      <x:c r="M13" s="941"/>
      <x:c r="N13" s="941"/>
      <x:c r="O13" s="941"/>
      <x:c r="P13" s="941"/>
      <x:c r="Q13" s="941"/>
    </x:row>
    <x:row r="14" ht="30" hidden="0" customHeight="1">
      <x:c r="A14" s="941" t="str">
        <x:v>HiddenEvidence</x:v>
      </x:c>
      <x:c r="B14" s="941" t="str">
        <x:v>Borichi 생존 + 재분석 완료 + Faye/Benjamin 중 최소1 STAY + 정착 근거 Route</x:v>
      </x:c>
      <x:c r="C14" s="941" t="str">
        <x:v>TRUE/FALSE</x:v>
      </x:c>
      <x:c r="D14" s="941" t="str">
        <x:v>행성을 선택할 사람·증거가 모두 존재</x:v>
      </x:c>
      <x:c r="E14" s="941" t="str">
        <x:v>확정 후보</x:v>
      </x:c>
      <x:c r="F14" s="941"/>
      <x:c r="G14" s="941"/>
      <x:c r="H14" s="941"/>
      <x:c r="I14" s="941"/>
      <x:c r="J14" s="941"/>
      <x:c r="K14" s="941"/>
      <x:c r="L14" s="941"/>
      <x:c r="M14" s="941"/>
      <x:c r="N14" s="941"/>
      <x:c r="O14" s="941"/>
      <x:c r="P14" s="941"/>
      <x:c r="Q14" s="941"/>
    </x:row>
    <x:row r="15" ht="15" hidden="0" customHeight="1">
      <x:c r="A15" s="933"/>
      <x:c r="B15" s="933"/>
      <x:c r="C15" s="933"/>
      <x:c r="D15" s="933"/>
      <x:c r="E15" s="933"/>
      <x:c r="F15" s="933"/>
      <x:c r="G15" s="933"/>
      <x:c r="H15" s="933"/>
      <x:c r="I15" s="933"/>
      <x:c r="J15" s="933"/>
      <x:c r="K15" s="933"/>
      <x:c r="L15" s="933"/>
      <x:c r="M15" s="933"/>
      <x:c r="N15" s="933"/>
      <x:c r="O15" s="933"/>
      <x:c r="P15" s="933"/>
      <x:c r="Q15" s="933"/>
    </x:row>
    <x:row r="16" ht="26" hidden="0" customHeight="1">
      <x:c r="A16" s="950" t="str">
        <x:v>2. Bad Ending 4 — 공동체 기능 붕괴</x:v>
      </x:c>
      <x:c r="B16" s="950"/>
      <x:c r="C16" s="950"/>
      <x:c r="D16" s="950"/>
      <x:c r="E16" s="950"/>
      <x:c r="F16" s="950"/>
      <x:c r="G16" s="950"/>
      <x:c r="H16" s="950"/>
      <x:c r="I16" s="950"/>
      <x:c r="J16" s="950"/>
      <x:c r="K16" s="950"/>
      <x:c r="L16" s="950"/>
      <x:c r="M16" s="950"/>
      <x:c r="N16" s="950"/>
      <x:c r="O16" s="950"/>
      <x:c r="P16" s="950"/>
      <x:c r="Q16" s="950"/>
      <x:c r="R16" s="363"/>
    </x:row>
    <x:row r="17" ht="30" hidden="0" customHeight="1">
      <x:c r="A17" s="953" t="str">
        <x:v>항목</x:v>
      </x:c>
      <x:c r="B17" s="953" t="str">
        <x:v>정의</x:v>
      </x:c>
      <x:c r="C17" s="953" t="str">
        <x:v>Bad3와 차이</x:v>
      </x:c>
      <x:c r="D17" s="953" t="str">
        <x:v>예시</x:v>
      </x:c>
      <x:c r="E17" s="953" t="str">
        <x:v>상태</x:v>
      </x:c>
      <x:c r="F17" s="953"/>
      <x:c r="G17" s="953"/>
      <x:c r="H17" s="953"/>
      <x:c r="I17" s="953"/>
      <x:c r="J17" s="953"/>
      <x:c r="K17" s="953"/>
      <x:c r="L17" s="953"/>
      <x:c r="M17" s="953"/>
      <x:c r="N17" s="953"/>
      <x:c r="O17" s="953"/>
      <x:c r="P17" s="953"/>
      <x:c r="Q17" s="953"/>
    </x:row>
    <x:row r="18" ht="30" hidden="0" customHeight="1">
      <x:c r="A18" s="941" t="str">
        <x:v>의미</x:v>
      </x:c>
      <x:c r="B18" s="941" t="str">
        <x:v>배나 행성이라는 물리적 미래는 남았지만, 그 선택을 실행할 핵심 인적 조합이 무너짐</x:v>
      </x:c>
      <x:c r="C18" s="941" t="str">
        <x:v>Bad3는 물리적 선택지 자체가 없음</x:v>
      </x:c>
      <x:c r="D18" s="941" t="str">
        <x:v>갈 수 있는 배는 있지만 샘이 죽고 정착 기반도 LOW</x:v>
      </x:c>
      <x:c r="E18" s="941" t="str">
        <x:v>TEMP 확정 후보</x:v>
      </x:c>
      <x:c r="F18" s="941"/>
      <x:c r="G18" s="941"/>
      <x:c r="H18" s="941"/>
      <x:c r="I18" s="941"/>
      <x:c r="J18" s="941"/>
      <x:c r="K18" s="941"/>
      <x:c r="L18" s="941"/>
      <x:c r="M18" s="941"/>
      <x:c r="N18" s="941"/>
      <x:c r="O18" s="941"/>
      <x:c r="P18" s="941"/>
      <x:c r="Q18" s="941"/>
    </x:row>
    <x:row r="19" ht="84" hidden="0" customHeight="1">
      <x:c r="A19" s="933" t="str">
        <x:v>정확 Trigger</x:v>
      </x:c>
      <x:c r="B19" s="933" t="str">
        <x:v>(DeparturePossible OR SettlementPossible) AND NOT(DeparturePossible AND DepartureCrew) AND NOT(SettlementPossible AND SettlementCore)</x:v>
      </x:c>
      <x:c r="C19" s="933" t="str">
        <x:v>먼저 Bad3를 검사한 뒤 판정</x:v>
      </x:c>
      <x:c r="D19" s="933" t="str">
        <x:v>배 정상+Sam 사망+Sustainability LOW / Ship 불가+HIGH지만 Jina·Diya 사망</x:v>
      </x:c>
      <x:c r="E19" s="933" t="str">
        <x:v>TEMP 확정 후보</x:v>
      </x:c>
      <x:c r="F19" s="933"/>
      <x:c r="G19" s="933"/>
      <x:c r="H19" s="933"/>
      <x:c r="I19" s="933"/>
      <x:c r="J19" s="933"/>
      <x:c r="K19" s="933"/>
      <x:c r="L19" s="933"/>
      <x:c r="M19" s="933"/>
      <x:c r="N19" s="933"/>
      <x:c r="O19" s="933"/>
      <x:c r="P19" s="933"/>
      <x:c r="Q19" s="933"/>
    </x:row>
    <x:row r="20" ht="36" hidden="0" customHeight="1">
      <x:c r="A20" s="933" t="str">
        <x:v>감정</x:v>
      </x:c>
      <x:c r="B20" s="933" t="str">
        <x:v>'살아남은 것'과 '미래를 이어갈 수 있는 것'은 다르다는 결론</x:v>
      </x:c>
      <x:c r="C20" s="933" t="str">
        <x:v>즉사/폭발 엔딩이 아님</x:v>
      </x:c>
      <x:c r="D20" s="933" t="str">
        <x:v>남은 사람들이 서로를 보지만 어떤 계획도 완성할 수 없음</x:v>
      </x:c>
      <x:c r="E20" s="933" t="str">
        <x:v>방향</x:v>
      </x:c>
      <x:c r="F20" s="933"/>
      <x:c r="G20" s="933"/>
      <x:c r="H20" s="933"/>
      <x:c r="I20" s="933"/>
      <x:c r="J20" s="933"/>
      <x:c r="K20" s="933"/>
      <x:c r="L20" s="933"/>
      <x:c r="M20" s="933"/>
      <x:c r="N20" s="933"/>
      <x:c r="O20" s="933"/>
      <x:c r="P20" s="933"/>
      <x:c r="Q20" s="933"/>
    </x:row>
    <x:row r="21" ht="24" hidden="0" customHeight="1">
      <x:c r="A21" s="933" t="str">
        <x:v>제목</x:v>
      </x:c>
      <x:c r="B21" s="933" t="str">
        <x:v>공동체 기능 붕괴 (작업명)</x:v>
      </x:c>
      <x:c r="C21" s="933" t="str">
        <x:v>최종 서사 제목은 나중에 변경 가능</x:v>
      </x:c>
      <x:c r="D21" s="933" t="str">
        <x:v>—</x:v>
      </x:c>
      <x:c r="E21" s="933" t="str">
        <x:v>제목 TEMP</x:v>
      </x:c>
      <x:c r="F21" s="933"/>
      <x:c r="G21" s="933"/>
      <x:c r="H21" s="933"/>
      <x:c r="I21" s="933"/>
      <x:c r="J21" s="933"/>
      <x:c r="K21" s="933"/>
      <x:c r="L21" s="933"/>
      <x:c r="M21" s="933"/>
      <x:c r="N21" s="933"/>
      <x:c r="O21" s="933"/>
      <x:c r="P21" s="933"/>
      <x:c r="Q21" s="933"/>
    </x:row>
    <x:row r="22" ht="15" hidden="0" customHeight="1">
      <x:c r="A22" s="933"/>
      <x:c r="B22" s="933"/>
      <x:c r="C22" s="933"/>
      <x:c r="D22" s="933"/>
      <x:c r="E22" s="933"/>
      <x:c r="F22" s="933"/>
      <x:c r="G22" s="933"/>
      <x:c r="H22" s="933"/>
      <x:c r="I22" s="933"/>
      <x:c r="J22" s="933"/>
      <x:c r="K22" s="933"/>
      <x:c r="L22" s="933"/>
      <x:c r="M22" s="933"/>
      <x:c r="N22" s="933"/>
      <x:c r="O22" s="933"/>
      <x:c r="P22" s="933"/>
      <x:c r="Q22" s="933"/>
    </x:row>
    <x:row r="23" ht="26" hidden="0" customHeight="1">
      <x:c r="A23" s="950" t="str">
        <x:v>3. 판정 우선순위 — 위에서 처음 맞는 Ending으로 종료</x:v>
      </x:c>
      <x:c r="B23" s="950"/>
      <x:c r="C23" s="950"/>
      <x:c r="D23" s="950"/>
      <x:c r="E23" s="950"/>
      <x:c r="F23" s="950"/>
      <x:c r="G23" s="950"/>
      <x:c r="H23" s="950"/>
      <x:c r="I23" s="950"/>
      <x:c r="J23" s="950"/>
      <x:c r="K23" s="950"/>
      <x:c r="L23" s="950"/>
      <x:c r="M23" s="950"/>
      <x:c r="N23" s="950"/>
      <x:c r="O23" s="950"/>
      <x:c r="P23" s="950"/>
      <x:c r="Q23" s="950"/>
      <x:c r="R23" s="363"/>
    </x:row>
    <x:row r="24" ht="30" hidden="0" customHeight="1">
      <x:c r="A24" s="953" t="str">
        <x:v>순서</x:v>
      </x:c>
      <x:c r="B24" s="953" t="str">
        <x:v>Ending</x:v>
      </x:c>
      <x:c r="C24" s="953" t="str">
        <x:v>판정식 / 조건</x:v>
      </x:c>
      <x:c r="D24" s="953" t="str">
        <x:v>왜 이 순서인가</x:v>
      </x:c>
      <x:c r="E24" s="953" t="str">
        <x:v>시점</x:v>
      </x:c>
      <x:c r="F24" s="953" t="str">
        <x:v>상태</x:v>
      </x:c>
      <x:c r="G24" s="953" t="str">
        <x:v>축</x:v>
      </x:c>
      <x:c r="H24" s="953" t="str">
        <x:v>Bad</x:v>
      </x:c>
      <x:c r="I24" s="953" t="str">
        <x:v>Special</x:v>
      </x:c>
      <x:c r="J24" s="953" t="str">
        <x:v>Normal</x:v>
      </x:c>
      <x:c r="K24" s="953"/>
      <x:c r="L24" s="953"/>
      <x:c r="M24" s="953"/>
      <x:c r="N24" s="953"/>
      <x:c r="O24" s="953"/>
      <x:c r="P24" s="953"/>
      <x:c r="Q24" s="953"/>
    </x:row>
    <x:row r="25" ht="24" hidden="0" customHeight="1">
      <x:c r="A25" s="933" t="n">
        <x:v>1</x:v>
      </x:c>
      <x:c r="B25" s="933" t="str">
        <x:v>Bad 1</x:v>
      </x:c>
      <x:c r="C25" s="933" t="str">
        <x:v>치명 Emergency 실패 / Jay 사망 / Living0 등</x:v>
      </x:c>
      <x:c r="D25" s="933" t="str">
        <x:v>즉시 생존 실패는 다른 미래조건보다 우선</x:v>
      </x:c>
      <x:c r="E25" s="933" t="str">
        <x:v>즉시</x:v>
      </x:c>
      <x:c r="F25" s="933" t="str">
        <x:v>확정방향</x:v>
      </x:c>
      <x:c r="G25" s="933" t="str">
        <x:v>생존</x:v>
      </x:c>
      <x:c r="H25" s="933" t="n">
        <x:v>1</x:v>
      </x:c>
      <x:c r="I25" s="933" t="n">
        <x:v>0</x:v>
      </x:c>
      <x:c r="J25" s="933" t="n">
        <x:v>0</x:v>
      </x:c>
      <x:c r="K25" s="933"/>
      <x:c r="L25" s="933"/>
      <x:c r="M25" s="933"/>
      <x:c r="N25" s="933"/>
      <x:c r="O25" s="933"/>
      <x:c r="P25" s="933"/>
      <x:c r="Q25" s="933"/>
    </x:row>
    <x:row r="26" ht="48" hidden="0" customHeight="1">
      <x:c r="A26" s="933" t="n">
        <x:v>2</x:v>
      </x:c>
      <x:c r="B26" s="933" t="str">
        <x:v>Bad 2</x:v>
      </x:c>
      <x:c r="C26" s="933" t="str">
        <x:v>D14 종료 시 ShelterReady=FALSE</x:v>
      </x:c>
      <x:c r="D26" s="933" t="str">
        <x:v>W3를 버틸 최소 준비 자체가 없으면 Day15 시스템에 진입시키지 않음</x:v>
      </x:c>
      <x:c r="E26" s="933" t="str">
        <x:v>D14→15</x:v>
      </x:c>
      <x:c r="F26" s="933" t="str">
        <x:v>TEMP 확정 후보</x:v>
      </x:c>
      <x:c r="G26" s="933" t="str">
        <x:v>W2 준비</x:v>
      </x:c>
      <x:c r="H26" s="933" t="n">
        <x:v>1</x:v>
      </x:c>
      <x:c r="I26" s="933" t="n">
        <x:v>0</x:v>
      </x:c>
      <x:c r="J26" s="933" t="n">
        <x:v>0</x:v>
      </x:c>
      <x:c r="K26" s="933"/>
      <x:c r="L26" s="933"/>
      <x:c r="M26" s="933"/>
      <x:c r="N26" s="933"/>
      <x:c r="O26" s="933"/>
      <x:c r="P26" s="933"/>
      <x:c r="Q26" s="933"/>
    </x:row>
    <x:row r="27" ht="24" hidden="0" customHeight="1">
      <x:c r="A27" s="933" t="n">
        <x:v>3</x:v>
      </x:c>
      <x:c r="B27" s="933" t="str">
        <x:v>Bad 3</x:v>
      </x:c>
      <x:c r="C27" s="933" t="str">
        <x:v>NOT DeparturePossible AND NOT SettlementPossible</x:v>
      </x:c>
      <x:c r="D27" s="933" t="str">
        <x:v>배도 행성도 미래가 아님</x:v>
      </x:c>
      <x:c r="E27" s="933" t="str">
        <x:v>D21</x:v>
      </x:c>
      <x:c r="F27" s="933" t="str">
        <x:v>확정 후보</x:v>
      </x:c>
      <x:c r="G27" s="933" t="str">
        <x:v>물리적 미래</x:v>
      </x:c>
      <x:c r="H27" s="933" t="n">
        <x:v>1</x:v>
      </x:c>
      <x:c r="I27" s="933" t="n">
        <x:v>0</x:v>
      </x:c>
      <x:c r="J27" s="933" t="n">
        <x:v>0</x:v>
      </x:c>
      <x:c r="K27" s="933"/>
      <x:c r="L27" s="933"/>
      <x:c r="M27" s="933"/>
      <x:c r="N27" s="933"/>
      <x:c r="O27" s="933"/>
      <x:c r="P27" s="933"/>
      <x:c r="Q27" s="933"/>
    </x:row>
    <x:row r="28" ht="36" hidden="0" customHeight="1">
      <x:c r="A28" s="933" t="n">
        <x:v>4</x:v>
      </x:c>
      <x:c r="B28" s="933" t="str">
        <x:v>Bad 4</x:v>
      </x:c>
      <x:c r="C28" s="933" t="str">
        <x:v>물리적 미래는 있지만 DepartureCrew/SettlementCore 어느 쪽도 실행 불가</x:v>
      </x:c>
      <x:c r="D28" s="933" t="str">
        <x:v>사람 축의 실패를 별도 분리</x:v>
      </x:c>
      <x:c r="E28" s="933" t="str">
        <x:v>D21</x:v>
      </x:c>
      <x:c r="F28" s="933" t="str">
        <x:v>TEMP 확정 후보</x:v>
      </x:c>
      <x:c r="G28" s="933" t="str">
        <x:v>사람 실행력</x:v>
      </x:c>
      <x:c r="H28" s="933" t="n">
        <x:v>1</x:v>
      </x:c>
      <x:c r="I28" s="933" t="n">
        <x:v>0</x:v>
      </x:c>
      <x:c r="J28" s="933" t="n">
        <x:v>0</x:v>
      </x:c>
      <x:c r="K28" s="933"/>
      <x:c r="L28" s="933"/>
      <x:c r="M28" s="933"/>
      <x:c r="N28" s="933"/>
      <x:c r="O28" s="933"/>
      <x:c r="P28" s="933"/>
      <x:c r="Q28" s="933"/>
    </x:row>
    <x:row r="29" ht="24" hidden="0" customHeight="1">
      <x:c r="A29" s="933" t="n">
        <x:v>5</x:v>
      </x:c>
      <x:c r="B29" s="933" t="str">
        <x:v>True</x:v>
      </x:c>
      <x:c r="C29" s="933" t="str">
        <x:v>핵심6 전원 생존 + DepartureReady + TrueStanceSet</x:v>
      </x:c>
      <x:c r="D29" s="933" t="str">
        <x:v>가장 빡빡한 전원 출항 성취</x:v>
      </x:c>
      <x:c r="E29" s="933" t="str">
        <x:v>D21</x:v>
      </x:c>
      <x:c r="F29" s="933" t="str">
        <x:v>확정방향</x:v>
      </x:c>
      <x:c r="G29" s="933" t="str">
        <x:v>Stance/고성취</x:v>
      </x:c>
      <x:c r="H29" s="933" t="n">
        <x:v>0</x:v>
      </x:c>
      <x:c r="I29" s="933" t="n">
        <x:v>2</x:v>
      </x:c>
      <x:c r="J29" s="933" t="n">
        <x:v>0</x:v>
      </x:c>
      <x:c r="K29" s="933"/>
      <x:c r="L29" s="933"/>
      <x:c r="M29" s="933"/>
      <x:c r="N29" s="933"/>
      <x:c r="O29" s="933"/>
      <x:c r="P29" s="933"/>
      <x:c r="Q29" s="933"/>
    </x:row>
    <x:row r="30" ht="24" hidden="0" customHeight="1">
      <x:c r="A30" s="933" t="n">
        <x:v>6</x:v>
      </x:c>
      <x:c r="B30" s="933" t="str">
        <x:v>Hidden</x:v>
      </x:c>
      <x:c r="C30" s="933" t="str">
        <x:v>Sustainability HIGH + DepartureReady + HiddenEvidence</x:v>
      </x:c>
      <x:c r="D30" s="933" t="str">
        <x:v>떠날 수 있는데도 검증 후 정착하는 특수 성취</x:v>
      </x:c>
      <x:c r="E30" s="933" t="str">
        <x:v>D21</x:v>
      </x:c>
      <x:c r="F30" s="933" t="str">
        <x:v>확정방향</x:v>
      </x:c>
      <x:c r="G30" s="933" t="str">
        <x:v>일반 결론</x:v>
      </x:c>
      <x:c r="H30" s="933" t="n">
        <x:v>0</x:v>
      </x:c>
      <x:c r="I30" s="933" t="n">
        <x:v>0</x:v>
      </x:c>
      <x:c r="J30" s="933" t="n">
        <x:v>3</x:v>
      </x:c>
      <x:c r="K30" s="933"/>
      <x:c r="L30" s="933"/>
      <x:c r="M30" s="933"/>
      <x:c r="N30" s="933"/>
      <x:c r="O30" s="933"/>
      <x:c r="P30" s="933"/>
      <x:c r="Q30" s="933"/>
    </x:row>
    <x:row r="31" ht="36" hidden="0" customHeight="1">
      <x:c r="A31" s="933" t="n">
        <x:v>7</x:v>
      </x:c>
      <x:c r="B31" s="933" t="str">
        <x:v>Normal 3</x:v>
      </x:c>
      <x:c r="C31" s="933" t="str">
        <x:v>SettlementPossible+SettlementCore AND (Departure 불가/인력불가 OR StayCount &gt; LeaveCount)</x:v>
      </x:c>
      <x:c r="D31" s="933" t="str">
        <x:v>거주가 우세하거나 유일한 실행 가능한 미래</x:v>
      </x:c>
      <x:c r="E31" s="933" t="str">
        <x:v>D21</x:v>
      </x:c>
      <x:c r="F31" s="933" t="str">
        <x:v>TEMP 확정 후보</x:v>
      </x:c>
      <x:c r="G31" s="933" t="str">
        <x:v>합계</x:v>
      </x:c>
      <x:c r="H31" s="933" t="n">
        <x:v>4</x:v>
      </x:c>
      <x:c r="I31" s="933" t="n">
        <x:v>2</x:v>
      </x:c>
      <x:c r="J31" s="933" t="n">
        <x:v>3</x:v>
      </x:c>
      <x:c r="K31" s="933"/>
      <x:c r="L31" s="933"/>
      <x:c r="M31" s="933"/>
      <x:c r="N31" s="933"/>
      <x:c r="O31" s="933"/>
      <x:c r="P31" s="933"/>
      <x:c r="Q31" s="933"/>
    </x:row>
    <x:row r="32" ht="36" hidden="0" customHeight="1">
      <x:c r="A32" s="933" t="n">
        <x:v>8</x:v>
      </x:c>
      <x:c r="B32" s="933" t="str">
        <x:v>Normal 2</x:v>
      </x:c>
      <x:c r="C32" s="933" t="str">
        <x:v>Departure/Settlement 둘 다 실행 가능 + StayCount&gt;0 + LeaveCount&gt;0</x:v>
      </x:c>
      <x:c r="D32" s="933" t="str">
        <x:v>공동체가 하나의 답으로 합쳐지지 않아 일부가 떠남</x:v>
      </x:c>
      <x:c r="E32" s="933" t="str">
        <x:v>D21</x:v>
      </x:c>
      <x:c r="F32" s="933" t="str">
        <x:v>TEMP 확정 후보</x:v>
      </x:c>
      <x:c r="G32" s="933"/>
      <x:c r="H32" s="933"/>
      <x:c r="I32" s="933"/>
      <x:c r="J32" s="933"/>
      <x:c r="K32" s="933"/>
      <x:c r="L32" s="933"/>
      <x:c r="M32" s="933"/>
      <x:c r="N32" s="933"/>
      <x:c r="O32" s="933"/>
      <x:c r="P32" s="933"/>
      <x:c r="Q32" s="933"/>
    </x:row>
    <x:row r="33" ht="24" hidden="0" customHeight="1">
      <x:c r="A33" s="933" t="n">
        <x:v>9</x:v>
      </x:c>
      <x:c r="B33" s="933" t="str">
        <x:v>Normal 1</x:v>
      </x:c>
      <x:c r="C33" s="933" t="str">
        <x:v>DeparturePossible + DepartureCrew</x:v>
      </x:c>
      <x:c r="D33" s="933" t="str">
        <x:v>정착 우세/분리 조건이 없으면 출항으로 귀결</x:v>
      </x:c>
      <x:c r="E33" s="933" t="str">
        <x:v>D21</x:v>
      </x:c>
      <x:c r="F33" s="933" t="str">
        <x:v>TEMP 확정 후보</x:v>
      </x:c>
      <x:c r="G33" s="933"/>
      <x:c r="H33" s="933"/>
      <x:c r="I33" s="933"/>
      <x:c r="J33" s="933"/>
      <x:c r="K33" s="933"/>
      <x:c r="L33" s="933"/>
      <x:c r="M33" s="933"/>
      <x:c r="N33" s="933"/>
      <x:c r="O33" s="933"/>
      <x:c r="P33" s="933"/>
      <x:c r="Q33" s="933"/>
    </x:row>
    <x:row r="34" ht="36" hidden="0" customHeight="1">
      <x:c r="A34" s="933" t="n">
        <x:v>10</x:v>
      </x:c>
      <x:c r="B34" s="933" t="str">
        <x:v>Normal 3 fallback</x:v>
      </x:c>
      <x:c r="C34" s="933" t="str">
        <x:v>SettlementPossible + SettlementCore</x:v>
      </x:c>
      <x:c r="D34" s="933" t="str">
        <x:v>출항은 불가능하지만 정착은 가능한 남은 경우</x:v>
      </x:c>
      <x:c r="E34" s="933" t="str">
        <x:v>D21</x:v>
      </x:c>
      <x:c r="F34" s="933" t="str">
        <x:v>안전망</x:v>
      </x:c>
      <x:c r="G34" s="933"/>
      <x:c r="H34" s="933"/>
      <x:c r="I34" s="933"/>
      <x:c r="J34" s="933"/>
      <x:c r="K34" s="933"/>
      <x:c r="L34" s="933"/>
      <x:c r="M34" s="933"/>
      <x:c r="N34" s="933"/>
      <x:c r="O34" s="933"/>
      <x:c r="P34" s="933"/>
      <x:c r="Q34" s="933"/>
    </x:row>
    <x:row r="35" ht="24" hidden="0" customHeight="1">
      <x:c r="A35" s="933" t="n">
        <x:v>11</x:v>
      </x:c>
      <x:c r="B35" s="933" t="str">
        <x:v>Bad 4 fallback</x:v>
      </x:c>
      <x:c r="C35" s="933" t="str">
        <x:v>위 어느 실행 가능한 공동체 결론에도 해당하지 않음</x:v>
      </x:c>
      <x:c r="D35" s="933" t="str">
        <x:v>Evaluator 누락 방지</x:v>
      </x:c>
      <x:c r="E35" s="933" t="str">
        <x:v>D21</x:v>
      </x:c>
      <x:c r="F35" s="933" t="str">
        <x:v>안전망</x:v>
      </x:c>
      <x:c r="G35" s="933"/>
      <x:c r="H35" s="933"/>
      <x:c r="I35" s="933"/>
      <x:c r="J35" s="933"/>
      <x:c r="K35" s="933"/>
      <x:c r="L35" s="933"/>
      <x:c r="M35" s="933"/>
      <x:c r="N35" s="933"/>
      <x:c r="O35" s="933"/>
      <x:c r="P35" s="933"/>
      <x:c r="Q35" s="933"/>
    </x:row>
    <x:row r="36" ht="15" hidden="0" customHeight="1">
      <x:c r="A36" s="933"/>
      <x:c r="B36" s="933"/>
      <x:c r="C36" s="933"/>
      <x:c r="D36" s="933"/>
      <x:c r="E36" s="933"/>
      <x:c r="F36" s="933"/>
      <x:c r="G36" s="933"/>
      <x:c r="H36" s="933"/>
      <x:c r="I36" s="933"/>
      <x:c r="J36" s="933"/>
      <x:c r="K36" s="933"/>
      <x:c r="L36" s="933"/>
      <x:c r="M36" s="933"/>
      <x:c r="N36" s="933"/>
      <x:c r="O36" s="933"/>
      <x:c r="P36" s="933"/>
      <x:c r="Q36" s="933"/>
    </x:row>
    <x:row r="37" ht="26" hidden="0" customHeight="1">
      <x:c r="A37" s="950" t="str">
        <x:v>4. Normal Ending 의미 재정리</x:v>
      </x:c>
      <x:c r="B37" s="950"/>
      <x:c r="C37" s="950"/>
      <x:c r="D37" s="950"/>
      <x:c r="E37" s="950"/>
      <x:c r="F37" s="950"/>
      <x:c r="G37" s="950"/>
      <x:c r="H37" s="950"/>
      <x:c r="I37" s="950"/>
      <x:c r="J37" s="950"/>
      <x:c r="K37" s="950"/>
      <x:c r="L37" s="950"/>
      <x:c r="M37" s="950"/>
      <x:c r="N37" s="950"/>
      <x:c r="O37" s="950"/>
      <x:c r="P37" s="950"/>
      <x:c r="Q37" s="950"/>
      <x:c r="R37" s="363"/>
    </x:row>
    <x:row r="38" ht="30" hidden="0" customHeight="1">
      <x:c r="A38" s="953" t="str">
        <x:v>Ending</x:v>
      </x:c>
      <x:c r="B38" s="953" t="str">
        <x:v>새 의미</x:v>
      </x:c>
      <x:c r="C38" s="953" t="str">
        <x:v>핵심 조건</x:v>
      </x:c>
      <x:c r="D38" s="953" t="str">
        <x:v>기존 의미와의 관계</x:v>
      </x:c>
      <x:c r="E38" s="953" t="str">
        <x:v>상태</x:v>
      </x:c>
      <x:c r="F38" s="953"/>
      <x:c r="G38" s="953"/>
      <x:c r="H38" s="953"/>
      <x:c r="I38" s="953"/>
      <x:c r="J38" s="953"/>
      <x:c r="K38" s="953"/>
      <x:c r="L38" s="953"/>
      <x:c r="M38" s="953"/>
      <x:c r="N38" s="953"/>
      <x:c r="O38" s="953"/>
      <x:c r="P38" s="953"/>
      <x:c r="Q38" s="953"/>
    </x:row>
    <x:row r="39" ht="48" hidden="0" customHeight="1">
      <x:c r="A39" s="933" t="str">
        <x:v>Normal 1</x:v>
      </x:c>
      <x:c r="B39" s="933" t="str">
        <x:v>전원 출항 — 정착 결론이 성립하지 않음</x:v>
      </x:c>
      <x:c r="C39" s="933" t="str">
        <x:v>출항 실행 가능 + N2/N3 미충족</x:v>
      </x:c>
      <x:c r="D39" s="933" t="str">
        <x:v>Sustainability LOW가 대표적이지만, HIGH여도 STAY 진영이 무너졌다면 가능</x:v>
      </x:c>
      <x:c r="E39" s="933" t="str">
        <x:v>TEMP 정교화</x:v>
      </x:c>
      <x:c r="F39" s="933"/>
      <x:c r="G39" s="933"/>
      <x:c r="H39" s="933"/>
      <x:c r="I39" s="933"/>
      <x:c r="J39" s="933"/>
      <x:c r="K39" s="933"/>
      <x:c r="L39" s="933"/>
      <x:c r="M39" s="933"/>
      <x:c r="N39" s="933"/>
      <x:c r="O39" s="933"/>
      <x:c r="P39" s="933"/>
      <x:c r="Q39" s="933"/>
    </x:row>
    <x:row r="40" ht="36" hidden="0" customHeight="1">
      <x:c r="A40" s="933" t="str">
        <x:v>Normal 2</x:v>
      </x:c>
      <x:c r="B40" s="933" t="str">
        <x:v>분리 출항 — 떠나는 사람과 남는 사람이 갈림</x:v>
      </x:c>
      <x:c r="C40" s="933" t="str">
        <x:v>출항/정착 모두 가능 + 살아 있는 STAY/LEAVE가 모두 존재</x:v>
      </x:c>
      <x:c r="D40" s="933" t="str">
        <x:v>기존 '일부 출항' 유지</x:v>
      </x:c>
      <x:c r="E40" s="933" t="str">
        <x:v>TEMP 확정 후보</x:v>
      </x:c>
      <x:c r="F40" s="933"/>
      <x:c r="G40" s="933"/>
      <x:c r="H40" s="933"/>
      <x:c r="I40" s="933"/>
      <x:c r="J40" s="933"/>
      <x:c r="K40" s="933"/>
      <x:c r="L40" s="933"/>
      <x:c r="M40" s="933"/>
      <x:c r="N40" s="933"/>
      <x:c r="O40" s="933"/>
      <x:c r="P40" s="933"/>
      <x:c r="Q40" s="933"/>
    </x:row>
    <x:row r="41" ht="48" hidden="0" customHeight="1">
      <x:c r="A41" s="933" t="str">
        <x:v>Normal 3</x:v>
      </x:c>
      <x:c r="B41" s="933" t="str">
        <x:v>거주 선택 — 거주 우세 또는 출항 실행 불가</x:v>
      </x:c>
      <x:c r="C41" s="933" t="str">
        <x:v>정착 실행 가능 + StayCount&gt;LeaveCount 또는 출항측 기능 붕괴</x:v>
      </x:c>
      <x:c r="D41" s="933" t="str">
        <x:v>기존 '다수결 거주'를 조금 넓혀 Forced-but-viable 정착도 포함</x:v>
      </x:c>
      <x:c r="E41" s="933" t="str">
        <x:v>TEMP 정교화</x:v>
      </x:c>
      <x:c r="F41" s="933"/>
      <x:c r="G41" s="933"/>
      <x:c r="H41" s="933"/>
      <x:c r="I41" s="933"/>
      <x:c r="J41" s="933"/>
      <x:c r="K41" s="933"/>
      <x:c r="L41" s="933"/>
      <x:c r="M41" s="933"/>
      <x:c r="N41" s="933"/>
      <x:c r="O41" s="933"/>
      <x:c r="P41" s="933"/>
      <x:c r="Q41" s="933"/>
    </x:row>
    <x:row r="42" ht="15" hidden="0" customHeight="1">
      <x:c r="A42" s="933"/>
      <x:c r="B42" s="933"/>
      <x:c r="C42" s="933"/>
      <x:c r="D42" s="933"/>
      <x:c r="E42" s="933"/>
      <x:c r="F42" s="933"/>
      <x:c r="G42" s="933"/>
      <x:c r="H42" s="933"/>
      <x:c r="I42" s="933"/>
      <x:c r="J42" s="933"/>
      <x:c r="K42" s="933"/>
      <x:c r="L42" s="933"/>
      <x:c r="M42" s="933"/>
      <x:c r="N42" s="933"/>
      <x:c r="O42" s="933"/>
      <x:c r="P42" s="933"/>
      <x:c r="Q42" s="933"/>
    </x:row>
    <x:row r="43" ht="26" hidden="0" customHeight="1">
      <x:c r="A43" s="950" t="str">
        <x:v>5. 대표 상태 충돌 테스트</x:v>
      </x:c>
      <x:c r="B43" s="950"/>
      <x:c r="C43" s="950"/>
      <x:c r="D43" s="950"/>
      <x:c r="E43" s="950"/>
      <x:c r="F43" s="950"/>
      <x:c r="G43" s="950"/>
      <x:c r="H43" s="950"/>
      <x:c r="I43" s="950"/>
      <x:c r="J43" s="950"/>
      <x:c r="K43" s="950"/>
      <x:c r="L43" s="950"/>
      <x:c r="M43" s="950"/>
      <x:c r="N43" s="950"/>
      <x:c r="O43" s="950"/>
      <x:c r="P43" s="950"/>
      <x:c r="Q43" s="950"/>
      <x:c r="R43" s="363"/>
    </x:row>
    <x:row r="44" ht="30" hidden="0" customHeight="1">
      <x:c r="A44" s="953" t="str">
        <x:v>Case</x:v>
      </x:c>
      <x:c r="B44" s="953" t="str">
        <x:v>SurvivalFail</x:v>
      </x:c>
      <x:c r="C44" s="953" t="str">
        <x:v>ShelterReady</x:v>
      </x:c>
      <x:c r="D44" s="953" t="str">
        <x:v>ShipCondition</x:v>
      </x:c>
      <x:c r="E44" s="953" t="str">
        <x:v>Sustainability</x:v>
      </x:c>
      <x:c r="F44" s="953" t="str">
        <x:v>DepartureCrew</x:v>
      </x:c>
      <x:c r="G44" s="953" t="str">
        <x:v>SettlementCore</x:v>
      </x:c>
      <x:c r="H44" s="953" t="str">
        <x:v>All6Alive</x:v>
      </x:c>
      <x:c r="I44" s="953" t="str">
        <x:v>TrueStanceSet</x:v>
      </x:c>
      <x:c r="J44" s="953" t="str">
        <x:v>HiddenEvidence</x:v>
      </x:c>
      <x:c r="K44" s="953" t="str">
        <x:v>StayCount</x:v>
      </x:c>
      <x:c r="L44" s="953" t="str">
        <x:v>LeaveCount</x:v>
      </x:c>
      <x:c r="M44" s="953" t="str">
        <x:v>DeparturePossible</x:v>
      </x:c>
      <x:c r="N44" s="953" t="str">
        <x:v>DepartureReady</x:v>
      </x:c>
      <x:c r="O44" s="953" t="str">
        <x:v>SettlementPossible</x:v>
      </x:c>
      <x:c r="P44" s="953" t="str">
        <x:v>결과</x:v>
      </x:c>
      <x:c r="Q44" s="953" t="str">
        <x:v>기대</x:v>
      </x:c>
    </x:row>
    <x:row r="45" ht="15" hidden="0" customHeight="1">
      <x:c r="A45" s="933" t="str">
        <x:v>즉시 붕괴</x:v>
      </x:c>
      <x:c r="B45" s="957" t="b">
        <x:v>1</x:v>
      </x:c>
      <x:c r="C45" s="957" t="b">
        <x:v>1</x:v>
      </x:c>
      <x:c r="D45" s="933" t="str">
        <x:v>보통</x:v>
      </x:c>
      <x:c r="E45" s="933" t="str">
        <x:v>HIGH</x:v>
      </x:c>
      <x:c r="F45" s="957" t="b">
        <x:v>1</x:v>
      </x:c>
      <x:c r="G45" s="957" t="b">
        <x:v>1</x:v>
      </x:c>
      <x:c r="H45" s="957" t="b">
        <x:v>1</x:v>
      </x:c>
      <x:c r="I45" s="957" t="b">
        <x:v>1</x:v>
      </x:c>
      <x:c r="J45" s="957" t="b">
        <x:v>1</x:v>
      </x:c>
      <x:c r="K45" s="933" t="n">
        <x:v>0</x:v>
      </x:c>
      <x:c r="L45" s="933" t="n">
        <x:v>4</x:v>
      </x:c>
      <x:c r="M45" s="933" t="b">
        <x:f>D45&lt;&gt;"항해 불가"</x:f>
        <x:v>1</x:v>
      </x:c>
      <x:c r="N45" s="933" t="b">
        <x:f>OR(D45="보통",D45="좋음")</x:f>
        <x:v>1</x:v>
      </x:c>
      <x:c r="O45" s="933" t="b">
        <x:f>OR(E45="MEDIUM",E45="HIGH")</x:f>
        <x:v>1</x:v>
      </x:c>
      <x:c r="P45" s="933" t="str">
        <x:f>IF(B45,"Bad 1",IF(NOT(C45),"Bad 2",IF(AND(NOT(M45),NOT(O45)),"Bad 3",IF(AND(OR(M45,O45),NOT(OR(AND(M45,F45),AND(O45,G45)))),"Bad 4",IF(AND(H45,N45,I45),"True",IF(AND(E45="HIGH",N45,J45),"Hidden",IF(AND(O45,G45,OR(NOT(M45),NOT(F45),K45&gt;L45)),"Normal 3",IF(AND(M45,F45,O45,G45,K45&gt;0,L45&gt;0),"Normal 2",IF(AND(M45,F45),"Normal 1",IF(AND(O45,G45),"Normal 3","Bad 4"))))))))))</x:f>
        <x:v>Bad 1</x:v>
      </x:c>
      <x:c r="Q45" s="933" t="str">
        <x:v>Bad 1</x:v>
      </x:c>
    </x:row>
    <x:row r="46" ht="15" hidden="0" customHeight="1">
      <x:c r="A46" s="933" t="str">
        <x:v>피난처 실패</x:v>
      </x:c>
      <x:c r="B46" s="957" t="b">
        <x:v>0</x:v>
      </x:c>
      <x:c r="C46" s="957" t="b">
        <x:v>0</x:v>
      </x:c>
      <x:c r="D46" s="933" t="str">
        <x:v>수리 필요</x:v>
      </x:c>
      <x:c r="E46" s="933" t="str">
        <x:v>LOW</x:v>
      </x:c>
      <x:c r="F46" s="957" t="b">
        <x:v>1</x:v>
      </x:c>
      <x:c r="G46" s="957" t="b">
        <x:v>1</x:v>
      </x:c>
      <x:c r="H46" s="957" t="b">
        <x:v>1</x:v>
      </x:c>
      <x:c r="I46" s="957" t="b">
        <x:v>0</x:v>
      </x:c>
      <x:c r="J46" s="957" t="b">
        <x:v>0</x:v>
      </x:c>
      <x:c r="K46" s="933" t="n">
        <x:v>2</x:v>
      </x:c>
      <x:c r="L46" s="933" t="n">
        <x:v>2</x:v>
      </x:c>
      <x:c r="M46" s="933" t="b">
        <x:f>D46&lt;&gt;"항해 불가"</x:f>
        <x:v>1</x:v>
      </x:c>
      <x:c r="N46" s="933" t="b">
        <x:f>OR(D46="보통",D46="좋음")</x:f>
        <x:v>0</x:v>
      </x:c>
      <x:c r="O46" s="933" t="b">
        <x:f>OR(E46="MEDIUM",E46="HIGH")</x:f>
        <x:v>0</x:v>
      </x:c>
      <x:c r="P46" s="933" t="str">
        <x:f>IF(B46,"Bad 1",IF(NOT(C46),"Bad 2",IF(AND(NOT(M46),NOT(O46)),"Bad 3",IF(AND(OR(M46,O46),NOT(OR(AND(M46,F46),AND(O46,G46)))),"Bad 4",IF(AND(H46,N46,I46),"True",IF(AND(E46="HIGH",N46,J46),"Hidden",IF(AND(O46,G46,OR(NOT(M46),NOT(F46),K46&gt;L46)),"Normal 3",IF(AND(M46,F46,O46,G46,K46&gt;0,L46&gt;0),"Normal 2",IF(AND(M46,F46),"Normal 1",IF(AND(O46,G46),"Normal 3","Bad 4"))))))))))</x:f>
        <x:v>Bad 2</x:v>
      </x:c>
      <x:c r="Q46" s="933" t="str">
        <x:v>Bad 2</x:v>
      </x:c>
    </x:row>
    <x:row r="47" ht="15" hidden="0" customHeight="1">
      <x:c r="A47" s="933" t="str">
        <x:v>물리적 미래 없음</x:v>
      </x:c>
      <x:c r="B47" s="957" t="b">
        <x:v>0</x:v>
      </x:c>
      <x:c r="C47" s="957" t="b">
        <x:v>1</x:v>
      </x:c>
      <x:c r="D47" s="933" t="str">
        <x:v>항해 불가</x:v>
      </x:c>
      <x:c r="E47" s="933" t="str">
        <x:v>LOW</x:v>
      </x:c>
      <x:c r="F47" s="957" t="b">
        <x:v>0</x:v>
      </x:c>
      <x:c r="G47" s="957" t="b">
        <x:v>1</x:v>
      </x:c>
      <x:c r="H47" s="957" t="b">
        <x:v>0</x:v>
      </x:c>
      <x:c r="I47" s="957" t="b">
        <x:v>0</x:v>
      </x:c>
      <x:c r="J47" s="957" t="b">
        <x:v>0</x:v>
      </x:c>
      <x:c r="K47" s="933" t="n">
        <x:v>2</x:v>
      </x:c>
      <x:c r="L47" s="933" t="n">
        <x:v>1</x:v>
      </x:c>
      <x:c r="M47" s="933" t="b">
        <x:f>D47&lt;&gt;"항해 불가"</x:f>
        <x:v>0</x:v>
      </x:c>
      <x:c r="N47" s="933" t="b">
        <x:f>OR(D47="보통",D47="좋음")</x:f>
        <x:v>0</x:v>
      </x:c>
      <x:c r="O47" s="933" t="b">
        <x:f>OR(E47="MEDIUM",E47="HIGH")</x:f>
        <x:v>0</x:v>
      </x:c>
      <x:c r="P47" s="933" t="str">
        <x:f>IF(B47,"Bad 1",IF(NOT(C47),"Bad 2",IF(AND(NOT(M47),NOT(O47)),"Bad 3",IF(AND(OR(M47,O47),NOT(OR(AND(M47,F47),AND(O47,G47)))),"Bad 4",IF(AND(H47,N47,I47),"True",IF(AND(E47="HIGH",N47,J47),"Hidden",IF(AND(O47,G47,OR(NOT(M47),NOT(F47),K47&gt;L47)),"Normal 3",IF(AND(M47,F47,O47,G47,K47&gt;0,L47&gt;0),"Normal 2",IF(AND(M47,F47),"Normal 1",IF(AND(O47,G47),"Normal 3","Bad 4"))))))))))</x:f>
        <x:v>Bad 3</x:v>
      </x:c>
      <x:c r="Q47" s="933" t="str">
        <x:v>Bad 3</x:v>
      </x:c>
    </x:row>
    <x:row r="48" ht="24" hidden="0" customHeight="1">
      <x:c r="A48" s="933" t="str">
        <x:v>배는 있으나 사람축 붕괴</x:v>
      </x:c>
      <x:c r="B48" s="957" t="b">
        <x:v>0</x:v>
      </x:c>
      <x:c r="C48" s="957" t="b">
        <x:v>1</x:v>
      </x:c>
      <x:c r="D48" s="933" t="str">
        <x:v>보통</x:v>
      </x:c>
      <x:c r="E48" s="933" t="str">
        <x:v>LOW</x:v>
      </x:c>
      <x:c r="F48" s="957" t="b">
        <x:v>0</x:v>
      </x:c>
      <x:c r="G48" s="957" t="b">
        <x:v>0</x:v>
      </x:c>
      <x:c r="H48" s="957" t="b">
        <x:v>0</x:v>
      </x:c>
      <x:c r="I48" s="957" t="b">
        <x:v>0</x:v>
      </x:c>
      <x:c r="J48" s="957" t="b">
        <x:v>0</x:v>
      </x:c>
      <x:c r="K48" s="933" t="n">
        <x:v>0</x:v>
      </x:c>
      <x:c r="L48" s="933" t="n">
        <x:v>1</x:v>
      </x:c>
      <x:c r="M48" s="933" t="b">
        <x:f>D48&lt;&gt;"항해 불가"</x:f>
        <x:v>1</x:v>
      </x:c>
      <x:c r="N48" s="933" t="b">
        <x:f>OR(D48="보통",D48="좋음")</x:f>
        <x:v>1</x:v>
      </x:c>
      <x:c r="O48" s="933" t="b">
        <x:f>OR(E48="MEDIUM",E48="HIGH")</x:f>
        <x:v>0</x:v>
      </x:c>
      <x:c r="P48" s="933" t="str">
        <x:f>IF(B48,"Bad 1",IF(NOT(C48),"Bad 2",IF(AND(NOT(M48),NOT(O48)),"Bad 3",IF(AND(OR(M48,O48),NOT(OR(AND(M48,F48),AND(O48,G48)))),"Bad 4",IF(AND(H48,N48,I48),"True",IF(AND(E48="HIGH",N48,J48),"Hidden",IF(AND(O48,G48,OR(NOT(M48),NOT(F48),K48&gt;L48)),"Normal 3",IF(AND(M48,F48,O48,G48,K48&gt;0,L48&gt;0),"Normal 2",IF(AND(M48,F48),"Normal 1",IF(AND(O48,G48),"Normal 3","Bad 4"))))))))))</x:f>
        <x:v>Bad 4</x:v>
      </x:c>
      <x:c r="Q48" s="933" t="str">
        <x:v>Bad 4</x:v>
      </x:c>
    </x:row>
    <x:row r="49" ht="15" hidden="0" customHeight="1">
      <x:c r="A49" s="933" t="str">
        <x:v>True 표준</x:v>
      </x:c>
      <x:c r="B49" s="957" t="b">
        <x:v>0</x:v>
      </x:c>
      <x:c r="C49" s="957" t="b">
        <x:v>1</x:v>
      </x:c>
      <x:c r="D49" s="933" t="str">
        <x:v>보통</x:v>
      </x:c>
      <x:c r="E49" s="933" t="str">
        <x:v>MEDIUM</x:v>
      </x:c>
      <x:c r="F49" s="957" t="b">
        <x:v>1</x:v>
      </x:c>
      <x:c r="G49" s="957" t="b">
        <x:v>1</x:v>
      </x:c>
      <x:c r="H49" s="957" t="b">
        <x:v>1</x:v>
      </x:c>
      <x:c r="I49" s="957" t="b">
        <x:v>1</x:v>
      </x:c>
      <x:c r="J49" s="957" t="b">
        <x:v>0</x:v>
      </x:c>
      <x:c r="K49" s="933" t="n">
        <x:v>0</x:v>
      </x:c>
      <x:c r="L49" s="933" t="n">
        <x:v>3</x:v>
      </x:c>
      <x:c r="M49" s="933" t="b">
        <x:f>D49&lt;&gt;"항해 불가"</x:f>
        <x:v>1</x:v>
      </x:c>
      <x:c r="N49" s="933" t="b">
        <x:f>OR(D49="보통",D49="좋음")</x:f>
        <x:v>1</x:v>
      </x:c>
      <x:c r="O49" s="933" t="b">
        <x:f>OR(E49="MEDIUM",E49="HIGH")</x:f>
        <x:v>1</x:v>
      </x:c>
      <x:c r="P49" s="933" t="str">
        <x:f>IF(B49,"Bad 1",IF(NOT(C49),"Bad 2",IF(AND(NOT(M49),NOT(O49)),"Bad 3",IF(AND(OR(M49,O49),NOT(OR(AND(M49,F49),AND(O49,G49)))),"Bad 4",IF(AND(H49,N49,I49),"True",IF(AND(E49="HIGH",N49,J49),"Hidden",IF(AND(O49,G49,OR(NOT(M49),NOT(F49),K49&gt;L49)),"Normal 3",IF(AND(M49,F49,O49,G49,K49&gt;0,L49&gt;0),"Normal 2",IF(AND(M49,F49),"Normal 1",IF(AND(O49,G49),"Normal 3","Bad 4"))))))))))</x:f>
        <x:v>True</x:v>
      </x:c>
      <x:c r="Q49" s="933" t="str">
        <x:v>True</x:v>
      </x:c>
    </x:row>
    <x:row r="50" ht="15" hidden="0" customHeight="1">
      <x:c r="A50" s="933" t="str">
        <x:v>Hidden 표준</x:v>
      </x:c>
      <x:c r="B50" s="957" t="b">
        <x:v>0</x:v>
      </x:c>
      <x:c r="C50" s="957" t="b">
        <x:v>1</x:v>
      </x:c>
      <x:c r="D50" s="933" t="str">
        <x:v>보통</x:v>
      </x:c>
      <x:c r="E50" s="933" t="str">
        <x:v>HIGH</x:v>
      </x:c>
      <x:c r="F50" s="957" t="b">
        <x:v>1</x:v>
      </x:c>
      <x:c r="G50" s="957" t="b">
        <x:v>1</x:v>
      </x:c>
      <x:c r="H50" s="957" t="b">
        <x:v>0</x:v>
      </x:c>
      <x:c r="I50" s="957" t="b">
        <x:v>0</x:v>
      </x:c>
      <x:c r="J50" s="957" t="b">
        <x:v>1</x:v>
      </x:c>
      <x:c r="K50" s="933" t="n">
        <x:v>3</x:v>
      </x:c>
      <x:c r="L50" s="933" t="n">
        <x:v>2</x:v>
      </x:c>
      <x:c r="M50" s="933" t="b">
        <x:f>D50&lt;&gt;"항해 불가"</x:f>
        <x:v>1</x:v>
      </x:c>
      <x:c r="N50" s="933" t="b">
        <x:f>OR(D50="보통",D50="좋음")</x:f>
        <x:v>1</x:v>
      </x:c>
      <x:c r="O50" s="933" t="b">
        <x:f>OR(E50="MEDIUM",E50="HIGH")</x:f>
        <x:v>1</x:v>
      </x:c>
      <x:c r="P50" s="933" t="str">
        <x:f>IF(B50,"Bad 1",IF(NOT(C50),"Bad 2",IF(AND(NOT(M50),NOT(O50)),"Bad 3",IF(AND(OR(M50,O50),NOT(OR(AND(M50,F50),AND(O50,G50)))),"Bad 4",IF(AND(H50,N50,I50),"True",IF(AND(E50="HIGH",N50,J50),"Hidden",IF(AND(O50,G50,OR(NOT(M50),NOT(F50),K50&gt;L50)),"Normal 3",IF(AND(M50,F50,O50,G50,K50&gt;0,L50&gt;0),"Normal 2",IF(AND(M50,F50),"Normal 1",IF(AND(O50,G50),"Normal 3","Bad 4"))))))))))</x:f>
        <x:v>Hidden</x:v>
      </x:c>
      <x:c r="Q50" s="933" t="str">
        <x:v>Hidden</x:v>
      </x:c>
    </x:row>
    <x:row r="51" ht="15" hidden="0" customHeight="1">
      <x:c r="A51" s="933" t="str">
        <x:v>거주 우세</x:v>
      </x:c>
      <x:c r="B51" s="957" t="b">
        <x:v>0</x:v>
      </x:c>
      <x:c r="C51" s="957" t="b">
        <x:v>1</x:v>
      </x:c>
      <x:c r="D51" s="933" t="str">
        <x:v>수리 필요</x:v>
      </x:c>
      <x:c r="E51" s="933" t="str">
        <x:v>HIGH</x:v>
      </x:c>
      <x:c r="F51" s="957" t="b">
        <x:v>1</x:v>
      </x:c>
      <x:c r="G51" s="957" t="b">
        <x:v>1</x:v>
      </x:c>
      <x:c r="H51" s="957" t="b">
        <x:v>0</x:v>
      </x:c>
      <x:c r="I51" s="957" t="b">
        <x:v>0</x:v>
      </x:c>
      <x:c r="J51" s="957" t="b">
        <x:v>0</x:v>
      </x:c>
      <x:c r="K51" s="933" t="n">
        <x:v>3</x:v>
      </x:c>
      <x:c r="L51" s="933" t="n">
        <x:v>2</x:v>
      </x:c>
      <x:c r="M51" s="933" t="b">
        <x:f>D51&lt;&gt;"항해 불가"</x:f>
        <x:v>1</x:v>
      </x:c>
      <x:c r="N51" s="933" t="b">
        <x:f>OR(D51="보통",D51="좋음")</x:f>
        <x:v>0</x:v>
      </x:c>
      <x:c r="O51" s="933" t="b">
        <x:f>OR(E51="MEDIUM",E51="HIGH")</x:f>
        <x:v>1</x:v>
      </x:c>
      <x:c r="P51" s="933" t="str">
        <x:f>IF(B51,"Bad 1",IF(NOT(C51),"Bad 2",IF(AND(NOT(M51),NOT(O51)),"Bad 3",IF(AND(OR(M51,O51),NOT(OR(AND(M51,F51),AND(O51,G51)))),"Bad 4",IF(AND(H51,N51,I51),"True",IF(AND(E51="HIGH",N51,J51),"Hidden",IF(AND(O51,G51,OR(NOT(M51),NOT(F51),K51&gt;L51)),"Normal 3",IF(AND(M51,F51,O51,G51,K51&gt;0,L51&gt;0),"Normal 2",IF(AND(M51,F51),"Normal 1",IF(AND(O51,G51),"Normal 3","Bad 4"))))))))))</x:f>
        <x:v>Normal 3</x:v>
      </x:c>
      <x:c r="Q51" s="933" t="str">
        <x:v>Normal 3</x:v>
      </x:c>
    </x:row>
    <x:row r="52" ht="15" hidden="0" customHeight="1">
      <x:c r="A52" s="933" t="str">
        <x:v>양쪽 분리</x:v>
      </x:c>
      <x:c r="B52" s="957" t="b">
        <x:v>0</x:v>
      </x:c>
      <x:c r="C52" s="957" t="b">
        <x:v>1</x:v>
      </x:c>
      <x:c r="D52" s="933" t="str">
        <x:v>보통</x:v>
      </x:c>
      <x:c r="E52" s="933" t="str">
        <x:v>MEDIUM</x:v>
      </x:c>
      <x:c r="F52" s="957" t="b">
        <x:v>1</x:v>
      </x:c>
      <x:c r="G52" s="957" t="b">
        <x:v>1</x:v>
      </x:c>
      <x:c r="H52" s="957" t="b">
        <x:v>0</x:v>
      </x:c>
      <x:c r="I52" s="957" t="b">
        <x:v>0</x:v>
      </x:c>
      <x:c r="J52" s="957" t="b">
        <x:v>0</x:v>
      </x:c>
      <x:c r="K52" s="933" t="n">
        <x:v>2</x:v>
      </x:c>
      <x:c r="L52" s="933" t="n">
        <x:v>3</x:v>
      </x:c>
      <x:c r="M52" s="933" t="b">
        <x:f>D52&lt;&gt;"항해 불가"</x:f>
        <x:v>1</x:v>
      </x:c>
      <x:c r="N52" s="933" t="b">
        <x:f>OR(D52="보통",D52="좋음")</x:f>
        <x:v>1</x:v>
      </x:c>
      <x:c r="O52" s="933" t="b">
        <x:f>OR(E52="MEDIUM",E52="HIGH")</x:f>
        <x:v>1</x:v>
      </x:c>
      <x:c r="P52" s="933" t="str">
        <x:f>IF(B52,"Bad 1",IF(NOT(C52),"Bad 2",IF(AND(NOT(M52),NOT(O52)),"Bad 3",IF(AND(OR(M52,O52),NOT(OR(AND(M52,F52),AND(O52,G52)))),"Bad 4",IF(AND(H52,N52,I52),"True",IF(AND(E52="HIGH",N52,J52),"Hidden",IF(AND(O52,G52,OR(NOT(M52),NOT(F52),K52&gt;L52)),"Normal 3",IF(AND(M52,F52,O52,G52,K52&gt;0,L52&gt;0),"Normal 2",IF(AND(M52,F52),"Normal 1",IF(AND(O52,G52),"Normal 3","Bad 4"))))))))))</x:f>
        <x:v>Normal 2</x:v>
      </x:c>
      <x:c r="Q52" s="933" t="str">
        <x:v>Normal 2</x:v>
      </x:c>
    </x:row>
    <x:row r="53" ht="15" hidden="0" customHeight="1">
      <x:c r="A53" s="933" t="str">
        <x:v>정착 근거 없음</x:v>
      </x:c>
      <x:c r="B53" s="957" t="b">
        <x:v>0</x:v>
      </x:c>
      <x:c r="C53" s="957" t="b">
        <x:v>1</x:v>
      </x:c>
      <x:c r="D53" s="933" t="str">
        <x:v>수리 필요</x:v>
      </x:c>
      <x:c r="E53" s="933" t="str">
        <x:v>LOW</x:v>
      </x:c>
      <x:c r="F53" s="957" t="b">
        <x:v>1</x:v>
      </x:c>
      <x:c r="G53" s="957" t="b">
        <x:v>1</x:v>
      </x:c>
      <x:c r="H53" s="957" t="b">
        <x:v>0</x:v>
      </x:c>
      <x:c r="I53" s="957" t="b">
        <x:v>0</x:v>
      </x:c>
      <x:c r="J53" s="957" t="b">
        <x:v>0</x:v>
      </x:c>
      <x:c r="K53" s="933" t="n">
        <x:v>0</x:v>
      </x:c>
      <x:c r="L53" s="933" t="n">
        <x:v>3</x:v>
      </x:c>
      <x:c r="M53" s="933" t="b">
        <x:f>D53&lt;&gt;"항해 불가"</x:f>
        <x:v>1</x:v>
      </x:c>
      <x:c r="N53" s="933" t="b">
        <x:f>OR(D53="보통",D53="좋음")</x:f>
        <x:v>0</x:v>
      </x:c>
      <x:c r="O53" s="933" t="b">
        <x:f>OR(E53="MEDIUM",E53="HIGH")</x:f>
        <x:v>0</x:v>
      </x:c>
      <x:c r="P53" s="933" t="str">
        <x:f>IF(B53,"Bad 1",IF(NOT(C53),"Bad 2",IF(AND(NOT(M53),NOT(O53)),"Bad 3",IF(AND(OR(M53,O53),NOT(OR(AND(M53,F53),AND(O53,G53)))),"Bad 4",IF(AND(H53,N53,I53),"True",IF(AND(E53="HIGH",N53,J53),"Hidden",IF(AND(O53,G53,OR(NOT(M53),NOT(F53),K53&gt;L53)),"Normal 3",IF(AND(M53,F53,O53,G53,K53&gt;0,L53&gt;0),"Normal 2",IF(AND(M53,F53),"Normal 1",IF(AND(O53,G53),"Normal 3","Bad 4"))))))))))</x:f>
        <x:v>Normal 1</x:v>
      </x:c>
      <x:c r="Q53" s="933" t="str">
        <x:v>Normal 1</x:v>
      </x:c>
    </x:row>
    <x:row r="54" ht="15" hidden="0" customHeight="1">
      <x:c r="A54" s="933" t="str">
        <x:v>샘 사망, 정착은 가능</x:v>
      </x:c>
      <x:c r="B54" s="957" t="b">
        <x:v>0</x:v>
      </x:c>
      <x:c r="C54" s="957" t="b">
        <x:v>1</x:v>
      </x:c>
      <x:c r="D54" s="933" t="str">
        <x:v>보통</x:v>
      </x:c>
      <x:c r="E54" s="933" t="str">
        <x:v>HIGH</x:v>
      </x:c>
      <x:c r="F54" s="957" t="b">
        <x:v>0</x:v>
      </x:c>
      <x:c r="G54" s="957" t="b">
        <x:v>1</x:v>
      </x:c>
      <x:c r="H54" s="957" t="b">
        <x:v>0</x:v>
      </x:c>
      <x:c r="I54" s="957" t="b">
        <x:v>0</x:v>
      </x:c>
      <x:c r="J54" s="957" t="b">
        <x:v>0</x:v>
      </x:c>
      <x:c r="K54" s="933" t="n">
        <x:v>2</x:v>
      </x:c>
      <x:c r="L54" s="933" t="n">
        <x:v>2</x:v>
      </x:c>
      <x:c r="M54" s="933" t="b">
        <x:f>D54&lt;&gt;"항해 불가"</x:f>
        <x:v>1</x:v>
      </x:c>
      <x:c r="N54" s="933" t="b">
        <x:f>OR(D54="보통",D54="좋음")</x:f>
        <x:v>1</x:v>
      </x:c>
      <x:c r="O54" s="933" t="b">
        <x:f>OR(E54="MEDIUM",E54="HIGH")</x:f>
        <x:v>1</x:v>
      </x:c>
      <x:c r="P54" s="933" t="str">
        <x:f>IF(B54,"Bad 1",IF(NOT(C54),"Bad 2",IF(AND(NOT(M54),NOT(O54)),"Bad 3",IF(AND(OR(M54,O54),NOT(OR(AND(M54,F54),AND(O54,G54)))),"Bad 4",IF(AND(H54,N54,I54),"True",IF(AND(E54="HIGH",N54,J54),"Hidden",IF(AND(O54,G54,OR(NOT(M54),NOT(F54),K54&gt;L54)),"Normal 3",IF(AND(M54,F54,O54,G54,K54&gt;0,L54&gt;0),"Normal 2",IF(AND(M54,F54),"Normal 1",IF(AND(O54,G54),"Normal 3","Bad 4"))))))))))</x:f>
        <x:v>Normal 3</x:v>
      </x:c>
      <x:c r="Q54" s="933" t="str">
        <x:v>Normal 3</x:v>
      </x:c>
    </x:row>
    <x:row r="55" ht="15" hidden="0" customHeight="1">
      <x:c r="A55" s="933" t="str">
        <x:v>배 불가, 정착 인력 있음</x:v>
      </x:c>
      <x:c r="B55" s="957" t="b">
        <x:v>0</x:v>
      </x:c>
      <x:c r="C55" s="957" t="b">
        <x:v>1</x:v>
      </x:c>
      <x:c r="D55" s="933" t="str">
        <x:v>항해 불가</x:v>
      </x:c>
      <x:c r="E55" s="933" t="str">
        <x:v>MEDIUM</x:v>
      </x:c>
      <x:c r="F55" s="957" t="b">
        <x:v>0</x:v>
      </x:c>
      <x:c r="G55" s="957" t="b">
        <x:v>1</x:v>
      </x:c>
      <x:c r="H55" s="957" t="b">
        <x:v>0</x:v>
      </x:c>
      <x:c r="I55" s="957" t="b">
        <x:v>0</x:v>
      </x:c>
      <x:c r="J55" s="957" t="b">
        <x:v>0</x:v>
      </x:c>
      <x:c r="K55" s="933" t="n">
        <x:v>2</x:v>
      </x:c>
      <x:c r="L55" s="933" t="n">
        <x:v>3</x:v>
      </x:c>
      <x:c r="M55" s="933" t="b">
        <x:f>D55&lt;&gt;"항해 불가"</x:f>
        <x:v>0</x:v>
      </x:c>
      <x:c r="N55" s="933" t="b">
        <x:f>OR(D55="보통",D55="좋음")</x:f>
        <x:v>0</x:v>
      </x:c>
      <x:c r="O55" s="933" t="b">
        <x:f>OR(E55="MEDIUM",E55="HIGH")</x:f>
        <x:v>1</x:v>
      </x:c>
      <x:c r="P55" s="933" t="str">
        <x:f>IF(B55,"Bad 1",IF(NOT(C55),"Bad 2",IF(AND(NOT(M55),NOT(O55)),"Bad 3",IF(AND(OR(M55,O55),NOT(OR(AND(M55,F55),AND(O55,G55)))),"Bad 4",IF(AND(H55,N55,I55),"True",IF(AND(E55="HIGH",N55,J55),"Hidden",IF(AND(O55,G55,OR(NOT(M55),NOT(F55),K55&gt;L55)),"Normal 3",IF(AND(M55,F55,O55,G55,K55&gt;0,L55&gt;0),"Normal 2",IF(AND(M55,F55),"Normal 1",IF(AND(O55,G55),"Normal 3","Bad 4"))))))))))</x:f>
        <x:v>Normal 3</x:v>
      </x:c>
      <x:c r="Q55" s="933" t="str">
        <x:v>Normal 3</x:v>
      </x:c>
    </x:row>
    <x:row r="56" ht="15" hidden="0" customHeight="1">
      <x:c r="A56" s="933"/>
      <x:c r="B56" s="933"/>
      <x:c r="C56" s="933"/>
      <x:c r="D56" s="933"/>
      <x:c r="E56" s="933"/>
      <x:c r="F56" s="933"/>
      <x:c r="G56" s="933"/>
      <x:c r="H56" s="933"/>
      <x:c r="I56" s="933"/>
      <x:c r="J56" s="933"/>
      <x:c r="K56" s="933"/>
      <x:c r="L56" s="933"/>
      <x:c r="M56" s="933"/>
      <x:c r="N56" s="933"/>
      <x:c r="O56" s="933"/>
      <x:c r="P56" s="933"/>
      <x:c r="Q56" s="933"/>
    </x:row>
    <x:row r="57" ht="26" hidden="0" customHeight="1">
      <x:c r="A57" s="950" t="str">
        <x:v>6. Bad 2를 지금 닫는 방식</x:v>
      </x:c>
      <x:c r="B57" s="950"/>
      <x:c r="C57" s="950"/>
      <x:c r="D57" s="950"/>
      <x:c r="E57" s="950"/>
      <x:c r="F57" s="950"/>
      <x:c r="G57" s="950"/>
      <x:c r="H57" s="950"/>
      <x:c r="I57" s="950"/>
      <x:c r="J57" s="950"/>
      <x:c r="K57" s="950"/>
      <x:c r="L57" s="950"/>
      <x:c r="M57" s="950"/>
      <x:c r="N57" s="950"/>
      <x:c r="O57" s="950"/>
      <x:c r="P57" s="950"/>
      <x:c r="Q57" s="950"/>
      <x:c r="R57" s="363"/>
    </x:row>
    <x:row r="58" ht="30" hidden="0" customHeight="1">
      <x:c r="A58" s="953" t="str">
        <x:v>항목</x:v>
      </x:c>
      <x:c r="B58" s="953" t="str">
        <x:v>결론</x:v>
      </x:c>
      <x:c r="C58" s="953" t="str">
        <x:v>이유</x:v>
      </x:c>
      <x:c r="D58" s="953" t="str">
        <x:v>상태</x:v>
      </x:c>
      <x:c r="E58" s="953"/>
      <x:c r="F58" s="953"/>
      <x:c r="G58" s="953"/>
      <x:c r="H58" s="953"/>
      <x:c r="I58" s="953"/>
      <x:c r="J58" s="953"/>
      <x:c r="K58" s="953"/>
      <x:c r="L58" s="953"/>
      <x:c r="M58" s="953"/>
      <x:c r="N58" s="953"/>
      <x:c r="O58" s="953"/>
      <x:c r="P58" s="953"/>
      <x:c r="Q58" s="953"/>
    </x:row>
    <x:row r="59" ht="36" hidden="0" customHeight="1">
      <x:c r="A59" s="933" t="str">
        <x:v>ShelterReady</x:v>
      </x:c>
      <x:c r="B59" s="933" t="str">
        <x:v>Hull&gt;=8 AND Engine&gt;=2 AND Oxygen&gt;=3 AND Living&gt;=3</x:v>
      </x:c>
      <x:c r="C59" s="933" t="str">
        <x:v>현재 W2 최소 준비값과 일치</x:v>
      </x:c>
      <x:c r="D59" s="933" t="str">
        <x:v>TEMP 확정 후보</x:v>
      </x:c>
      <x:c r="E59" s="933"/>
      <x:c r="F59" s="933"/>
      <x:c r="G59" s="933"/>
      <x:c r="H59" s="933"/>
      <x:c r="I59" s="933"/>
      <x:c r="J59" s="933"/>
      <x:c r="K59" s="933"/>
      <x:c r="L59" s="933"/>
      <x:c r="M59" s="933"/>
      <x:c r="N59" s="933"/>
      <x:c r="O59" s="933"/>
      <x:c r="P59" s="933"/>
      <x:c r="Q59" s="933"/>
    </x:row>
    <x:row r="60" ht="30" hidden="0" customHeight="1">
      <x:c r="A60" s="941" t="str">
        <x:v>판정시점</x:v>
      </x:c>
      <x:c r="B60" s="941" t="str">
        <x:v>D14 End Day 정산 후</x:v>
      </x:c>
      <x:c r="C60" s="941" t="str">
        <x:v>D15 2개 동시 Wave에 들어간 뒤 즉시 무너지는 것보다 실패 원인이 읽힘</x:v>
      </x:c>
      <x:c r="D60" s="941" t="str">
        <x:v>TEMP 확정 후보</x:v>
      </x:c>
      <x:c r="E60" s="941"/>
      <x:c r="F60" s="941"/>
      <x:c r="G60" s="941"/>
      <x:c r="H60" s="941"/>
      <x:c r="I60" s="941"/>
      <x:c r="J60" s="941"/>
      <x:c r="K60" s="941"/>
      <x:c r="L60" s="941"/>
      <x:c r="M60" s="941"/>
      <x:c r="N60" s="941"/>
      <x:c r="O60" s="941"/>
      <x:c r="P60" s="941"/>
      <x:c r="Q60" s="941"/>
    </x:row>
    <x:row r="61" ht="48" hidden="0" customHeight="1">
      <x:c r="A61" s="933" t="str">
        <x:v>연출</x:v>
      </x:c>
      <x:c r="B61" s="933" t="str">
        <x:v>봉쇄 직후 구조/산소/거주 준비 부족이 드러나고 폭풍 첫 충격을 견디지 못함</x:v>
      </x:c>
      <x:c r="C61" s="933" t="str">
        <x:v>W2에서 무엇을 놓쳤는지 Day End Recap과 연결</x:v>
      </x:c>
      <x:c r="D61" s="933" t="str">
        <x:v>TEMP</x:v>
      </x:c>
      <x:c r="E61" s="933"/>
      <x:c r="F61" s="933"/>
      <x:c r="G61" s="933"/>
      <x:c r="H61" s="933"/>
      <x:c r="I61" s="933"/>
      <x:c r="J61" s="933"/>
      <x:c r="K61" s="933"/>
      <x:c r="L61" s="933"/>
      <x:c r="M61" s="933"/>
      <x:c r="N61" s="933"/>
      <x:c r="O61" s="933"/>
      <x:c r="P61" s="933"/>
      <x:c r="Q61" s="933"/>
    </x:row>
    <x:row r="62" ht="24" hidden="0" customHeight="1">
      <x:c r="A62" s="933" t="str">
        <x:v>W3 진입</x:v>
      </x:c>
      <x:c r="B62" s="933" t="str">
        <x:v>Bad2면 D15 Hub/System 진입하지 않음</x:v>
      </x:c>
      <x:c r="C62" s="933" t="str">
        <x:v>실패 Run을 불필요하게 1일 더 끌지 않음</x:v>
      </x:c>
      <x:c r="D62" s="933" t="str">
        <x:v>TEMP 확정 후보</x:v>
      </x:c>
      <x:c r="E62" s="933"/>
      <x:c r="F62" s="933"/>
      <x:c r="G62" s="933"/>
      <x:c r="H62" s="933"/>
      <x:c r="I62" s="933"/>
      <x:c r="J62" s="933"/>
      <x:c r="K62" s="933"/>
      <x:c r="L62" s="933"/>
      <x:c r="M62" s="933"/>
      <x:c r="N62" s="933"/>
      <x:c r="O62" s="933"/>
      <x:c r="P62" s="933"/>
      <x:c r="Q62" s="933"/>
    </x:row>
    <x:row r="63" ht="15" hidden="0" customHeight="1">
      <x:c r="A63" s="933"/>
      <x:c r="B63" s="933"/>
      <x:c r="C63" s="933"/>
      <x:c r="D63" s="933"/>
      <x:c r="E63" s="933"/>
      <x:c r="F63" s="933"/>
      <x:c r="G63" s="933"/>
      <x:c r="H63" s="933"/>
      <x:c r="I63" s="933"/>
      <x:c r="J63" s="933"/>
      <x:c r="K63" s="933"/>
      <x:c r="L63" s="933"/>
      <x:c r="M63" s="933"/>
      <x:c r="N63" s="933"/>
      <x:c r="O63" s="933"/>
      <x:c r="P63" s="933"/>
      <x:c r="Q63" s="933"/>
    </x:row>
    <x:row r="64" ht="26" hidden="0" customHeight="1">
      <x:c r="A64" s="950" t="str">
        <x:v>7. Evaluator 마감 후 남은 정확한 TBD</x:v>
      </x:c>
      <x:c r="B64" s="950"/>
      <x:c r="C64" s="950"/>
      <x:c r="D64" s="950"/>
      <x:c r="E64" s="950"/>
      <x:c r="F64" s="950"/>
      <x:c r="G64" s="950"/>
      <x:c r="H64" s="950"/>
      <x:c r="I64" s="950"/>
      <x:c r="J64" s="950"/>
      <x:c r="K64" s="950"/>
      <x:c r="L64" s="950"/>
      <x:c r="M64" s="950"/>
      <x:c r="N64" s="950"/>
      <x:c r="O64" s="950"/>
      <x:c r="P64" s="950"/>
      <x:c r="Q64" s="950"/>
      <x:c r="R64" s="363"/>
    </x:row>
    <x:row r="65" ht="30" hidden="0" customHeight="1">
      <x:c r="A65" s="953" t="str">
        <x:v>항목</x:v>
      </x:c>
      <x:c r="B65" s="953" t="str">
        <x:v>현재 결정</x:v>
      </x:c>
      <x:c r="C65" s="953" t="str">
        <x:v>남은 것</x:v>
      </x:c>
      <x:c r="D65" s="953" t="str">
        <x:v>우선</x:v>
      </x:c>
      <x:c r="E65" s="953"/>
      <x:c r="F65" s="953"/>
      <x:c r="G65" s="953"/>
      <x:c r="H65" s="953"/>
      <x:c r="I65" s="953"/>
      <x:c r="J65" s="953"/>
      <x:c r="K65" s="953"/>
      <x:c r="L65" s="953"/>
      <x:c r="M65" s="953"/>
      <x:c r="N65" s="953"/>
      <x:c r="O65" s="953"/>
      <x:c r="P65" s="953"/>
      <x:c r="Q65" s="953"/>
    </x:row>
    <x:row r="66" ht="24" hidden="0" customHeight="1">
      <x:c r="A66" s="933" t="str">
        <x:v>Bad4 제목</x:v>
      </x:c>
      <x:c r="B66" s="933" t="str">
        <x:v>공동체 기능 붕괴</x:v>
      </x:c>
      <x:c r="C66" s="933" t="str">
        <x:v>플레이어에게 보여줄 서사 제목/문장</x:v>
      </x:c>
      <x:c r="D66" s="933" t="str">
        <x:v>낮음</x:v>
      </x:c>
      <x:c r="E66" s="933"/>
      <x:c r="F66" s="933"/>
      <x:c r="G66" s="933"/>
      <x:c r="H66" s="933"/>
      <x:c r="I66" s="933"/>
      <x:c r="J66" s="933"/>
      <x:c r="K66" s="933"/>
      <x:c r="L66" s="933"/>
      <x:c r="M66" s="933"/>
      <x:c r="N66" s="933"/>
      <x:c r="O66" s="933"/>
      <x:c r="P66" s="933"/>
      <x:c r="Q66" s="933"/>
    </x:row>
    <x:row r="67" ht="24" hidden="0" customHeight="1">
      <x:c r="A67" s="933" t="str">
        <x:v>Stay/Leave Count</x:v>
      </x:c>
      <x:c r="B67" s="933" t="str">
        <x:v>생존 핵심6만 집계, UNDECIDED=0</x:v>
      </x:c>
      <x:c r="C67" s="933" t="str">
        <x:v>Normal2/3 감정 QA 후 동률 처리 재확인</x:v>
      </x:c>
      <x:c r="D67" s="933" t="str">
        <x:v>중간</x:v>
      </x:c>
      <x:c r="E67" s="933"/>
      <x:c r="F67" s="933"/>
      <x:c r="G67" s="933"/>
      <x:c r="H67" s="933"/>
      <x:c r="I67" s="933"/>
      <x:c r="J67" s="933"/>
      <x:c r="K67" s="933"/>
      <x:c r="L67" s="933"/>
      <x:c r="M67" s="933"/>
      <x:c r="N67" s="933"/>
      <x:c r="O67" s="933"/>
      <x:c r="P67" s="933"/>
      <x:c r="Q67" s="933"/>
    </x:row>
    <x:row r="68" ht="36" hidden="0" customHeight="1">
      <x:c r="A68" s="933" t="str">
        <x:v>Hidden 정착근거 Flag</x:v>
      </x:c>
      <x:c r="B68" s="933" t="str">
        <x:v>재분석 + 정착측 근거 Route</x:v>
      </x:c>
      <x:c r="C68" s="933" t="str">
        <x:v>Benjamin/Mira/Diya provenance를 하나의 Authoring Flag로 묶을 정확 이름</x:v>
      </x:c>
      <x:c r="D68" s="933" t="str">
        <x:v>중간</x:v>
      </x:c>
      <x:c r="E68" s="933"/>
      <x:c r="F68" s="933"/>
      <x:c r="G68" s="933"/>
      <x:c r="H68" s="933"/>
      <x:c r="I68" s="933"/>
      <x:c r="J68" s="933"/>
      <x:c r="K68" s="933"/>
      <x:c r="L68" s="933"/>
      <x:c r="M68" s="933"/>
      <x:c r="N68" s="933"/>
      <x:c r="O68" s="933"/>
      <x:c r="P68" s="933"/>
      <x:c r="Q68" s="933"/>
    </x:row>
    <x:row r="69" ht="36" hidden="0" customHeight="1">
      <x:c r="A69" s="933" t="str">
        <x:v>RepairNeeded 출항</x:v>
      </x:c>
      <x:c r="B69" s="933" t="str">
        <x:v>DeparturePossible=TRUE</x:v>
      </x:c>
      <x:c r="C69" s="933" t="str">
        <x:v>Ending 장면에서 '즉시 출항'이 아니라 폭풍 후 수리를 마치고 떠난다는 문장 필요</x:v>
      </x:c>
      <x:c r="D69" s="933" t="str">
        <x:v>중간</x:v>
      </x:c>
      <x:c r="E69" s="933"/>
      <x:c r="F69" s="933"/>
      <x:c r="G69" s="933"/>
      <x:c r="H69" s="933"/>
      <x:c r="I69" s="933"/>
      <x:c r="J69" s="933"/>
      <x:c r="K69" s="933"/>
      <x:c r="L69" s="933"/>
      <x:c r="M69" s="933"/>
      <x:c r="N69" s="933"/>
      <x:c r="O69" s="933"/>
      <x:c r="P69" s="933"/>
      <x:c r="Q69" s="933"/>
    </x:row>
    <x:row r="70" ht="36" hidden="0" customHeight="1">
      <x:c r="A70" s="933" t="str">
        <x:v>다음 단계</x:v>
      </x:c>
      <x:c r="B70" s="933" t="str">
        <x:v>W2 역산 재배치</x:v>
      </x:c>
      <x:c r="C70" s="933" t="str">
        <x:v>각 Full Route/Final 선행 Beat를 D8~14 시간표에 실제로 넣어 True/Hidden 가능성 검증</x:v>
      </x:c>
      <x:c r="D70" s="933" t="str">
        <x:v>최우선</x:v>
      </x:c>
      <x:c r="E70" s="933"/>
      <x:c r="F70" s="933"/>
      <x:c r="G70" s="933"/>
      <x:c r="H70" s="933"/>
      <x:c r="I70" s="933"/>
      <x:c r="J70" s="933"/>
      <x:c r="K70" s="933"/>
      <x:c r="L70" s="933"/>
      <x:c r="M70" s="933"/>
      <x:c r="N70" s="933"/>
      <x:c r="O70" s="933"/>
      <x:c r="P70" s="933"/>
      <x:c r="Q70" s="933"/>
    </x:row>
    <x:row r="71" ht="15" hidden="0" customHeight="1">
      <x:c r="A71" s="933"/>
      <x:c r="B71" s="933"/>
      <x:c r="C71" s="933"/>
      <x:c r="D71" s="933"/>
      <x:c r="E71" s="933"/>
      <x:c r="F71" s="933"/>
      <x:c r="G71" s="933"/>
      <x:c r="H71" s="933"/>
      <x:c r="I71" s="933"/>
      <x:c r="J71" s="933"/>
      <x:c r="K71" s="933"/>
      <x:c r="L71" s="933"/>
      <x:c r="M71" s="933"/>
      <x:c r="N71" s="933"/>
      <x:c r="O71" s="933"/>
      <x:c r="P71" s="933"/>
      <x:c r="Q71" s="933"/>
    </x:row>
    <x:row r="72" ht="15" hidden="0" customHeight="1">
      <x:c r="A72" s="936" t="str">
        <x:v>v1.1 Sustainability Exact</x:v>
      </x:c>
      <x:c r="B72" s="936"/>
      <x:c r="C72" s="936"/>
      <x:c r="D72" s="936"/>
      <x:c r="E72" s="936"/>
      <x:c r="F72" s="933"/>
      <x:c r="G72" s="933"/>
      <x:c r="H72" s="933"/>
      <x:c r="I72" s="933"/>
      <x:c r="J72" s="933"/>
      <x:c r="K72" s="933"/>
      <x:c r="L72" s="933"/>
      <x:c r="M72" s="933"/>
      <x:c r="N72" s="933"/>
      <x:c r="O72" s="933"/>
      <x:c r="P72" s="933"/>
      <x:c r="Q72" s="933"/>
    </x:row>
    <x:row r="73" ht="30" hidden="0" customHeight="1">
      <x:c r="A73" s="953" t="str">
        <x:v>등급</x:v>
      </x:c>
      <x:c r="B73" s="953" t="str">
        <x:v>조건</x:v>
      </x:c>
      <x:c r="C73" s="953" t="str">
        <x:v>대표</x:v>
      </x:c>
      <x:c r="D73" s="953" t="str">
        <x:v>Ending</x:v>
      </x:c>
      <x:c r="E73" s="953" t="str">
        <x:v>상태</x:v>
      </x:c>
      <x:c r="F73" s="953"/>
      <x:c r="G73" s="953"/>
      <x:c r="H73" s="953"/>
      <x:c r="I73" s="953"/>
      <x:c r="J73" s="953"/>
      <x:c r="K73" s="953"/>
      <x:c r="L73" s="953"/>
      <x:c r="M73" s="953"/>
      <x:c r="N73" s="953"/>
      <x:c r="O73" s="953"/>
      <x:c r="P73" s="953"/>
      <x:c r="Q73" s="953"/>
    </x:row>
    <x:row r="74" ht="24" hidden="0" customHeight="1">
      <x:c r="A74" s="933" t="str">
        <x:v>LOW</x:v>
      </x:c>
      <x:c r="B74" s="933" t="str">
        <x:v>재점검 전 OR Oasis=0 OR Settlement=0 OR 합계&lt;3</x:v>
      </x:c>
      <x:c r="C74" s="933" t="str">
        <x:v>3+0 / 1+1</x:v>
      </x:c>
      <x:c r="D74" s="933" t="str">
        <x:v>N1/Bad 가능</x:v>
      </x:c>
      <x:c r="E74" s="933" t="str">
        <x:v>확정방향</x:v>
      </x:c>
      <x:c r="F74" s="933"/>
      <x:c r="G74" s="933"/>
      <x:c r="H74" s="933"/>
      <x:c r="I74" s="933"/>
      <x:c r="J74" s="933"/>
      <x:c r="K74" s="933"/>
      <x:c r="L74" s="933"/>
      <x:c r="M74" s="933"/>
      <x:c r="N74" s="933"/>
      <x:c r="O74" s="933"/>
      <x:c r="P74" s="933"/>
      <x:c r="Q74" s="933"/>
    </x:row>
    <x:row r="75" ht="36" hidden="0" customHeight="1">
      <x:c r="A75" s="933" t="str">
        <x:v>MEDIUM</x:v>
      </x:c>
      <x:c r="B75" s="933" t="str">
        <x:v>재점검 + 두 축&gt;=1 + 합계&gt;=3, 단 HIGH 미충족</x:v>
      </x:c>
      <x:c r="C75" s="933" t="str">
        <x:v>1+2 / 2+2</x:v>
      </x:c>
      <x:c r="D75" s="933" t="str">
        <x:v>N2/N3</x:v>
      </x:c>
      <x:c r="E75" s="933" t="str">
        <x:v>확정방향</x:v>
      </x:c>
      <x:c r="F75" s="933"/>
      <x:c r="G75" s="933"/>
      <x:c r="H75" s="933"/>
      <x:c r="I75" s="933"/>
      <x:c r="J75" s="933"/>
      <x:c r="K75" s="933"/>
      <x:c r="L75" s="933"/>
      <x:c r="M75" s="933"/>
      <x:c r="N75" s="933"/>
      <x:c r="O75" s="933"/>
      <x:c r="P75" s="933"/>
      <x:c r="Q75" s="933"/>
    </x:row>
    <x:row r="76" ht="24" hidden="0" customHeight="1">
      <x:c r="A76" s="933" t="str">
        <x:v>HIGH</x:v>
      </x:c>
      <x:c r="B76" s="933" t="str">
        <x:v>재점검 + Oasis&gt;=2 + Settlement&gt;=2 + 합계&gt;=5</x:v>
      </x:c>
      <x:c r="C76" s="933" t="str">
        <x:v>2+3 / 3+2 / 3+3</x:v>
      </x:c>
      <x:c r="D76" s="933" t="str">
        <x:v>Hidden</x:v>
      </x:c>
      <x:c r="E76" s="933" t="str">
        <x:v>확정방향</x:v>
      </x:c>
      <x:c r="F76" s="933"/>
      <x:c r="G76" s="933"/>
      <x:c r="H76" s="933"/>
      <x:c r="I76" s="933"/>
      <x:c r="J76" s="933"/>
      <x:c r="K76" s="933"/>
      <x:c r="L76" s="933"/>
      <x:c r="M76" s="933"/>
      <x:c r="N76" s="933"/>
      <x:c r="O76" s="933"/>
      <x:c r="P76" s="933"/>
      <x:c r="Q76" s="933"/>
    </x:row>
  </x:sheetData>
  <x:mergeCells>
    <x:mergeCell ref="A1:R1"/>
    <x:mergeCell ref="A2:R2"/>
    <x:mergeCell ref="A4:R4"/>
    <x:mergeCell ref="A16:R16"/>
    <x:mergeCell ref="A23:R23"/>
    <x:mergeCell ref="A37:R37"/>
    <x:mergeCell ref="A43:R43"/>
    <x:mergeCell ref="A57:R57"/>
    <x:mergeCell ref="A64:R64"/>
  </x:mergeCells>
  <x:conditionalFormatting sqref="P45:P55">
    <x:cfRule type="expression" dxfId="54" priority="1">
      <x:formula>P45=Q45</x:formula>
    </x:cfRule>
    <x:cfRule type="expression" dxfId="55" priority="2">
      <x:formula>P45&lt;&gt;Q45</x:formula>
    </x:cfRule>
  </x:conditionalFormatting>
  <x:conditionalFormatting sqref="E6:E76">
    <x:cfRule type="expression" dxfId="228" priority="3">
      <x:formula>OR(E6="완료",E6="확정",E6="확정방향",E6="방향 확정",LEFT(E6,2)="확정")</x:formula>
    </x:cfRule>
    <x:cfRule type="expression" dxfId="229" priority="4">
      <x:formula>OR(E6="TBD",E6="대기",ISNUMBER(SEARCH("TEMP",E6)))</x:formula>
    </x:cfRule>
    <x:cfRule type="expression" dxfId="230" priority="5">
      <x:formula>OR(E6="폐기",E6="HISTORICAL",ISNUMBER(SEARCH("폐기",E6)))</x:formula>
    </x:cfRule>
    <x:cfRule type="expression" dxfId="231" priority="6">
      <x:formula>OR(E6="NEXT",E6="진행")</x:formula>
    </x:cfRule>
  </x:conditionalFormatting>
  <x:conditionalFormatting sqref="D59:D76">
    <x:cfRule type="expression" dxfId="232" priority="7">
      <x:formula>OR(D59="완료",D59="확정",D59="확정방향",D59="방향 확정",LEFT(D59,2)="확정")</x:formula>
    </x:cfRule>
    <x:cfRule type="expression" dxfId="233" priority="8">
      <x:formula>OR(D59="TBD",D59="대기",ISNUMBER(SEARCH("TEMP",D59)))</x:formula>
    </x:cfRule>
    <x:cfRule type="expression" dxfId="234" priority="9">
      <x:formula>OR(D59="폐기",D59="HISTORICAL",ISNUMBER(SEARCH("폐기",D59)))</x:formula>
    </x:cfRule>
    <x:cfRule type="expression" dxfId="235" priority="10">
      <x:formula>OR(D59="NEXT",D59="진행")</x:formula>
    </x:cfRule>
  </x:conditionalFormatting>
  <x:conditionalFormatting sqref="F25:F76">
    <x:cfRule type="expression" dxfId="236" priority="11">
      <x:formula>OR(F25="완료",F25="확정",F25="확정방향",F25="방향 확정",LEFT(F25,2)="확정")</x:formula>
    </x:cfRule>
    <x:cfRule type="expression" dxfId="237" priority="12">
      <x:formula>OR(F25="TBD",F25="대기",ISNUMBER(SEARCH("TEMP",F25)))</x:formula>
    </x:cfRule>
    <x:cfRule type="expression" dxfId="238" priority="13">
      <x:formula>OR(F25="폐기",F25="HISTORICAL",ISNUMBER(SEARCH("폐기",F25)))</x:formula>
    </x:cfRule>
    <x:cfRule type="expression" dxfId="239" priority="14">
      <x:formula>OR(F25="NEXT",F25="진행")</x:formula>
    </x:cfRule>
  </x:conditionalFormatting>
  <x:conditionalFormatting sqref="E18:E76">
    <x:cfRule type="expression" dxfId="240" priority="15">
      <x:formula>OR(E18="완료",E18="확정",E18="확정방향",E18="방향 확정",LEFT(E18,2)="확정")</x:formula>
    </x:cfRule>
    <x:cfRule type="expression" dxfId="241" priority="16">
      <x:formula>OR(E18="TBD",E18="대기",ISNUMBER(SEARCH("TEMP",E18)))</x:formula>
    </x:cfRule>
    <x:cfRule type="expression" dxfId="242" priority="17">
      <x:formula>OR(E18="폐기",E18="HISTORICAL",ISNUMBER(SEARCH("폐기",E18)))</x:formula>
    </x:cfRule>
    <x:cfRule type="expression" dxfId="243" priority="18">
      <x:formula>OR(E18="NEXT",E18="진행")</x:formula>
    </x:cfRule>
  </x:conditionalFormatting>
  <x:conditionalFormatting sqref="E39:E76">
    <x:cfRule type="expression" dxfId="244" priority="19">
      <x:formula>OR(E39="완료",E39="확정",E39="확정방향",E39="방향 확정",LEFT(E39,2)="확정")</x:formula>
    </x:cfRule>
    <x:cfRule type="expression" dxfId="245" priority="20">
      <x:formula>OR(E39="TBD",E39="대기",ISNUMBER(SEARCH("TEMP",E39)))</x:formula>
    </x:cfRule>
    <x:cfRule type="expression" dxfId="246" priority="21">
      <x:formula>OR(E39="폐기",E39="HISTORICAL",ISNUMBER(SEARCH("폐기",E39)))</x:formula>
    </x:cfRule>
    <x:cfRule type="expression" dxfId="247" priority="22">
      <x:formula>OR(E39="NEXT",E39="진행")</x:formula>
    </x:cfRule>
  </x:conditionalFormatting>
  <x:conditionalFormatting sqref="E74:E76">
    <x:cfRule type="expression" dxfId="248" priority="23">
      <x:formula>OR(E74="완료",E74="확정",E74="확정방향",E74="방향 확정",LEFT(E74,2)="확정")</x:formula>
    </x:cfRule>
    <x:cfRule type="expression" dxfId="249" priority="24">
      <x:formula>OR(E74="TBD",E74="대기",ISNUMBER(SEARCH("TEMP",E74)))</x:formula>
    </x:cfRule>
    <x:cfRule type="expression" dxfId="250" priority="25">
      <x:formula>OR(E74="폐기",E74="HISTORICAL",ISNUMBER(SEARCH("폐기",E74)))</x:formula>
    </x:cfRule>
    <x:cfRule type="expression" dxfId="251" priority="26">
      <x:formula>OR(E74="NEXT",E74="진행")</x:formula>
    </x:cfRule>
  </x:conditionalFormatting>
  <x:pageMargins left="0.7" right="0.7" top="0.75" bottom="0.75" header="0.3" footer="0.3"/>
  <x:drawing xmlns:r="http://schemas.openxmlformats.org/officeDocument/2006/relationships" r:id="R02207f7c5d6d4cb6"/>
</x:worksheet>
</file>

<file path=xl/worksheets/sheet1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32" hidden="0" customWidth="1"/>
    <x:col min="16" max="16" width="18" hidden="0" customWidth="1"/>
    <x:col min="17" max="17" width="18" hidden="0" customWidth="1"/>
    <x:col min="18" max="18" width="18" hidden="0" customWidth="1"/>
  </x:cols>
  <x:sheetData>
    <x:row r="1" ht="30" hidden="0" customHeight="1">
      <x:c r="A1" s="944" t="str">
        <x:v>W2 Reverse Design v0.1 — D8~14 Route Prerequisites / Repair / Preservation / Mastery</x:v>
      </x:c>
      <x:c r="B1" s="944"/>
      <x:c r="C1" s="944"/>
      <x:c r="D1" s="944"/>
      <x:c r="E1" s="944"/>
      <x:c r="F1" s="944"/>
      <x:c r="G1" s="944"/>
      <x:c r="H1" s="944"/>
      <x:c r="I1" s="944"/>
      <x:c r="J1" s="944"/>
      <x:c r="K1" s="944"/>
      <x:c r="L1" s="944"/>
      <x:c r="M1" s="944"/>
      <x:c r="N1" s="944"/>
      <x:c r="O1" s="944"/>
      <x:c r="P1" s="385"/>
      <x:c r="Q1" s="385"/>
      <x:c r="R1" s="385"/>
    </x:row>
    <x:row r="2" ht="42" hidden="0" customHeight="1">
      <x:c r="A2" s="947" t="str">
        <x:v>역산 기준: True는 D19을 버틸 Storm Buffer + 지나/디야/페이/벤자민 Final 선행을 준비해야 하고, Hidden은 Hidden/Recheck Ship + 오아시스3/거주지3 + 보리치/디야 정착 근거를 준비해야 한다. Mastery는 Final 선행과 분리해 '깊게 판 Route'에서만 +1Lv를 준다.</x:v>
      </x:c>
      <x:c r="B2" s="947"/>
      <x:c r="C2" s="947"/>
      <x:c r="D2" s="947"/>
      <x:c r="E2" s="947"/>
      <x:c r="F2" s="947"/>
      <x:c r="G2" s="947"/>
      <x:c r="H2" s="947"/>
      <x:c r="I2" s="947"/>
      <x:c r="J2" s="947"/>
      <x:c r="K2" s="947"/>
      <x:c r="L2" s="947"/>
      <x:c r="M2" s="947"/>
      <x:c r="N2" s="947"/>
      <x:c r="O2" s="947"/>
      <x:c r="P2" s="388"/>
      <x:c r="Q2" s="388"/>
      <x:c r="R2" s="388"/>
    </x:row>
    <x:row r="3" ht="15" hidden="0" customHeight="1">
      <x:c r="A3" s="933"/>
      <x:c r="B3" s="933"/>
      <x:c r="C3" s="933"/>
      <x:c r="D3" s="933"/>
      <x:c r="E3" s="933"/>
      <x:c r="F3" s="933"/>
      <x:c r="G3" s="933"/>
      <x:c r="H3" s="933"/>
      <x:c r="I3" s="933"/>
      <x:c r="J3" s="933"/>
      <x:c r="K3" s="933"/>
      <x:c r="L3" s="933"/>
      <x:c r="M3" s="933"/>
      <x:c r="N3" s="933"/>
      <x:c r="O3" s="933"/>
    </x:row>
    <x:row r="4" ht="26" hidden="0" customHeight="1">
      <x:c r="A4" s="950" t="str">
        <x:v>1. W2 공통 시간 — Main만 끝냈을 때</x:v>
      </x:c>
      <x:c r="B4" s="950"/>
      <x:c r="C4" s="950"/>
      <x:c r="D4" s="950"/>
      <x:c r="E4" s="950"/>
      <x:c r="F4" s="950"/>
      <x:c r="G4" s="950"/>
      <x:c r="H4" s="950"/>
      <x:c r="I4" s="950"/>
      <x:c r="J4" s="950"/>
      <x:c r="K4" s="950"/>
      <x:c r="L4" s="950"/>
      <x:c r="M4" s="950"/>
      <x:c r="N4" s="950"/>
      <x:c r="O4" s="950"/>
      <x:c r="P4" s="389"/>
      <x:c r="Q4" s="389"/>
      <x:c r="R4" s="389"/>
    </x:row>
    <x:row r="5" ht="30" hidden="0" customHeight="1">
      <x:c r="A5" s="953" t="str">
        <x:v>Day</x:v>
      </x:c>
      <x:c r="B5" s="953" t="str">
        <x:v>공통 필수시간</x:v>
      </x:c>
      <x:c r="C5" s="953" t="str">
        <x:v>자유 14h</x:v>
      </x:c>
      <x:c r="D5" s="953" t="str">
        <x:v>고정 사건</x:v>
      </x:c>
      <x:c r="E5" s="953" t="str">
        <x:v>역산 의미</x:v>
      </x:c>
      <x:c r="F5" s="953"/>
      <x:c r="G5" s="953"/>
      <x:c r="H5" s="953"/>
      <x:c r="I5" s="953"/>
      <x:c r="J5" s="953"/>
      <x:c r="K5" s="953"/>
      <x:c r="L5" s="953"/>
      <x:c r="M5" s="953"/>
      <x:c r="N5" s="953"/>
      <x:c r="O5" s="953"/>
    </x:row>
    <x:row r="6" ht="24" hidden="0" customHeight="1">
      <x:c r="A6" s="933" t="n">
        <x:v>8</x:v>
      </x:c>
      <x:c r="B6" s="933" t="n">
        <x:v>4</x:v>
      </x:c>
      <x:c r="C6" s="933" t="n">
        <x:v>10</x:v>
      </x:c>
      <x:c r="D6" s="933" t="str">
        <x:v>샌드웜3h + 샘 우선순위1h</x:v>
      </x:c>
      <x:c r="E6" s="933" t="str">
        <x:v>폭풍 발견 직후 첫 준비</x:v>
      </x:c>
      <x:c r="F6" s="933"/>
      <x:c r="G6" s="933"/>
      <x:c r="H6" s="933"/>
      <x:c r="I6" s="933"/>
      <x:c r="J6" s="933"/>
      <x:c r="K6" s="933"/>
      <x:c r="L6" s="933"/>
      <x:c r="M6" s="933"/>
      <x:c r="N6" s="933"/>
      <x:c r="O6" s="933"/>
    </x:row>
    <x:row r="7" ht="30" hidden="0" customHeight="1">
      <x:c r="A7" s="941" t="n">
        <x:v>9</x:v>
      </x:c>
      <x:c r="B7" s="941" t="n">
        <x:v>4</x:v>
      </x:c>
      <x:c r="C7" s="941" t="n">
        <x:v>10</x:v>
      </x:c>
      <x:c r="D7" s="941" t="str">
        <x:v>피난계획2h + 시설점검2h</x:v>
      </x:c>
      <x:c r="E7" s="941" t="str">
        <x:v>수리/Route 방향 결정</x:v>
      </x:c>
      <x:c r="F7" s="941"/>
      <x:c r="G7" s="941"/>
      <x:c r="H7" s="941"/>
      <x:c r="I7" s="941"/>
      <x:c r="J7" s="941"/>
      <x:c r="K7" s="941"/>
      <x:c r="L7" s="941"/>
      <x:c r="M7" s="941"/>
      <x:c r="N7" s="941"/>
      <x:c r="O7" s="941"/>
    </x:row>
    <x:row r="8" ht="24" hidden="0" customHeight="1">
      <x:c r="A8" s="933" t="n">
        <x:v>10</x:v>
      </x:c>
      <x:c r="B8" s="933" t="n">
        <x:v>2</x:v>
      </x:c>
      <x:c r="C8" s="933" t="n">
        <x:v>12</x:v>
      </x:c>
      <x:c r="D8" s="933" t="str">
        <x:v>대피 Main2h / 미라 사건 발생0h</x:v>
      </x:c>
      <x:c r="E8" s="933" t="str">
        <x:v>True 지나 분기의 가장 큰 갈림</x:v>
      </x:c>
      <x:c r="F8" s="933"/>
      <x:c r="G8" s="933"/>
      <x:c r="H8" s="933"/>
      <x:c r="I8" s="933"/>
      <x:c r="J8" s="933"/>
      <x:c r="K8" s="933"/>
      <x:c r="L8" s="933"/>
      <x:c r="M8" s="933"/>
      <x:c r="N8" s="933"/>
      <x:c r="O8" s="933"/>
    </x:row>
    <x:row r="9" ht="15" hidden="0" customHeight="1">
      <x:c r="A9" s="933" t="n">
        <x:v>11</x:v>
      </x:c>
      <x:c r="B9" s="933" t="n">
        <x:v>2</x:v>
      </x:c>
      <x:c r="C9" s="933" t="n">
        <x:v>12</x:v>
      </x:c>
      <x:c r="D9" s="933" t="str">
        <x:v>대피 Main2h</x:v>
      </x:c>
      <x:c r="E9" s="933" t="str">
        <x:v>디야 True/Hidden 분기</x:v>
      </x:c>
      <x:c r="F9" s="933"/>
      <x:c r="G9" s="933"/>
      <x:c r="H9" s="933"/>
      <x:c r="I9" s="933"/>
      <x:c r="J9" s="933"/>
      <x:c r="K9" s="933"/>
      <x:c r="L9" s="933"/>
      <x:c r="M9" s="933"/>
      <x:c r="N9" s="933"/>
      <x:c r="O9" s="933"/>
    </x:row>
    <x:row r="10" ht="24" hidden="0" customHeight="1">
      <x:c r="A10" s="933" t="n">
        <x:v>12</x:v>
      </x:c>
      <x:c r="B10" s="933" t="n">
        <x:v>2</x:v>
      </x:c>
      <x:c r="C10" s="933" t="n">
        <x:v>12</x:v>
      </x:c>
      <x:c r="D10" s="933" t="str">
        <x:v>생명유지 Main2h</x:v>
      </x:c>
      <x:c r="E10" s="933" t="str">
        <x:v>Character Deepening + 마지막 중반 준비</x:v>
      </x:c>
      <x:c r="F10" s="933"/>
      <x:c r="G10" s="933"/>
      <x:c r="H10" s="933"/>
      <x:c r="I10" s="933"/>
      <x:c r="J10" s="933"/>
      <x:c r="K10" s="933"/>
      <x:c r="L10" s="933"/>
      <x:c r="M10" s="933"/>
      <x:c r="N10" s="933"/>
      <x:c r="O10" s="933"/>
    </x:row>
    <x:row r="11" ht="24" hidden="0" customHeight="1">
      <x:c r="A11" s="933" t="n">
        <x:v>13</x:v>
      </x:c>
      <x:c r="B11" s="933" t="n">
        <x:v>2</x:v>
      </x:c>
      <x:c r="C11" s="933" t="n">
        <x:v>12</x:v>
      </x:c>
      <x:c r="D11" s="933" t="str">
        <x:v>최종 준비 Main2h + Overnight 고정0h</x:v>
      </x:c>
      <x:c r="E11" s="933" t="str">
        <x:v>Mastery Deepening 마지막 날</x:v>
      </x:c>
      <x:c r="F11" s="933"/>
      <x:c r="G11" s="933"/>
      <x:c r="H11" s="933"/>
      <x:c r="I11" s="933"/>
      <x:c r="J11" s="933"/>
      <x:c r="K11" s="933"/>
      <x:c r="L11" s="933"/>
      <x:c r="M11" s="933"/>
      <x:c r="N11" s="933"/>
      <x:c r="O11" s="933"/>
    </x:row>
    <x:row r="12" ht="24" hidden="0" customHeight="1">
      <x:c r="A12" s="933" t="n">
        <x:v>14</x:v>
      </x:c>
      <x:c r="B12" s="933" t="n">
        <x:v>6</x:v>
      </x:c>
      <x:c r="C12" s="933" t="n">
        <x:v>8</x:v>
      </x:c>
      <x:c r="D12" s="933" t="str">
        <x:v>샘 후속2h + 최종대피3h + 봉쇄1h</x:v>
      </x:c>
      <x:c r="E12" s="933" t="str">
        <x:v>외부 작업 최종 마감</x:v>
      </x:c>
      <x:c r="F12" s="933"/>
      <x:c r="G12" s="933"/>
      <x:c r="H12" s="933"/>
      <x:c r="I12" s="933"/>
      <x:c r="J12" s="933"/>
      <x:c r="K12" s="933"/>
      <x:c r="L12" s="933"/>
      <x:c r="M12" s="933"/>
      <x:c r="N12" s="933"/>
      <x:c r="O12" s="933"/>
    </x:row>
    <x:row r="13" ht="15" hidden="0" customHeight="1">
      <x:c r="A13" s="933"/>
      <x:c r="B13" s="933"/>
      <x:c r="C13" s="933"/>
      <x:c r="D13" s="933"/>
      <x:c r="E13" s="933"/>
      <x:c r="F13" s="933"/>
      <x:c r="G13" s="933"/>
      <x:c r="H13" s="933"/>
      <x:c r="I13" s="933"/>
      <x:c r="J13" s="933"/>
      <x:c r="K13" s="933"/>
      <x:c r="L13" s="933"/>
      <x:c r="M13" s="933"/>
      <x:c r="N13" s="933"/>
      <x:c r="O13" s="933"/>
    </x:row>
    <x:row r="14" ht="26" hidden="0" customHeight="1">
      <x:c r="A14" s="950" t="str">
        <x:v>2. Character Route Ladder — Final 선행과 Mastery 분리</x:v>
      </x:c>
      <x:c r="B14" s="950"/>
      <x:c r="C14" s="950"/>
      <x:c r="D14" s="950"/>
      <x:c r="E14" s="950"/>
      <x:c r="F14" s="950"/>
      <x:c r="G14" s="950"/>
      <x:c r="H14" s="950"/>
      <x:c r="I14" s="950"/>
      <x:c r="J14" s="950"/>
      <x:c r="K14" s="950"/>
      <x:c r="L14" s="950"/>
      <x:c r="M14" s="950"/>
      <x:c r="N14" s="950"/>
      <x:c r="O14" s="950"/>
      <x:c r="P14" s="389"/>
      <x:c r="Q14" s="389"/>
      <x:c r="R14" s="389"/>
    </x:row>
    <x:row r="15" ht="30" hidden="0" customHeight="1">
      <x:c r="A15" s="953" t="str">
        <x:v>인물</x:v>
      </x:c>
      <x:c r="B15" s="953" t="str">
        <x:v>W2 Final 선행</x:v>
      </x:c>
      <x:c r="C15" s="953" t="str">
        <x:v>W2 Mastery Deepening</x:v>
      </x:c>
      <x:c r="D15" s="953" t="str">
        <x:v>W3 Final 결과</x:v>
      </x:c>
      <x:c r="E15" s="953" t="str">
        <x:v>Mastery 보상</x:v>
      </x:c>
      <x:c r="F15" s="953" t="str">
        <x:v>True/Hidden 역할</x:v>
      </x:c>
      <x:c r="G15" s="953" t="str">
        <x:v>상태</x:v>
      </x:c>
      <x:c r="H15" s="953"/>
      <x:c r="I15" s="953" t="str">
        <x:v>핵심 변경: W3 Final을 볼 수 있다고 +1Lv가 자동 지급되지는 않는다. 예를 들어 지나 True/출항측 Final은 D10 미라 수색·발견만으로도 열 수 있지만, 교감 Mastery는 D12의 항해/과거 대화까지 따라가야 한다. 페이는 더 엄격하게 잡아 LEAVE 자체가 Full Route 공연에 묶이므로 D13에 '공연 장비를 살려두는 2h'까지 투자해야 한다. 즉 한 Route를 집요하게 판 보상과 Final 접근을 분리한다.</x:v>
      </x:c>
      <x:c r="J15" s="953"/>
      <x:c r="K15" s="953"/>
      <x:c r="L15" s="953"/>
      <x:c r="M15" s="953"/>
      <x:c r="N15" s="953"/>
      <x:c r="O15" s="953"/>
      <x:c r="P15" s="395"/>
      <x:c r="Q15" s="395"/>
      <x:c r="R15" s="395"/>
    </x:row>
    <x:row r="16" ht="36" hidden="0" customHeight="1">
      <x:c r="A16" s="933" t="str">
        <x:v>샘</x:v>
      </x:c>
      <x:c r="B16" s="933" t="str">
        <x:v>D14 야간사건 후속은 필수로 경험</x:v>
      </x:c>
      <x:c r="C16" s="933" t="str">
        <x:v>D9 부담 Episode 또는 D13 인계 전 대화 + W1에서 샘을 반복 지원</x:v>
      </x:c>
      <x:c r="D16" s="933" t="str">
        <x:v>LEAVE 유지 / Will+2</x:v>
      </x:c>
      <x:c r="E16" s="933" t="str">
        <x:v>강인함 XP+6</x:v>
      </x:c>
      <x:c r="F16" s="933" t="str">
        <x:v>Stance보다 D19 함교 Primary·Jay 강인함 보상</x:v>
      </x:c>
      <x:c r="G16" s="933" t="str">
        <x:v>TEMP 확정 후보</x:v>
      </x:c>
      <x:c r="H16" s="933"/>
      <x:c r="I16" s="933"/>
      <x:c r="J16" s="933"/>
      <x:c r="K16" s="933"/>
      <x:c r="L16" s="933"/>
      <x:c r="M16" s="933"/>
      <x:c r="N16" s="933"/>
      <x:c r="O16" s="933"/>
      <x:c r="P16" s="395"/>
      <x:c r="Q16" s="395"/>
      <x:c r="R16" s="395"/>
    </x:row>
    <x:row r="17" ht="36" hidden="0" customHeight="1">
      <x:c r="A17" s="933" t="str">
        <x:v>지나</x:v>
      </x:c>
      <x:c r="B17" s="933" t="str">
        <x:v>D10 미라 직접 수색·발견 + 직후 대화</x:v>
      </x:c>
      <x:c r="C17" s="933" t="str">
        <x:v>D12 제이의 과거 심화 대화 + W1 지나 관계 Seed</x:v>
      </x:c>
      <x:c r="D17" s="933" t="str">
        <x:v>STAY→UNDECIDED / Will+2</x:v>
      </x:c>
      <x:c r="E17" s="933" t="str">
        <x:v>교감 XP+6</x:v>
      </x:c>
      <x:c r="F17" s="933" t="str">
        <x:v>True 필수 Final. Mastery는 선택 보너스</x:v>
      </x:c>
      <x:c r="G17" s="933" t="str">
        <x:v>TEMP 확정 후보</x:v>
      </x:c>
      <x:c r="H17" s="933"/>
      <x:c r="I17" s="933"/>
      <x:c r="J17" s="933"/>
      <x:c r="K17" s="933"/>
      <x:c r="L17" s="933"/>
      <x:c r="M17" s="933"/>
      <x:c r="N17" s="933"/>
      <x:c r="O17" s="933"/>
      <x:c r="P17" s="395"/>
      <x:c r="Q17" s="395"/>
      <x:c r="R17" s="395"/>
    </x:row>
    <x:row r="18" ht="36" hidden="0" customHeight="1">
      <x:c r="A18" s="933" t="str">
        <x:v>페이</x:v>
      </x:c>
      <x:c r="B18" s="933" t="str">
        <x:v>W1 음악꿈 + D9 '고치기만 하며 사는 건가'</x:v>
      </x:c>
      <x:c r="C18" s="933" t="str">
        <x:v>D13 공연용 음향/악기 장비를 따로 보존</x:v>
      </x:c>
      <x:c r="D18" s="933" t="str">
        <x:v>Full Route 공연 → LEAVE / Will+3</x:v>
      </x:c>
      <x:c r="E18" s="933" t="str">
        <x:v>기술 XP+6</x:v>
      </x:c>
      <x:c r="F18" s="933" t="str">
        <x:v>True는 LEAVE가 필요하므로 사실상 Full Route 필요</x:v>
      </x:c>
      <x:c r="G18" s="933" t="str">
        <x:v>핵심</x:v>
      </x:c>
      <x:c r="H18" s="933"/>
      <x:c r="I18" s="933"/>
      <x:c r="J18" s="933"/>
      <x:c r="K18" s="933"/>
      <x:c r="L18" s="933"/>
      <x:c r="M18" s="933"/>
      <x:c r="N18" s="933"/>
      <x:c r="O18" s="933"/>
      <x:c r="P18" s="395"/>
      <x:c r="Q18" s="395"/>
      <x:c r="R18" s="395"/>
    </x:row>
    <x:row r="19" ht="36" hidden="0" customHeight="1">
      <x:c r="A19" s="933" t="str">
        <x:v>벤자민</x:v>
      </x:c>
      <x:c r="B19" s="933" t="str">
        <x:v>W1 묘지 + D12 Living Ship milestone</x:v>
      </x:c>
      <x:c r="C19" s="933" t="str">
        <x:v>D10 묘지/추모 후속까지 수행</x:v>
      </x:c>
      <x:c r="D19" s="933" t="str">
        <x:v>STAY→UNDECIDED / Will+2</x:v>
      </x:c>
      <x:c r="E19" s="933" t="str">
        <x:v>강인함 XP+6</x:v>
      </x:c>
      <x:c r="F19" s="933" t="str">
        <x:v>True는 Final까지만 필수. Hidden은 Final 자체를 미뤄 STAY 유지 가능</x:v>
      </x:c>
      <x:c r="G19" s="933" t="str">
        <x:v>TEMP 확정 후보</x:v>
      </x:c>
      <x:c r="H19" s="933"/>
      <x:c r="I19" s="933"/>
      <x:c r="J19" s="933"/>
      <x:c r="K19" s="933"/>
      <x:c r="L19" s="933"/>
      <x:c r="M19" s="933"/>
      <x:c r="N19" s="933"/>
      <x:c r="O19" s="933"/>
      <x:c r="P19" s="395"/>
      <x:c r="Q19" s="395"/>
      <x:c r="R19" s="395"/>
    </x:row>
    <x:row r="20" ht="36" hidden="0" customHeight="1">
      <x:c r="A20" s="933" t="str">
        <x:v>보리치</x:v>
      </x:c>
      <x:c r="B20" s="933" t="str">
        <x:v>D8 사고죄책감 공개 + D15 폭풍 분석 Follow-up</x:v>
      </x:c>
      <x:c r="C20" s="933" t="str">
        <x:v>W1 조사 Full + D12 시험재배에서 연구기록까지 확인</x:v>
      </x:c>
      <x:c r="D20" s="933" t="str">
        <x:v>LEAVE 유지 / Will+2</x:v>
      </x:c>
      <x:c r="E20" s="933" t="str">
        <x:v>기술 XP+6</x:v>
      </x:c>
      <x:c r="F20" s="933" t="str">
        <x:v>Hidden 재분석/Research 생존 핵심, Stance 변경은 없음</x:v>
      </x:c>
      <x:c r="G20" s="933" t="str">
        <x:v>TEMP 확정 후보</x:v>
      </x:c>
      <x:c r="H20" s="933"/>
      <x:c r="I20" s="933"/>
      <x:c r="J20" s="933"/>
      <x:c r="K20" s="933"/>
      <x:c r="L20" s="933"/>
      <x:c r="M20" s="933"/>
      <x:c r="N20" s="933"/>
      <x:c r="O20" s="933"/>
      <x:c r="P20" s="395"/>
      <x:c r="Q20" s="395"/>
      <x:c r="R20" s="395"/>
    </x:row>
    <x:row r="21" ht="36" hidden="0" customHeight="1">
      <x:c r="A21" s="933" t="str">
        <x:v>디야</x:v>
      </x:c>
      <x:c r="B21" s="933" t="str">
        <x:v>D11 축제 + A/B 분기</x:v>
      </x:c>
      <x:c r="C21" s="933" t="str">
        <x:v>W1 뜨개질/집 Seed + D12 시험재배를 직접 도움</x:v>
      </x:c>
      <x:c r="D21" s="933" t="str">
        <x:v>True=UNDECIDED / Hidden=STAY / Will+2</x:v>
      </x:c>
      <x:c r="E21" s="933" t="str">
        <x:v>교감 XP+6</x:v>
      </x:c>
      <x:c r="F21" s="933" t="str">
        <x:v>True/Hidden 양쪽의 핵심 분기</x:v>
      </x:c>
      <x:c r="G21" s="933" t="str">
        <x:v>TEMP 확정 후보</x:v>
      </x:c>
      <x:c r="H21" s="933"/>
      <x:c r="I21" s="933"/>
      <x:c r="J21" s="933"/>
      <x:c r="K21" s="933"/>
      <x:c r="L21" s="933"/>
      <x:c r="M21" s="933"/>
      <x:c r="N21" s="933"/>
      <x:c r="O21" s="933"/>
      <x:c r="P21" s="395"/>
      <x:c r="Q21" s="395"/>
      <x:c r="R21" s="395"/>
    </x:row>
    <x:row r="22" ht="15" hidden="0" customHeight="1">
      <x:c r="A22" s="933"/>
      <x:c r="B22" s="933"/>
      <x:c r="C22" s="933"/>
      <x:c r="D22" s="933"/>
      <x:c r="E22" s="933"/>
      <x:c r="F22" s="933"/>
      <x:c r="G22" s="933"/>
      <x:c r="H22" s="933"/>
      <x:c r="I22" s="933"/>
      <x:c r="J22" s="933"/>
      <x:c r="K22" s="933"/>
      <x:c r="L22" s="933"/>
      <x:c r="M22" s="933"/>
      <x:c r="N22" s="933"/>
      <x:c r="O22" s="933"/>
    </x:row>
    <x:row r="23" ht="26" hidden="0" customHeight="1">
      <x:c r="A23" s="950" t="str">
        <x:v>3. Ending별 W2 준비 Target</x:v>
      </x:c>
      <x:c r="B23" s="950"/>
      <x:c r="C23" s="950"/>
      <x:c r="D23" s="950"/>
      <x:c r="E23" s="950"/>
      <x:c r="F23" s="950"/>
      <x:c r="G23" s="950"/>
      <x:c r="H23" s="950"/>
      <x:c r="I23" s="950"/>
      <x:c r="J23" s="950"/>
      <x:c r="K23" s="950"/>
      <x:c r="L23" s="950"/>
      <x:c r="M23" s="950"/>
      <x:c r="N23" s="950"/>
      <x:c r="O23" s="950"/>
      <x:c r="P23" s="389"/>
      <x:c r="Q23" s="389"/>
      <x:c r="R23" s="389"/>
    </x:row>
    <x:row r="24" ht="30" hidden="0" customHeight="1">
      <x:c r="A24" s="953" t="str">
        <x:v>Route</x:v>
      </x:c>
      <x:c r="B24" s="953" t="str">
        <x:v>W1 수리 선행</x:v>
      </x:c>
      <x:c r="C24" s="953" t="str">
        <x:v>W2 수리</x:v>
      </x:c>
      <x:c r="D24" s="953" t="str">
        <x:v>W2 수리시간</x:v>
      </x:c>
      <x:c r="E24" s="953" t="str">
        <x:v>보존</x:v>
      </x:c>
      <x:c r="F24" s="953" t="str">
        <x:v>보존시간</x:v>
      </x:c>
      <x:c r="G24" s="953" t="str">
        <x:v>Character 핵심</x:v>
      </x:c>
      <x:c r="H24" s="953" t="str">
        <x:v>D15 상태 목표</x:v>
      </x:c>
      <x:c r="I24" s="953" t="str">
        <x:v>상태</x:v>
      </x:c>
      <x:c r="J24" s="953"/>
      <x:c r="K24" s="953"/>
      <x:c r="L24" s="953"/>
      <x:c r="M24" s="953"/>
      <x:c r="N24" s="953"/>
      <x:c r="O24" s="953"/>
    </x:row>
    <x:row r="25" ht="15" hidden="0" customHeight="1">
      <x:c r="A25" s="933" t="str">
        <x:v>Normal 최소</x:v>
      </x:c>
      <x:c r="B25" s="933" t="n">
        <x:v>0</x:v>
      </x:c>
      <x:c r="C25" s="933" t="n">
        <x:v>3</x:v>
      </x:c>
      <x:c r="D25" s="933" t="n">
        <x:v>6</x:v>
      </x:c>
      <x:c r="E25" s="933" t="str">
        <x:v>없음</x:v>
      </x:c>
      <x:c r="F25" s="933" t="n">
        <x:v>0</x:v>
      </x:c>
      <x:c r="G25" s="933" t="str">
        <x:v>선택</x:v>
      </x:c>
      <x:c r="H25" s="933" t="str">
        <x:v>ShelterReady / 수리 필요</x:v>
      </x:c>
      <x:c r="I25" s="933" t="str">
        <x:v>기준</x:v>
      </x:c>
      <x:c r="J25" s="933"/>
      <x:c r="K25" s="933"/>
      <x:c r="L25" s="933"/>
      <x:c r="M25" s="933"/>
      <x:c r="N25" s="933"/>
      <x:c r="O25" s="933"/>
    </x:row>
    <x:row r="26" ht="15" hidden="0" customHeight="1">
      <x:c r="A26" s="933" t="str">
        <x:v>Normal 안정</x:v>
      </x:c>
      <x:c r="B26" s="933" t="n">
        <x:v>0</x:v>
      </x:c>
      <x:c r="C26" s="933" t="n">
        <x:v>5</x:v>
      </x:c>
      <x:c r="D26" s="933" t="n">
        <x:v>10</x:v>
      </x:c>
      <x:c r="E26" s="933" t="str">
        <x:v>없음</x:v>
      </x:c>
      <x:c r="F26" s="933" t="n">
        <x:v>0</x:v>
      </x:c>
      <x:c r="G26" s="933" t="str">
        <x:v>선택</x:v>
      </x:c>
      <x:c r="H26" s="933" t="str">
        <x:v>Departure Normal34</x:v>
      </x:c>
      <x:c r="I26" s="933" t="str">
        <x:v>기준</x:v>
      </x:c>
      <x:c r="J26" s="933"/>
      <x:c r="K26" s="933"/>
      <x:c r="L26" s="933"/>
      <x:c r="M26" s="933"/>
      <x:c r="N26" s="933"/>
      <x:c r="O26" s="933"/>
    </x:row>
    <x:row r="27" ht="36" hidden="0" customHeight="1">
      <x:c r="A27" s="933" t="str">
        <x:v>True 권장</x:v>
      </x:c>
      <x:c r="B27" s="933" t="n">
        <x:v>1</x:v>
      </x:c>
      <x:c r="C27" s="933" t="n">
        <x:v>7</x:v>
      </x:c>
      <x:c r="D27" s="933" t="n">
        <x:v>14</x:v>
      </x:c>
      <x:c r="E27" s="933" t="str">
        <x:v>거주지2 (축제 오픈)</x:v>
      </x:c>
      <x:c r="F27" s="933" t="n">
        <x:v>6</x:v>
      </x:c>
      <x:c r="G27" s="933" t="str">
        <x:v>미라 수색·발견+지나 / 디야 A / 페이 Full / 벤자민 Final Seed</x:v>
      </x:c>
      <x:c r="H27" s="933" t="str">
        <x:v>Storm Buffer37</x:v>
      </x:c>
      <x:c r="I27" s="933" t="str">
        <x:v>TEMP Target</x:v>
      </x:c>
      <x:c r="J27" s="933"/>
      <x:c r="K27" s="933"/>
      <x:c r="L27" s="933"/>
      <x:c r="M27" s="933"/>
      <x:c r="N27" s="933"/>
      <x:c r="O27" s="933"/>
    </x:row>
    <x:row r="28" ht="24" hidden="0" customHeight="1">
      <x:c r="A28" s="933" t="str">
        <x:v>Hidden</x:v>
      </x:c>
      <x:c r="B28" s="933" t="n">
        <x:v>3</x:v>
      </x:c>
      <x:c r="C28" s="933" t="n">
        <x:v>5</x:v>
      </x:c>
      <x:c r="D28" s="933" t="n">
        <x:v>10</x:v>
      </x:c>
      <x:c r="E28" s="933" t="str">
        <x:v>오아시스3 + 거주지3</x:v>
      </x:c>
      <x:c r="F28" s="933" t="n">
        <x:v>18</x:v>
      </x:c>
      <x:c r="G28" s="933" t="str">
        <x:v>디야 B / 보리치 / 정착근거</x:v>
      </x:c>
      <x:c r="H28" s="933" t="str">
        <x:v>Hidden/Recheck37 + Sustainability HIGH Proxy</x:v>
      </x:c>
      <x:c r="I28" s="933" t="str">
        <x:v>TEMP Target</x:v>
      </x:c>
      <x:c r="J28" s="933"/>
      <x:c r="K28" s="933"/>
      <x:c r="L28" s="933"/>
      <x:c r="M28" s="933"/>
      <x:c r="N28" s="933"/>
      <x:c r="O28" s="933"/>
    </x:row>
    <x:row r="29" ht="15" hidden="0" customHeight="1">
      <x:c r="A29" s="933"/>
      <x:c r="B29" s="933"/>
      <x:c r="C29" s="933"/>
      <x:c r="D29" s="933"/>
      <x:c r="E29" s="933"/>
      <x:c r="F29" s="933"/>
      <x:c r="G29" s="933"/>
      <x:c r="H29" s="933"/>
      <x:c r="I29" s="933"/>
      <x:c r="J29" s="933"/>
      <x:c r="K29" s="933"/>
      <x:c r="L29" s="933"/>
      <x:c r="M29" s="933"/>
      <x:c r="N29" s="933"/>
      <x:c r="O29" s="933"/>
    </x:row>
    <x:row r="30" ht="26" hidden="0" customHeight="1">
      <x:c r="A30" s="950" t="str">
        <x:v>4. True 준비 가능성 — W2 실제 일별 배치</x:v>
      </x:c>
      <x:c r="B30" s="950"/>
      <x:c r="C30" s="950"/>
      <x:c r="D30" s="950"/>
      <x:c r="E30" s="950"/>
      <x:c r="F30" s="950"/>
      <x:c r="G30" s="950"/>
      <x:c r="H30" s="950"/>
      <x:c r="I30" s="950"/>
      <x:c r="J30" s="950"/>
      <x:c r="K30" s="950"/>
      <x:c r="L30" s="950"/>
      <x:c r="M30" s="950"/>
      <x:c r="N30" s="950"/>
      <x:c r="O30" s="950"/>
      <x:c r="P30" s="389"/>
      <x:c r="Q30" s="389"/>
      <x:c r="R30" s="389"/>
    </x:row>
    <x:row r="31" ht="30" hidden="0" customHeight="1">
      <x:c r="A31" s="953" t="str">
        <x:v>Day</x:v>
      </x:c>
      <x:c r="B31" s="953" t="str">
        <x:v>공통 필수</x:v>
      </x:c>
      <x:c r="C31" s="953" t="str">
        <x:v>Repair</x:v>
      </x:c>
      <x:c r="D31" s="953" t="str">
        <x:v>Preserve</x:v>
      </x:c>
      <x:c r="E31" s="953" t="str">
        <x:v>Character / Route</x:v>
      </x:c>
      <x:c r="F31" s="953" t="str">
        <x:v>Growth/기타</x:v>
      </x:c>
      <x:c r="G31" s="953" t="str">
        <x:v>계획시간</x:v>
      </x:c>
      <x:c r="H31" s="953" t="str">
        <x:v>자유시간</x:v>
      </x:c>
      <x:c r="I31" s="953" t="str">
        <x:v>누적 W2 Repair</x:v>
      </x:c>
      <x:c r="J31" s="953" t="str">
        <x:v>거주지</x:v>
      </x:c>
      <x:c r="K31" s="953" t="str">
        <x:v>핵심 Flag</x:v>
      </x:c>
      <x:c r="L31" s="953" t="str">
        <x:v>Character h</x:v>
      </x:c>
      <x:c r="M31" s="953" t="str">
        <x:v>총 재계산</x:v>
      </x:c>
      <x:c r="N31" s="953" t="str">
        <x:v>이 True 표는 **페이 Full Route를 필수**로 넣은 권장선이다. 이유는 True에서 Faye=LEAVE가 필요하기 때문. 반면 지나/디야/벤자민은 Final Seed만으로 Stance 조건을 만들 수 있으므로 Mastery Deepening은 선택으로 남겼다. 표에는 지나·벤자민·샘 Deepening도 일부 넣어 'True+보상' 상한을 같이 검증했다. 그래도 하루14h를 넘지 않는다. 즉 True의 난이도는 W2 시간 자체보다 W1 선행, D15~19 전원생존, NPC 배치, D19 Boss에서 주로 만들어져야 한다.</x:v>
      </x:c>
      <x:c r="O31" s="953"/>
      <x:c r="P31" s="395"/>
      <x:c r="Q31" s="395"/>
      <x:c r="R31" s="395"/>
    </x:row>
    <x:row r="32" ht="24" hidden="0" customHeight="1">
      <x:c r="A32" s="933" t="n">
        <x:v>8</x:v>
      </x:c>
      <x:c r="B32" s="933" t="n">
        <x:v>4</x:v>
      </x:c>
      <x:c r="C32" s="933" t="n">
        <x:v>2</x:v>
      </x:c>
      <x:c r="D32" s="933" t="n">
        <x:v>3</x:v>
      </x:c>
      <x:c r="E32" s="933" t="str">
        <x:v>—</x:v>
      </x:c>
      <x:c r="F32" s="933" t="n">
        <x:v>2</x:v>
      </x:c>
      <x:c r="G32" s="933" t="n">
        <x:f>M32</x:f>
        <x:v>11</x:v>
      </x:c>
      <x:c r="H32" s="933" t="n">
        <x:f>14-G32</x:f>
        <x:v>3</x:v>
      </x:c>
      <x:c r="I32" s="933" t="n">
        <x:v>1</x:v>
      </x:c>
      <x:c r="J32" s="933" t="n">
        <x:v>1</x:v>
      </x:c>
      <x:c r="K32" s="933" t="str">
        <x:v>폭풍 발견 / 첫 수리 / 거주지1</x:v>
      </x:c>
      <x:c r="L32" s="933" t="n">
        <x:v>0</x:v>
      </x:c>
      <x:c r="M32" s="933" t="n">
        <x:f>B32+C32+D32+L32+F32</x:f>
        <x:v>11</x:v>
      </x:c>
      <x:c r="N32" s="933"/>
      <x:c r="O32" s="933"/>
      <x:c r="P32" s="395"/>
      <x:c r="Q32" s="395"/>
      <x:c r="R32" s="395"/>
    </x:row>
    <x:row r="33" ht="24" hidden="0" customHeight="1">
      <x:c r="A33" s="933" t="n">
        <x:v>9</x:v>
      </x:c>
      <x:c r="B33" s="933" t="n">
        <x:v>4</x:v>
      </x:c>
      <x:c r="C33" s="933" t="n">
        <x:v>2</x:v>
      </x:c>
      <x:c r="D33" s="933" t="n">
        <x:v>3</x:v>
      </x:c>
      <x:c r="E33" s="933" t="str">
        <x:v>페이 W2 중간 Beat 2h</x:v>
      </x:c>
      <x:c r="F33" s="933" t="n">
        <x:v>0</x:v>
      </x:c>
      <x:c r="G33" s="933" t="n">
        <x:f>M33</x:f>
        <x:v>11</x:v>
      </x:c>
      <x:c r="H33" s="933" t="n">
        <x:f>14-G33</x:f>
        <x:v>3</x:v>
      </x:c>
      <x:c r="I33" s="933" t="n">
        <x:v>2</x:v>
      </x:c>
      <x:c r="J33" s="933" t="n">
        <x:v>2</x:v>
      </x:c>
      <x:c r="K33" s="933" t="str">
        <x:v>Faye Final Seed / 거주지2</x:v>
      </x:c>
      <x:c r="L33" s="933" t="n">
        <x:v>2</x:v>
      </x:c>
      <x:c r="M33" s="933" t="n">
        <x:f>B33+C33+D33+L33+F33</x:f>
        <x:v>11</x:v>
      </x:c>
      <x:c r="N33" s="933"/>
      <x:c r="O33" s="933"/>
      <x:c r="P33" s="395"/>
      <x:c r="Q33" s="395"/>
      <x:c r="R33" s="395"/>
    </x:row>
    <x:row r="34" ht="36" hidden="0" customHeight="1">
      <x:c r="A34" s="933" t="n">
        <x:v>10</x:v>
      </x:c>
      <x:c r="B34" s="933" t="n">
        <x:v>2</x:v>
      </x:c>
      <x:c r="C34" s="933" t="n">
        <x:v>2</x:v>
      </x:c>
      <x:c r="D34" s="933" t="n">
        <x:v>0</x:v>
      </x:c>
      <x:c r="E34" s="933" t="str">
        <x:v>미라 수색2h + 지나 후속1.5h + 벤자민 추모2h(선택 Mastery)</x:v>
      </x:c>
      <x:c r="F34" s="933" t="n">
        <x:v>0</x:v>
      </x:c>
      <x:c r="G34" s="933" t="n">
        <x:f>M34</x:f>
        <x:v>9.5</x:v>
      </x:c>
      <x:c r="H34" s="933" t="n">
        <x:f>14-G34</x:f>
        <x:v>4.5</x:v>
      </x:c>
      <x:c r="I34" s="933" t="n">
        <x:v>3</x:v>
      </x:c>
      <x:c r="J34" s="933" t="n">
        <x:v>2</x:v>
      </x:c>
      <x:c r="K34" s="933" t="str">
        <x:v>Jina Final Seed / Ben Mastery Deepening</x:v>
      </x:c>
      <x:c r="L34" s="933" t="n">
        <x:v>5.5</x:v>
      </x:c>
      <x:c r="M34" s="933" t="n">
        <x:f>B34+C34+D34+L34+F34</x:f>
        <x:v>9.5</x:v>
      </x:c>
      <x:c r="N34" s="933"/>
      <x:c r="O34" s="933"/>
      <x:c r="P34" s="395"/>
      <x:c r="Q34" s="395"/>
      <x:c r="R34" s="395"/>
    </x:row>
    <x:row r="35" ht="15" hidden="0" customHeight="1">
      <x:c r="A35" s="933" t="n">
        <x:v>11</x:v>
      </x:c>
      <x:c r="B35" s="933" t="n">
        <x:v>2</x:v>
      </x:c>
      <x:c r="C35" s="933" t="n">
        <x:v>2</x:v>
      </x:c>
      <x:c r="D35" s="933" t="n">
        <x:v>0</x:v>
      </x:c>
      <x:c r="E35" s="933" t="str">
        <x:v>축제2h + 디야 대면 A 2h</x:v>
      </x:c>
      <x:c r="F35" s="933" t="n">
        <x:v>2</x:v>
      </x:c>
      <x:c r="G35" s="933" t="n">
        <x:f>M35</x:f>
        <x:v>10</x:v>
      </x:c>
      <x:c r="H35" s="933" t="n">
        <x:f>14-G35</x:f>
        <x:v>4</x:v>
      </x:c>
      <x:c r="I35" s="933" t="n">
        <x:v>4</x:v>
      </x:c>
      <x:c r="J35" s="933" t="n">
        <x:v>2</x:v>
      </x:c>
      <x:c r="K35" s="933" t="str">
        <x:v>Diya True Seed</x:v>
      </x:c>
      <x:c r="L35" s="933" t="n">
        <x:v>4</x:v>
      </x:c>
      <x:c r="M35" s="933" t="n">
        <x:f>B35+C35+D35+L35+F35</x:f>
        <x:v>10</x:v>
      </x:c>
      <x:c r="N35" s="933"/>
      <x:c r="O35" s="933"/>
      <x:c r="P35" s="395"/>
      <x:c r="Q35" s="395"/>
      <x:c r="R35" s="395"/>
    </x:row>
    <x:row r="36" ht="36" hidden="0" customHeight="1">
      <x:c r="A36" s="933" t="n">
        <x:v>12</x:v>
      </x:c>
      <x:c r="B36" s="933" t="n">
        <x:v>2</x:v>
      </x:c>
      <x:c r="C36" s="933" t="n">
        <x:v>2</x:v>
      </x:c>
      <x:c r="D36" s="933" t="n">
        <x:v>0</x:v>
      </x:c>
      <x:c r="E36" s="933" t="str">
        <x:v>벤자민 Living Ship1.5h + 지나 과거2h(선택 Mastery)</x:v>
      </x:c>
      <x:c r="F36" s="933" t="n">
        <x:v>2</x:v>
      </x:c>
      <x:c r="G36" s="933" t="n">
        <x:f>M36</x:f>
        <x:v>9.5</x:v>
      </x:c>
      <x:c r="H36" s="933" t="n">
        <x:f>14-G36</x:f>
        <x:v>4.5</x:v>
      </x:c>
      <x:c r="I36" s="933" t="n">
        <x:v>5</x:v>
      </x:c>
      <x:c r="J36" s="933" t="n">
        <x:v>2</x:v>
      </x:c>
      <x:c r="K36" s="933" t="str">
        <x:v>Ben Final Seed / Jina Mastery 가능</x:v>
      </x:c>
      <x:c r="L36" s="933" t="n">
        <x:v>3.5</x:v>
      </x:c>
      <x:c r="M36" s="933" t="n">
        <x:f>B36+C36+D36+L36+F36</x:f>
        <x:v>9.5</x:v>
      </x:c>
      <x:c r="N36" s="933"/>
      <x:c r="O36" s="933"/>
      <x:c r="P36" s="395"/>
      <x:c r="Q36" s="395"/>
      <x:c r="R36" s="395"/>
    </x:row>
    <x:row r="37" ht="24" hidden="0" customHeight="1">
      <x:c r="A37" s="933" t="n">
        <x:v>13</x:v>
      </x:c>
      <x:c r="B37" s="933" t="n">
        <x:v>2</x:v>
      </x:c>
      <x:c r="C37" s="933" t="n">
        <x:v>2</x:v>
      </x:c>
      <x:c r="D37" s="933" t="n">
        <x:v>0</x:v>
      </x:c>
      <x:c r="E37" s="933" t="str">
        <x:v>페이 공연장비 보존2h + 샘 인계전 대화1.5h</x:v>
      </x:c>
      <x:c r="F37" s="933" t="n">
        <x:v>2</x:v>
      </x:c>
      <x:c r="G37" s="933" t="n">
        <x:f>M37</x:f>
        <x:v>9.5</x:v>
      </x:c>
      <x:c r="H37" s="933" t="n">
        <x:f>14-G37</x:f>
        <x:v>4.5</x:v>
      </x:c>
      <x:c r="I37" s="933" t="n">
        <x:v>6</x:v>
      </x:c>
      <x:c r="J37" s="933" t="n">
        <x:v>2</x:v>
      </x:c>
      <x:c r="K37" s="933" t="str">
        <x:v>Faye Full Route / Sam Mastery Deepening</x:v>
      </x:c>
      <x:c r="L37" s="933" t="n">
        <x:v>3.5</x:v>
      </x:c>
      <x:c r="M37" s="933" t="n">
        <x:f>B37+C37+D37+L37+F37</x:f>
        <x:v>9.5</x:v>
      </x:c>
      <x:c r="N37" s="933"/>
      <x:c r="O37" s="933"/>
      <x:c r="P37" s="395"/>
      <x:c r="Q37" s="395"/>
      <x:c r="R37" s="395"/>
    </x:row>
    <x:row r="38" ht="24" hidden="0" customHeight="1">
      <x:c r="A38" s="933" t="n">
        <x:v>14</x:v>
      </x:c>
      <x:c r="B38" s="933" t="n">
        <x:v>6</x:v>
      </x:c>
      <x:c r="C38" s="933" t="n">
        <x:v>2</x:v>
      </x:c>
      <x:c r="D38" s="933" t="n">
        <x:v>0</x:v>
      </x:c>
      <x:c r="E38" s="933" t="str">
        <x:v>마지막 Character 2h</x:v>
      </x:c>
      <x:c r="F38" s="933" t="n">
        <x:v>0</x:v>
      </x:c>
      <x:c r="G38" s="933" t="n">
        <x:f>M38</x:f>
        <x:v>10</x:v>
      </x:c>
      <x:c r="H38" s="933" t="n">
        <x:f>14-G38</x:f>
        <x:v>4</x:v>
      </x:c>
      <x:c r="I38" s="933" t="n">
        <x:v>7</x:v>
      </x:c>
      <x:c r="J38" s="933" t="n">
        <x:v>2</x:v>
      </x:c>
      <x:c r="K38" s="933" t="str">
        <x:v>Storm Buffer W2 수리7 완료</x:v>
      </x:c>
      <x:c r="L38" s="933" t="n">
        <x:v>2</x:v>
      </x:c>
      <x:c r="M38" s="933" t="n">
        <x:f>B38+C38+D38+L38+F38</x:f>
        <x:v>10</x:v>
      </x:c>
      <x:c r="N38" s="933"/>
      <x:c r="O38" s="933"/>
      <x:c r="P38" s="395"/>
      <x:c r="Q38" s="395"/>
      <x:c r="R38" s="395"/>
    </x:row>
    <x:row r="39" ht="15" hidden="0" customHeight="1">
      <x:c r="A39" s="936" t="str">
        <x:v>합계</x:v>
      </x:c>
      <x:c r="B39" s="936" t="n">
        <x:f>SUM(B32:B38)</x:f>
        <x:v>22</x:v>
      </x:c>
      <x:c r="C39" s="936" t="n">
        <x:f>SUM(C32:C38)</x:f>
        <x:v>14</x:v>
      </x:c>
      <x:c r="D39" s="936" t="n">
        <x:f>SUM(D32:D38)</x:f>
        <x:v>6</x:v>
      </x:c>
      <x:c r="E39" s="936" t="str"/>
      <x:c r="F39" s="936" t="n">
        <x:f>SUM(F32:F38)</x:f>
        <x:v>8</x:v>
      </x:c>
      <x:c r="G39" s="936" t="n">
        <x:f>SUM(G32:G38)</x:f>
        <x:v>70.5</x:v>
      </x:c>
      <x:c r="H39" s="936" t="n">
        <x:f>SUM(H32:H38)</x:f>
        <x:v>27.5</x:v>
      </x:c>
      <x:c r="I39" s="936"/>
      <x:c r="J39" s="936"/>
      <x:c r="K39" s="936" t="str"/>
      <x:c r="L39" s="936" t="n">
        <x:f>SUM(L32:L38)</x:f>
        <x:v>20.5</x:v>
      </x:c>
      <x:c r="M39" s="936" t="n">
        <x:f>SUM(M32:M38)</x:f>
        <x:v>70.5</x:v>
      </x:c>
      <x:c r="N39" s="933"/>
      <x:c r="O39" s="933"/>
      <x:c r="P39" s="395"/>
      <x:c r="Q39" s="395"/>
      <x:c r="R39" s="395"/>
    </x:row>
    <x:row r="40" ht="15" hidden="0" customHeight="1">
      <x:c r="A40" s="933"/>
      <x:c r="B40" s="933"/>
      <x:c r="C40" s="933"/>
      <x:c r="D40" s="933"/>
      <x:c r="E40" s="933"/>
      <x:c r="F40" s="933"/>
      <x:c r="G40" s="933"/>
      <x:c r="H40" s="933"/>
      <x:c r="I40" s="933"/>
      <x:c r="J40" s="933"/>
      <x:c r="K40" s="933"/>
      <x:c r="L40" s="933"/>
      <x:c r="M40" s="933"/>
      <x:c r="N40" s="933"/>
      <x:c r="O40" s="933"/>
    </x:row>
    <x:row r="41" ht="26" hidden="0" customHeight="1">
      <x:c r="A41" s="950" t="str">
        <x:v>5. Hidden 준비 가능성 — Preservation 6회가 실제로 들어가는가</x:v>
      </x:c>
      <x:c r="B41" s="950"/>
      <x:c r="C41" s="950"/>
      <x:c r="D41" s="950"/>
      <x:c r="E41" s="950"/>
      <x:c r="F41" s="950"/>
      <x:c r="G41" s="950"/>
      <x:c r="H41" s="950"/>
      <x:c r="I41" s="950"/>
      <x:c r="J41" s="950"/>
      <x:c r="K41" s="950"/>
      <x:c r="L41" s="950"/>
      <x:c r="M41" s="950"/>
      <x:c r="N41" s="950"/>
      <x:c r="O41" s="950"/>
      <x:c r="P41" s="389"/>
      <x:c r="Q41" s="389"/>
      <x:c r="R41" s="389"/>
    </x:row>
    <x:row r="42" ht="30" hidden="0" customHeight="1">
      <x:c r="A42" s="953" t="str">
        <x:v>Day</x:v>
      </x:c>
      <x:c r="B42" s="953" t="str">
        <x:v>공통 필수</x:v>
      </x:c>
      <x:c r="C42" s="953" t="str">
        <x:v>Repair</x:v>
      </x:c>
      <x:c r="D42" s="953" t="str">
        <x:v>Oasis</x:v>
      </x:c>
      <x:c r="E42" s="953" t="str">
        <x:v>Settlement</x:v>
      </x:c>
      <x:c r="F42" s="953" t="str">
        <x:v>Character / Route</x:v>
      </x:c>
      <x:c r="G42" s="953" t="str">
        <x:v>기타</x:v>
      </x:c>
      <x:c r="H42" s="953" t="str">
        <x:v>계획시간</x:v>
      </x:c>
      <x:c r="I42" s="953" t="str">
        <x:v>자유시간</x:v>
      </x:c>
      <x:c r="J42" s="953" t="str">
        <x:v>누적Repair</x:v>
      </x:c>
      <x:c r="K42" s="953" t="str">
        <x:v>Oasis</x:v>
      </x:c>
      <x:c r="L42" s="953" t="str">
        <x:v>Settlement</x:v>
      </x:c>
      <x:c r="M42" s="953" t="str">
        <x:v>Character h</x:v>
      </x:c>
      <x:c r="N42" s="953" t="str">
        <x:v>총 재계산</x:v>
      </x:c>
      <x:c r="O42" s="953" t="str">
        <x:v>Hidden의 가장 큰 W2 비용은 Preservation 18h다. 그래도 D11까지 오아시스3/거주지3을 끝내면 D12~14를 수리와 Character에 돌릴 수 있다. W2 수리5회는 Hidden/Recheck Profile에 충분하지만 **W1에서 연구실 중심 수리3회가 이미 필요**하다. 따라서 Hidden의 진짜 역산 압력은 W2 자체보다 W1에서 '연구실을 왜 미리 고쳤는가'를 자연스럽게 심어야 한다는 점이다.</x:v>
      </x:c>
      <x:c r="P42" s="395"/>
      <x:c r="Q42" s="395"/>
      <x:c r="R42" s="395"/>
    </x:row>
    <x:row r="43" ht="15" hidden="0" customHeight="1">
      <x:c r="A43" s="933" t="n">
        <x:v>8</x:v>
      </x:c>
      <x:c r="B43" s="933" t="n">
        <x:v>4</x:v>
      </x:c>
      <x:c r="C43" s="933" t="n">
        <x:v>0</x:v>
      </x:c>
      <x:c r="D43" s="933" t="n">
        <x:v>0</x:v>
      </x:c>
      <x:c r="E43" s="933" t="n">
        <x:v>3</x:v>
      </x:c>
      <x:c r="F43" s="933" t="str">
        <x:v>보리치 죄책감 2h</x:v>
      </x:c>
      <x:c r="G43" s="933" t="n">
        <x:v>1</x:v>
      </x:c>
      <x:c r="H43" s="933" t="n">
        <x:f>N43</x:f>
        <x:v>10</x:v>
      </x:c>
      <x:c r="I43" s="933" t="n">
        <x:f>14-H43</x:f>
        <x:v>4</x:v>
      </x:c>
      <x:c r="J43" s="933" t="n">
        <x:v>0</x:v>
      </x:c>
      <x:c r="K43" s="933" t="n">
        <x:v>0</x:v>
      </x:c>
      <x:c r="L43" s="933" t="n">
        <x:v>1</x:v>
      </x:c>
      <x:c r="M43" s="933" t="n">
        <x:v>2</x:v>
      </x:c>
      <x:c r="N43" s="933" t="n">
        <x:f>B43+C43+D43+E43+M43+G43</x:f>
        <x:v>10</x:v>
      </x:c>
      <x:c r="O43" s="933"/>
      <x:c r="P43" s="395"/>
      <x:c r="Q43" s="395"/>
      <x:c r="R43" s="395"/>
    </x:row>
    <x:row r="44" ht="15" hidden="0" customHeight="1">
      <x:c r="A44" s="933" t="n">
        <x:v>9</x:v>
      </x:c>
      <x:c r="B44" s="933" t="n">
        <x:v>4</x:v>
      </x:c>
      <x:c r="C44" s="933" t="n">
        <x:v>2</x:v>
      </x:c>
      <x:c r="D44" s="933" t="n">
        <x:v>3</x:v>
      </x:c>
      <x:c r="E44" s="933" t="n">
        <x:v>3</x:v>
      </x:c>
      <x:c r="F44" s="933" t="str">
        <x:v>—</x:v>
      </x:c>
      <x:c r="G44" s="933" t="n">
        <x:v>0</x:v>
      </x:c>
      <x:c r="H44" s="933" t="n">
        <x:f>N44</x:f>
        <x:v>12</x:v>
      </x:c>
      <x:c r="I44" s="933" t="n">
        <x:f>14-H44</x:f>
        <x:v>2</x:v>
      </x:c>
      <x:c r="J44" s="933" t="n">
        <x:v>1</x:v>
      </x:c>
      <x:c r="K44" s="933" t="n">
        <x:v>1</x:v>
      </x:c>
      <x:c r="L44" s="933" t="n">
        <x:v>2</x:v>
      </x:c>
      <x:c r="M44" s="933" t="n">
        <x:v>0</x:v>
      </x:c>
      <x:c r="N44" s="933" t="n">
        <x:f>B44+C44+D44+E44+M44+G44</x:f>
        <x:v>12</x:v>
      </x:c>
      <x:c r="O44" s="933"/>
      <x:c r="P44" s="395"/>
      <x:c r="Q44" s="395"/>
      <x:c r="R44" s="395"/>
    </x:row>
    <x:row r="45" ht="24" hidden="0" customHeight="1">
      <x:c r="A45" s="933" t="n">
        <x:v>10</x:v>
      </x:c>
      <x:c r="B45" s="933" t="n">
        <x:v>2</x:v>
      </x:c>
      <x:c r="C45" s="933" t="n">
        <x:v>2</x:v>
      </x:c>
      <x:c r="D45" s="933" t="n">
        <x:v>3</x:v>
      </x:c>
      <x:c r="E45" s="933" t="n">
        <x:v>0</x:v>
      </x:c>
      <x:c r="F45" s="933" t="str">
        <x:v>미라 수색2h + 지나 후속1.5h(선택)</x:v>
      </x:c>
      <x:c r="G45" s="933" t="n">
        <x:v>0</x:v>
      </x:c>
      <x:c r="H45" s="933" t="n">
        <x:f>N45</x:f>
        <x:v>10.5</x:v>
      </x:c>
      <x:c r="I45" s="933" t="n">
        <x:f>14-H45</x:f>
        <x:v>3.5</x:v>
      </x:c>
      <x:c r="J45" s="933" t="n">
        <x:v>2</x:v>
      </x:c>
      <x:c r="K45" s="933" t="n">
        <x:v>2</x:v>
      </x:c>
      <x:c r="L45" s="933" t="n">
        <x:v>2</x:v>
      </x:c>
      <x:c r="M45" s="933" t="n">
        <x:v>3.5</x:v>
      </x:c>
      <x:c r="N45" s="933" t="n">
        <x:f>B45+C45+D45+E45+M45+G45</x:f>
        <x:v>10.5</x:v>
      </x:c>
      <x:c r="O45" s="933"/>
      <x:c r="P45" s="395"/>
      <x:c r="Q45" s="395"/>
      <x:c r="R45" s="395"/>
    </x:row>
    <x:row r="46" ht="15" hidden="0" customHeight="1">
      <x:c r="A46" s="933" t="n">
        <x:v>11</x:v>
      </x:c>
      <x:c r="B46" s="933" t="n">
        <x:v>2</x:v>
      </x:c>
      <x:c r="C46" s="933" t="n">
        <x:v>0</x:v>
      </x:c>
      <x:c r="D46" s="933" t="n">
        <x:v>3</x:v>
      </x:c>
      <x:c r="E46" s="933" t="n">
        <x:v>3</x:v>
      </x:c>
      <x:c r="F46" s="933" t="str">
        <x:v>축제2h + 디야 대면 B 2h</x:v>
      </x:c>
      <x:c r="G46" s="933" t="n">
        <x:v>0</x:v>
      </x:c>
      <x:c r="H46" s="933" t="n">
        <x:f>N46</x:f>
        <x:v>12</x:v>
      </x:c>
      <x:c r="I46" s="933" t="n">
        <x:f>14-H46</x:f>
        <x:v>2</x:v>
      </x:c>
      <x:c r="J46" s="933" t="n">
        <x:v>2</x:v>
      </x:c>
      <x:c r="K46" s="933" t="n">
        <x:v>3</x:v>
      </x:c>
      <x:c r="L46" s="933" t="n">
        <x:v>3</x:v>
      </x:c>
      <x:c r="M46" s="933" t="n">
        <x:v>4</x:v>
      </x:c>
      <x:c r="N46" s="933" t="n">
        <x:f>B46+C46+D46+E46+M46+G46</x:f>
        <x:v>12</x:v>
      </x:c>
      <x:c r="O46" s="933"/>
      <x:c r="P46" s="395"/>
      <x:c r="Q46" s="395"/>
      <x:c r="R46" s="395"/>
    </x:row>
    <x:row r="47" ht="15" hidden="0" customHeight="1">
      <x:c r="A47" s="933" t="n">
        <x:v>12</x:v>
      </x:c>
      <x:c r="B47" s="933" t="n">
        <x:v>2</x:v>
      </x:c>
      <x:c r="C47" s="933" t="n">
        <x:v>2</x:v>
      </x:c>
      <x:c r="D47" s="933" t="n">
        <x:v>0</x:v>
      </x:c>
      <x:c r="E47" s="933" t="n">
        <x:v>0</x:v>
      </x:c>
      <x:c r="F47" s="933" t="str">
        <x:v>온실 시험재배1.5h</x:v>
      </x:c>
      <x:c r="G47" s="933" t="n">
        <x:v>2</x:v>
      </x:c>
      <x:c r="H47" s="933" t="n">
        <x:f>N47</x:f>
        <x:v>7.5</x:v>
      </x:c>
      <x:c r="I47" s="933" t="n">
        <x:f>14-H47</x:f>
        <x:v>6.5</x:v>
      </x:c>
      <x:c r="J47" s="933" t="n">
        <x:v>3</x:v>
      </x:c>
      <x:c r="K47" s="933" t="n">
        <x:v>3</x:v>
      </x:c>
      <x:c r="L47" s="933" t="n">
        <x:v>3</x:v>
      </x:c>
      <x:c r="M47" s="933" t="n">
        <x:v>1.5</x:v>
      </x:c>
      <x:c r="N47" s="933" t="n">
        <x:f>B47+C47+D47+E47+M47+G47</x:f>
        <x:v>7.5</x:v>
      </x:c>
      <x:c r="O47" s="933"/>
      <x:c r="P47" s="395"/>
      <x:c r="Q47" s="395"/>
      <x:c r="R47" s="395"/>
    </x:row>
    <x:row r="48" ht="24" hidden="0" customHeight="1">
      <x:c r="A48" s="933" t="n">
        <x:v>13</x:v>
      </x:c>
      <x:c r="B48" s="933" t="n">
        <x:v>2</x:v>
      </x:c>
      <x:c r="C48" s="933" t="n">
        <x:v>2</x:v>
      </x:c>
      <x:c r="D48" s="933" t="n">
        <x:v>0</x:v>
      </x:c>
      <x:c r="E48" s="933" t="n">
        <x:v>0</x:v>
      </x:c>
      <x:c r="F48" s="933" t="str">
        <x:v>샘 인계전 대화1.5h(선택)</x:v>
      </x:c>
      <x:c r="G48" s="933" t="n">
        <x:v>2</x:v>
      </x:c>
      <x:c r="H48" s="933" t="n">
        <x:f>N48</x:f>
        <x:v>7.5</x:v>
      </x:c>
      <x:c r="I48" s="933" t="n">
        <x:f>14-H48</x:f>
        <x:v>6.5</x:v>
      </x:c>
      <x:c r="J48" s="933" t="n">
        <x:v>4</x:v>
      </x:c>
      <x:c r="K48" s="933" t="n">
        <x:v>3</x:v>
      </x:c>
      <x:c r="L48" s="933" t="n">
        <x:v>3</x:v>
      </x:c>
      <x:c r="M48" s="933" t="n">
        <x:v>1.5</x:v>
      </x:c>
      <x:c r="N48" s="933" t="n">
        <x:f>B48+C48+D48+E48+M48+G48</x:f>
        <x:v>7.5</x:v>
      </x:c>
      <x:c r="O48" s="933"/>
      <x:c r="P48" s="395"/>
      <x:c r="Q48" s="395"/>
      <x:c r="R48" s="395"/>
    </x:row>
    <x:row r="49" ht="15" hidden="0" customHeight="1">
      <x:c r="A49" s="933" t="n">
        <x:v>14</x:v>
      </x:c>
      <x:c r="B49" s="933" t="n">
        <x:v>6</x:v>
      </x:c>
      <x:c r="C49" s="933" t="n">
        <x:v>2</x:v>
      </x:c>
      <x:c r="D49" s="933" t="n">
        <x:v>0</x:v>
      </x:c>
      <x:c r="E49" s="933" t="n">
        <x:v>0</x:v>
      </x:c>
      <x:c r="F49" s="933" t="str">
        <x:v>마지막 Character 2h</x:v>
      </x:c>
      <x:c r="G49" s="933" t="n">
        <x:v>0</x:v>
      </x:c>
      <x:c r="H49" s="933" t="n">
        <x:f>N49</x:f>
        <x:v>10</x:v>
      </x:c>
      <x:c r="I49" s="933" t="n">
        <x:f>14-H49</x:f>
        <x:v>4</x:v>
      </x:c>
      <x:c r="J49" s="933" t="n">
        <x:v>5</x:v>
      </x:c>
      <x:c r="K49" s="933" t="n">
        <x:v>3</x:v>
      </x:c>
      <x:c r="L49" s="933" t="n">
        <x:v>3</x:v>
      </x:c>
      <x:c r="M49" s="933" t="n">
        <x:v>2</x:v>
      </x:c>
      <x:c r="N49" s="933" t="n">
        <x:f>B49+C49+D49+E49+M49+G49</x:f>
        <x:v>10</x:v>
      </x:c>
      <x:c r="O49" s="933"/>
      <x:c r="P49" s="395"/>
      <x:c r="Q49" s="395"/>
      <x:c r="R49" s="395"/>
    </x:row>
    <x:row r="50" ht="15" hidden="0" customHeight="1">
      <x:c r="A50" s="936" t="str">
        <x:v>합계</x:v>
      </x:c>
      <x:c r="B50" s="936" t="n">
        <x:f>SUM(B43:B49)</x:f>
        <x:v>22</x:v>
      </x:c>
      <x:c r="C50" s="936" t="n">
        <x:f>SUM(C43:C49)</x:f>
        <x:v>10</x:v>
      </x:c>
      <x:c r="D50" s="936" t="n">
        <x:f>SUM(D43:D49)</x:f>
        <x:v>9</x:v>
      </x:c>
      <x:c r="E50" s="936" t="n">
        <x:f>SUM(E43:E49)</x:f>
        <x:v>9</x:v>
      </x:c>
      <x:c r="F50" s="936" t="str"/>
      <x:c r="G50" s="936" t="n">
        <x:f>SUM(G43:G49)</x:f>
        <x:v>5</x:v>
      </x:c>
      <x:c r="H50" s="936" t="n">
        <x:f>SUM(H43:H49)</x:f>
        <x:v>69.5</x:v>
      </x:c>
      <x:c r="I50" s="936" t="n">
        <x:f>SUM(I43:I49)</x:f>
        <x:v>28.5</x:v>
      </x:c>
      <x:c r="J50" s="936"/>
      <x:c r="K50" s="936"/>
      <x:c r="L50" s="936"/>
      <x:c r="M50" s="936" t="n">
        <x:f>SUM(M43:M49)</x:f>
        <x:v>14.5</x:v>
      </x:c>
      <x:c r="N50" s="936" t="n">
        <x:f>SUM(N43:N49)</x:f>
        <x:v>69.5</x:v>
      </x:c>
      <x:c r="O50" s="933"/>
      <x:c r="P50" s="395"/>
      <x:c r="Q50" s="395"/>
      <x:c r="R50" s="395"/>
    </x:row>
    <x:row r="51" ht="15" hidden="0" customHeight="1">
      <x:c r="A51" s="933"/>
      <x:c r="B51" s="933"/>
      <x:c r="C51" s="933"/>
      <x:c r="D51" s="933"/>
      <x:c r="E51" s="933"/>
      <x:c r="F51" s="933"/>
      <x:c r="G51" s="933"/>
      <x:c r="H51" s="933"/>
      <x:c r="I51" s="933"/>
      <x:c r="J51" s="933"/>
      <x:c r="K51" s="933"/>
      <x:c r="L51" s="933"/>
      <x:c r="M51" s="933"/>
      <x:c r="N51" s="933"/>
      <x:c r="O51" s="933"/>
    </x:row>
    <x:row r="52" ht="26" hidden="0" customHeight="1">
      <x:c r="A52" s="950" t="str">
        <x:v>6. Mastery 파밍 Stress — W2만으로 충분히 제한되는가?</x:v>
      </x:c>
      <x:c r="B52" s="950"/>
      <x:c r="C52" s="950"/>
      <x:c r="D52" s="950"/>
      <x:c r="E52" s="950"/>
      <x:c r="F52" s="950"/>
      <x:c r="G52" s="950"/>
      <x:c r="H52" s="950"/>
      <x:c r="I52" s="950"/>
      <x:c r="J52" s="950"/>
      <x:c r="K52" s="950"/>
      <x:c r="L52" s="950"/>
      <x:c r="M52" s="950"/>
      <x:c r="N52" s="950"/>
      <x:c r="O52" s="950"/>
      <x:c r="P52" s="389"/>
      <x:c r="Q52" s="389"/>
      <x:c r="R52" s="389"/>
    </x:row>
    <x:row r="53" ht="30" hidden="0" customHeight="1">
      <x:c r="A53" s="941" t="str">
        <x:v>Mastery</x:v>
      </x:c>
      <x:c r="B53" s="941" t="str">
        <x:v>W2 추가 Deepening</x:v>
      </x:c>
      <x:c r="C53" s="941" t="str">
        <x:v>시간</x:v>
      </x:c>
      <x:c r="D53" s="941" t="str">
        <x:v>같은 날 경쟁</x:v>
      </x:c>
      <x:c r="E53" s="941" t="str">
        <x:v>W2 단독 제한력</x:v>
      </x:c>
      <x:c r="F53" s="941"/>
      <x:c r="G53" s="941" t="str">
        <x:v>W1 Audit 완료: Mastery 희소성은 W2 시간만으로 만들지 않고 W1 Focus Anchor에서 만든다. Focus A 1명 + Focus B 1명 + Sam 반복지원으로 실전 최대3. W2의 Deepening은 해당 W1 Anchor를 받은 인물만 +1Lv까지 이어진다.</x:v>
      </x:c>
      <x:c r="H53" s="941"/>
      <x:c r="I53" s="941"/>
      <x:c r="J53" s="941"/>
      <x:c r="K53" s="941"/>
      <x:c r="L53" s="941"/>
      <x:c r="M53" s="941"/>
      <x:c r="N53" s="941"/>
      <x:c r="O53" s="941"/>
      <x:c r="P53" s="401"/>
      <x:c r="Q53" s="401"/>
      <x:c r="R53" s="401"/>
    </x:row>
    <x:row r="54" ht="15" hidden="0" customHeight="1">
      <x:c r="A54" s="933" t="str">
        <x:v>샘</x:v>
      </x:c>
      <x:c r="B54" s="933" t="str">
        <x:v>D13 인계전 대화</x:v>
      </x:c>
      <x:c r="C54" s="933" t="str">
        <x:v>1.5h</x:v>
      </x:c>
      <x:c r="D54" s="933" t="str">
        <x:v>Faye 장비 / 수리 / 성장</x:v>
      </x:c>
      <x:c r="E54" s="933" t="str">
        <x:v>약함</x:v>
      </x:c>
      <x:c r="F54" s="933"/>
      <x:c r="G54" s="933"/>
      <x:c r="H54" s="933"/>
      <x:c r="I54" s="933"/>
      <x:c r="J54" s="933"/>
      <x:c r="K54" s="933"/>
      <x:c r="L54" s="933"/>
      <x:c r="M54" s="933"/>
      <x:c r="N54" s="933"/>
      <x:c r="O54" s="933"/>
      <x:c r="P54" s="401"/>
      <x:c r="Q54" s="401"/>
      <x:c r="R54" s="401"/>
    </x:row>
    <x:row r="55" ht="24" hidden="0" customHeight="1">
      <x:c r="A55" s="933" t="str">
        <x:v>지나</x:v>
      </x:c>
      <x:c r="B55" s="933" t="str">
        <x:v>D12 과거 심화</x:v>
      </x:c>
      <x:c r="C55" s="933" t="str">
        <x:v>2h</x:v>
      </x:c>
      <x:c r="D55" s="933" t="str">
        <x:v>Ben milestone / 시험재배 / 수리</x:v>
      </x:c>
      <x:c r="E55" s="933" t="str">
        <x:v>중간</x:v>
      </x:c>
      <x:c r="F55" s="933"/>
      <x:c r="G55" s="933"/>
      <x:c r="H55" s="933"/>
      <x:c r="I55" s="933"/>
      <x:c r="J55" s="933"/>
      <x:c r="K55" s="933"/>
      <x:c r="L55" s="933"/>
      <x:c r="M55" s="933"/>
      <x:c r="N55" s="933"/>
      <x:c r="O55" s="933"/>
      <x:c r="P55" s="401"/>
      <x:c r="Q55" s="401"/>
      <x:c r="R55" s="401"/>
    </x:row>
    <x:row r="56" ht="15" hidden="0" customHeight="1">
      <x:c r="A56" s="933" t="str">
        <x:v>페이</x:v>
      </x:c>
      <x:c r="B56" s="933" t="str">
        <x:v>D13 공연장비 보존</x:v>
      </x:c>
      <x:c r="C56" s="933" t="str">
        <x:v>2h</x:v>
      </x:c>
      <x:c r="D56" s="933" t="str">
        <x:v>Sam / 수리 / 성장</x:v>
      </x:c>
      <x:c r="E56" s="933" t="str">
        <x:v>중간</x:v>
      </x:c>
      <x:c r="F56" s="933"/>
      <x:c r="G56" s="933"/>
      <x:c r="H56" s="933"/>
      <x:c r="I56" s="933"/>
      <x:c r="J56" s="933"/>
      <x:c r="K56" s="933"/>
      <x:c r="L56" s="933"/>
      <x:c r="M56" s="933"/>
      <x:c r="N56" s="933"/>
      <x:c r="O56" s="933"/>
      <x:c r="P56" s="401"/>
      <x:c r="Q56" s="401"/>
      <x:c r="R56" s="401"/>
    </x:row>
    <x:row r="57" ht="15" hidden="0" customHeight="1">
      <x:c r="A57" s="933" t="str">
        <x:v>벤자민</x:v>
      </x:c>
      <x:c r="B57" s="933" t="str">
        <x:v>D10 추모 후속</x:v>
      </x:c>
      <x:c r="C57" s="933" t="str">
        <x:v>2h</x:v>
      </x:c>
      <x:c r="D57" s="933" t="str">
        <x:v>Mira/Jina / 수리</x:v>
      </x:c>
      <x:c r="E57" s="933" t="str">
        <x:v>중간</x:v>
      </x:c>
      <x:c r="F57" s="933"/>
      <x:c r="G57" s="933"/>
      <x:c r="H57" s="933"/>
      <x:c r="I57" s="933"/>
      <x:c r="J57" s="933"/>
      <x:c r="K57" s="933"/>
      <x:c r="L57" s="933"/>
      <x:c r="M57" s="933"/>
      <x:c r="N57" s="933"/>
      <x:c r="O57" s="933"/>
      <x:c r="P57" s="401"/>
      <x:c r="Q57" s="401"/>
      <x:c r="R57" s="401"/>
    </x:row>
    <x:row r="58" ht="15" hidden="0" customHeight="1">
      <x:c r="A58" s="933" t="str">
        <x:v>보리치</x:v>
      </x:c>
      <x:c r="B58" s="933" t="str">
        <x:v>D12 시험재배 연구기록</x:v>
      </x:c>
      <x:c r="C58" s="933" t="str">
        <x:v>1.5h</x:v>
      </x:c>
      <x:c r="D58" s="933" t="str">
        <x:v>Diya/수리/Jina</x:v>
      </x:c>
      <x:c r="E58" s="933" t="str">
        <x:v>약함</x:v>
      </x:c>
      <x:c r="F58" s="933"/>
      <x:c r="G58" s="933"/>
      <x:c r="H58" s="933"/>
      <x:c r="I58" s="933"/>
      <x:c r="J58" s="933"/>
      <x:c r="K58" s="933"/>
      <x:c r="L58" s="933"/>
      <x:c r="M58" s="933"/>
      <x:c r="N58" s="933"/>
      <x:c r="O58" s="933"/>
      <x:c r="P58" s="401"/>
      <x:c r="Q58" s="401"/>
      <x:c r="R58" s="401"/>
    </x:row>
    <x:row r="59" ht="15" hidden="0" customHeight="1">
      <x:c r="A59" s="933" t="str">
        <x:v>디야</x:v>
      </x:c>
      <x:c r="B59" s="933" t="str">
        <x:v>D12 시험재배 직접 도움</x:v>
      </x:c>
      <x:c r="C59" s="933" t="str">
        <x:v>1.5h</x:v>
      </x:c>
      <x:c r="D59" s="933" t="str">
        <x:v>Borichi/수리/Jina</x:v>
      </x:c>
      <x:c r="E59" s="933" t="str">
        <x:v>약함</x:v>
      </x:c>
      <x:c r="F59" s="933"/>
      <x:c r="G59" s="933"/>
      <x:c r="H59" s="933"/>
      <x:c r="I59" s="933"/>
      <x:c r="J59" s="933"/>
      <x:c r="K59" s="933"/>
      <x:c r="L59" s="933"/>
      <x:c r="M59" s="933"/>
      <x:c r="N59" s="933"/>
      <x:c r="O59" s="933"/>
      <x:c r="P59" s="401"/>
      <x:c r="Q59" s="401"/>
      <x:c r="R59" s="401"/>
    </x:row>
    <x:row r="60" ht="48" hidden="0" customHeight="1">
      <x:c r="A60" s="933" t="str">
        <x:v>결론</x:v>
      </x:c>
      <x:c r="B60" s="933" t="str">
        <x:v>W2 Deepening을 많이 넣어도 7일 총98h 안에서는 여러 Mastery 준비가 가능</x:v>
      </x:c>
      <x:c r="C60" s="933" t="n">
        <x:v>10.5</x:v>
      </x:c>
      <x:c r="D60" s="933" t="str">
        <x:v>—</x:v>
      </x:c>
      <x:c r="E60" s="933" t="str">
        <x:v>**W2만으로는 충분히 제한되지 않음**</x:v>
      </x:c>
      <x:c r="F60" s="933"/>
      <x:c r="G60" s="933"/>
      <x:c r="H60" s="933"/>
      <x:c r="I60" s="933"/>
      <x:c r="J60" s="933"/>
      <x:c r="K60" s="933"/>
      <x:c r="L60" s="933"/>
      <x:c r="M60" s="933"/>
      <x:c r="N60" s="933"/>
      <x:c r="O60" s="933"/>
      <x:c r="P60" s="401"/>
      <x:c r="Q60" s="401"/>
      <x:c r="R60" s="401"/>
    </x:row>
    <x:row r="61" ht="15" hidden="0" customHeight="1">
      <x:c r="A61" s="933"/>
      <x:c r="B61" s="933"/>
      <x:c r="C61" s="933"/>
      <x:c r="D61" s="933"/>
      <x:c r="E61" s="933"/>
      <x:c r="F61" s="933"/>
      <x:c r="G61" s="933"/>
      <x:c r="H61" s="933"/>
      <x:c r="I61" s="933"/>
      <x:c r="J61" s="933"/>
      <x:c r="K61" s="933"/>
      <x:c r="L61" s="933"/>
      <x:c r="M61" s="933"/>
      <x:c r="N61" s="933"/>
      <x:c r="O61" s="933"/>
    </x:row>
    <x:row r="62" ht="26" hidden="0" customHeight="1">
      <x:c r="A62" s="950" t="str">
        <x:v>7. W2 콘텐츠 정리 — 중복 제거 / 역할 확정</x:v>
      </x:c>
      <x:c r="B62" s="950"/>
      <x:c r="C62" s="950"/>
      <x:c r="D62" s="950"/>
      <x:c r="E62" s="950"/>
      <x:c r="F62" s="950"/>
      <x:c r="G62" s="950"/>
      <x:c r="H62" s="950"/>
      <x:c r="I62" s="950"/>
      <x:c r="J62" s="950"/>
      <x:c r="K62" s="950"/>
      <x:c r="L62" s="950"/>
      <x:c r="M62" s="950"/>
      <x:c r="N62" s="950"/>
      <x:c r="O62" s="950"/>
      <x:c r="P62" s="389"/>
      <x:c r="Q62" s="389"/>
      <x:c r="R62" s="389"/>
    </x:row>
    <x:row r="63" ht="30" hidden="0" customHeight="1">
      <x:c r="A63" s="953" t="str">
        <x:v>기존</x:v>
      </x:c>
      <x:c r="B63" s="953" t="str">
        <x:v>처리</x:v>
      </x:c>
      <x:c r="C63" s="953" t="str">
        <x:v>새 역할</x:v>
      </x:c>
      <x:c r="D63" s="953" t="str">
        <x:v>이유</x:v>
      </x:c>
      <x:c r="E63" s="953" t="str">
        <x:v>상태</x:v>
      </x:c>
      <x:c r="F63" s="953"/>
      <x:c r="G63" s="953"/>
      <x:c r="H63" s="953"/>
      <x:c r="I63" s="953"/>
      <x:c r="J63" s="953"/>
      <x:c r="K63" s="953"/>
      <x:c r="L63" s="953"/>
      <x:c r="M63" s="953"/>
      <x:c r="N63" s="953"/>
      <x:c r="O63" s="953"/>
    </x:row>
    <x:row r="64" ht="36" hidden="0" customHeight="1">
      <x:c r="A64" s="933" t="str">
        <x:v>D9 페이 중간 Beat</x:v>
      </x:c>
      <x:c r="B64" s="933" t="str">
        <x:v>유지/확정방향</x:v>
      </x:c>
      <x:c r="C64" s="933" t="str">
        <x:v>Faye Final Seed</x:v>
      </x:c>
      <x:c r="D64" s="933" t="str">
        <x:v>공연이 갑자기 나오지 않게 하는 필수 중간다리</x:v>
      </x:c>
      <x:c r="E64" s="933" t="str">
        <x:v>확정방향</x:v>
      </x:c>
      <x:c r="F64" s="933"/>
      <x:c r="G64" s="933"/>
      <x:c r="H64" s="933"/>
      <x:c r="I64" s="933"/>
      <x:c r="J64" s="933"/>
      <x:c r="K64" s="933"/>
      <x:c r="L64" s="933"/>
      <x:c r="M64" s="933"/>
      <x:c r="N64" s="933"/>
      <x:c r="O64" s="933"/>
    </x:row>
    <x:row r="65" ht="36" hidden="0" customHeight="1">
      <x:c r="A65" s="933" t="str">
        <x:v>D13 페이 '중간 Beat' 중복</x:v>
      </x:c>
      <x:c r="B65" s="933" t="str">
        <x:v>교체</x:v>
      </x:c>
      <x:c r="C65" s="933" t="str">
        <x:v>공연용 음향·악기 장비 보존 2h = Faye Mastery Deepening</x:v>
      </x:c>
      <x:c r="D65" s="933" t="str">
        <x:v>같은 대화 반복 대신 실제 시간비용/물리적 투자</x:v>
      </x:c>
      <x:c r="E65" s="933" t="str">
        <x:v>TEMP 확정 후보</x:v>
      </x:c>
      <x:c r="F65" s="933"/>
      <x:c r="G65" s="933"/>
      <x:c r="H65" s="933"/>
      <x:c r="I65" s="933"/>
      <x:c r="J65" s="933"/>
      <x:c r="K65" s="933"/>
      <x:c r="L65" s="933"/>
      <x:c r="M65" s="933"/>
      <x:c r="N65" s="933"/>
      <x:c r="O65" s="933"/>
    </x:row>
    <x:row r="66" ht="36" hidden="0" customHeight="1">
      <x:c r="A66" s="933" t="str">
        <x:v>D10 벤자민 묘지 후속</x:v>
      </x:c>
      <x:c r="B66" s="933" t="str">
        <x:v>유지</x:v>
      </x:c>
      <x:c r="C66" s="933" t="str">
        <x:v>Benjamin Mastery Deepening</x:v>
      </x:c>
      <x:c r="D66" s="933" t="str">
        <x:v>Living Ship Final Seed와 별도라 Full Route 의미가 생김</x:v>
      </x:c>
      <x:c r="E66" s="933" t="str">
        <x:v>TEMP 확정 후보</x:v>
      </x:c>
      <x:c r="F66" s="933"/>
      <x:c r="G66" s="933"/>
      <x:c r="H66" s="933"/>
      <x:c r="I66" s="933"/>
      <x:c r="J66" s="933"/>
      <x:c r="K66" s="933"/>
      <x:c r="L66" s="933"/>
      <x:c r="M66" s="933"/>
      <x:c r="N66" s="933"/>
      <x:c r="O66" s="933"/>
    </x:row>
    <x:row r="67" ht="36" hidden="0" customHeight="1">
      <x:c r="A67" s="933" t="str">
        <x:v>D12 지나 과거 대화</x:v>
      </x:c>
      <x:c r="B67" s="933" t="str">
        <x:v>유지</x:v>
      </x:c>
      <x:c r="C67" s="933" t="str">
        <x:v>Jina Mastery Deepening</x:v>
      </x:c>
      <x:c r="D67" s="933" t="str">
        <x:v>Mira 구조만으로 Final은 열 수 있으나, 과거까지 따라간 경우만 +1Lv</x:v>
      </x:c>
      <x:c r="E67" s="933" t="str">
        <x:v>TEMP 확정 후보</x:v>
      </x:c>
      <x:c r="F67" s="933"/>
      <x:c r="G67" s="933"/>
      <x:c r="H67" s="933"/>
      <x:c r="I67" s="933"/>
      <x:c r="J67" s="933"/>
      <x:c r="K67" s="933"/>
      <x:c r="L67" s="933"/>
      <x:c r="M67" s="933"/>
      <x:c r="N67" s="933"/>
      <x:c r="O67" s="933"/>
    </x:row>
    <x:row r="68" ht="24" hidden="0" customHeight="1">
      <x:c r="A68" s="933" t="str">
        <x:v>D13 샘 인계전 대화</x:v>
      </x:c>
      <x:c r="B68" s="933" t="str">
        <x:v>유지</x:v>
      </x:c>
      <x:c r="C68" s="933" t="str">
        <x:v>Sam Mastery Deepening</x:v>
      </x:c>
      <x:c r="D68" s="933" t="str">
        <x:v>야간사건 전 마지막 자발적 관심</x:v>
      </x:c>
      <x:c r="E68" s="933" t="str">
        <x:v>TEMP 확정 후보</x:v>
      </x:c>
      <x:c r="F68" s="933"/>
      <x:c r="G68" s="933"/>
      <x:c r="H68" s="933"/>
      <x:c r="I68" s="933"/>
      <x:c r="J68" s="933"/>
      <x:c r="K68" s="933"/>
      <x:c r="L68" s="933"/>
      <x:c r="M68" s="933"/>
      <x:c r="N68" s="933"/>
      <x:c r="O68" s="933"/>
    </x:row>
    <x:row r="69" ht="24" hidden="0" customHeight="1">
      <x:c r="A69" s="933" t="str">
        <x:v>D12 온실 시험재배</x:v>
      </x:c>
      <x:c r="B69" s="933" t="str">
        <x:v>유지</x:v>
      </x:c>
      <x:c r="C69" s="933" t="str">
        <x:v>Hidden 세계관 + Diya/Borichi Deepening</x:v>
      </x:c>
      <x:c r="D69" s="933" t="str">
        <x:v>온실 Hard Gate와 행성 농업 가능성 동시 설명</x:v>
      </x:c>
      <x:c r="E69" s="933" t="str">
        <x:v>확정방향</x:v>
      </x:c>
      <x:c r="F69" s="933"/>
      <x:c r="G69" s="933"/>
      <x:c r="H69" s="933"/>
      <x:c r="I69" s="933"/>
      <x:c r="J69" s="933"/>
      <x:c r="K69" s="933"/>
      <x:c r="L69" s="933"/>
      <x:c r="M69" s="933"/>
      <x:c r="N69" s="933"/>
      <x:c r="O69" s="933"/>
    </x:row>
    <x:row r="70" ht="48" hidden="0" customHeight="1">
      <x:c r="A70" s="933" t="str">
        <x:v>D14 마지막 Character</x:v>
      </x:c>
      <x:c r="B70" s="933" t="str">
        <x:v>유지</x:v>
      </x:c>
      <x:c r="C70" s="933" t="str">
        <x:v>빠진 Final Seed/정서 보완</x:v>
      </x:c>
      <x:c r="D70" s="933" t="str">
        <x:v>Mastery Deepening을 새로 주는 주요 슬롯으로는 사용하지 않음</x:v>
      </x:c>
      <x:c r="E70" s="933" t="str">
        <x:v>TEMP</x:v>
      </x:c>
      <x:c r="F70" s="933"/>
      <x:c r="G70" s="933"/>
      <x:c r="H70" s="933"/>
      <x:c r="I70" s="933"/>
      <x:c r="J70" s="933"/>
      <x:c r="K70" s="933"/>
      <x:c r="L70" s="933"/>
      <x:c r="M70" s="933"/>
      <x:c r="N70" s="933"/>
      <x:c r="O70" s="933"/>
    </x:row>
    <x:row r="71" ht="15" hidden="0" customHeight="1">
      <x:c r="A71" s="936"/>
      <x:c r="B71" s="936"/>
      <x:c r="C71" s="936"/>
      <x:c r="D71" s="936"/>
      <x:c r="E71" s="936"/>
      <x:c r="F71" s="936"/>
      <x:c r="G71" s="936"/>
      <x:c r="H71" s="936"/>
      <x:c r="I71" s="936"/>
      <x:c r="J71" s="936"/>
      <x:c r="K71" s="936"/>
      <x:c r="L71" s="936"/>
      <x:c r="M71" s="936"/>
      <x:c r="N71" s="936"/>
      <x:c r="O71" s="936"/>
      <x:c r="P71" s="389"/>
      <x:c r="Q71" s="389"/>
      <x:c r="R71" s="389"/>
    </x:row>
    <x:row r="72" ht="26" hidden="0" customHeight="1">
      <x:c r="A72" s="950" t="str">
        <x:v>8. 역산 결론</x:v>
      </x:c>
      <x:c r="B72" s="950"/>
      <x:c r="C72" s="950"/>
      <x:c r="D72" s="950"/>
      <x:c r="E72" s="950"/>
      <x:c r="F72" s="950"/>
      <x:c r="G72" s="950"/>
      <x:c r="H72" s="950"/>
      <x:c r="I72" s="950"/>
      <x:c r="J72" s="950"/>
      <x:c r="K72" s="950"/>
      <x:c r="L72" s="950"/>
      <x:c r="M72" s="950"/>
      <x:c r="N72" s="950"/>
      <x:c r="O72" s="950"/>
      <x:c r="P72" s="389"/>
      <x:c r="Q72" s="389"/>
      <x:c r="R72" s="389"/>
    </x:row>
    <x:row r="73" ht="15" hidden="0" customHeight="1">
      <x:c r="A73" s="936" t="str">
        <x:v>#</x:v>
      </x:c>
      <x:c r="B73" s="936" t="str">
        <x:v>결론</x:v>
      </x:c>
      <x:c r="C73" s="936" t="str">
        <x:v>처리</x:v>
      </x:c>
      <x:c r="D73" s="933"/>
      <x:c r="E73" s="933"/>
      <x:c r="F73" s="933"/>
      <x:c r="G73" s="933"/>
      <x:c r="H73" s="933"/>
      <x:c r="I73" s="933"/>
      <x:c r="J73" s="933"/>
      <x:c r="K73" s="933"/>
      <x:c r="L73" s="933"/>
      <x:c r="M73" s="933"/>
      <x:c r="N73" s="933"/>
      <x:c r="O73" s="933"/>
    </x:row>
    <x:row r="74" ht="60" hidden="0" customHeight="1">
      <x:c r="A74" s="933" t="n">
        <x:v>1</x:v>
      </x:c>
      <x:c r="B74" s="933" t="str">
        <x:v>True W2 준비는 하루14h를 넘지 않고 충분히 가능. 페이 Full Route까지 넣어도 시간 PASS.</x:v>
      </x:c>
      <x:c r="C74" s="933" t="str">
        <x:v>True 가능성 유지</x:v>
      </x:c>
      <x:c r="D74" s="933"/>
      <x:c r="E74" s="933"/>
      <x:c r="F74" s="933"/>
      <x:c r="G74" s="933"/>
      <x:c r="H74" s="933"/>
      <x:c r="I74" s="933"/>
      <x:c r="J74" s="933"/>
      <x:c r="K74" s="933"/>
      <x:c r="L74" s="933"/>
      <x:c r="M74" s="933"/>
      <x:c r="N74" s="933"/>
      <x:c r="O74" s="933"/>
    </x:row>
    <x:row r="75" ht="72" hidden="0" customHeight="1">
      <x:c r="A75" s="933" t="n">
        <x:v>2</x:v>
      </x:c>
      <x:c r="B75" s="933" t="str">
        <x:v>Hidden은 Preservation18h 때문에 True보다 W2에서 실제 선택압력이 더 큼. 그래도 D11까지 3/3을 끝내면 가능.</x:v>
      </x:c>
      <x:c r="C75" s="933" t="str">
        <x:v>Hidden 가능성 유지</x:v>
      </x:c>
      <x:c r="D75" s="933"/>
      <x:c r="E75" s="933"/>
      <x:c r="F75" s="933"/>
      <x:c r="G75" s="933"/>
      <x:c r="H75" s="933"/>
      <x:c r="I75" s="933"/>
      <x:c r="J75" s="933"/>
      <x:c r="K75" s="933"/>
      <x:c r="L75" s="933"/>
      <x:c r="M75" s="933"/>
      <x:c r="N75" s="933"/>
      <x:c r="O75" s="933"/>
    </x:row>
    <x:row r="76" ht="72" hidden="0" customHeight="1">
      <x:c r="A76" s="933" t="n">
        <x:v>3</x:v>
      </x:c>
      <x:c r="B76" s="933" t="str">
        <x:v>True의 병목은 W2가 아니라 W3 all-alive + D19 Boss. Hidden의 병목은 W1 Research 투자 + W2 Preservation + W3 재분석.</x:v>
      </x:c>
      <x:c r="C76" s="933" t="str">
        <x:v>W1 Focus Anchor로 해결</x:v>
      </x:c>
      <x:c r="D76" s="933"/>
      <x:c r="E76" s="933"/>
      <x:c r="F76" s="933"/>
      <x:c r="G76" s="933"/>
      <x:c r="H76" s="933"/>
      <x:c r="I76" s="933"/>
      <x:c r="J76" s="933"/>
      <x:c r="K76" s="933"/>
      <x:c r="L76" s="933"/>
      <x:c r="M76" s="933"/>
      <x:c r="N76" s="933"/>
      <x:c r="O76" s="933"/>
    </x:row>
    <x:row r="77" ht="48" hidden="0" customHeight="1">
      <x:c r="A77" s="933" t="n">
        <x:v>4</x:v>
      </x:c>
      <x:c r="B77" s="933" t="str">
        <x:v>Mastery는 Final과 분리했지만 W2만 보면 여전히 여러 개 준비 가능.</x:v>
      </x:c>
      <x:c r="C77" s="933" t="str">
        <x:v>W1 Seed 감사가 다음 핵심</x:v>
      </x:c>
      <x:c r="D77" s="933"/>
      <x:c r="E77" s="933"/>
      <x:c r="F77" s="933"/>
      <x:c r="G77" s="933"/>
      <x:c r="H77" s="933"/>
      <x:c r="I77" s="933"/>
      <x:c r="J77" s="933"/>
      <x:c r="K77" s="933"/>
      <x:c r="L77" s="933"/>
      <x:c r="M77" s="933"/>
      <x:c r="N77" s="933"/>
      <x:c r="O77" s="933"/>
    </x:row>
    <x:row r="78" ht="72" hidden="0" customHeight="1">
      <x:c r="A78" s="933" t="n">
        <x:v>5</x:v>
      </x:c>
      <x:c r="B78" s="933" t="str">
        <x:v>Faye는 True에서 LEAVE가 필요하므로 Full Route가 사실상 필수. 이 캐릭터가 True의 '한 Route 집요하게 파기' 대표 보상 역할.</x:v>
      </x:c>
      <x:c r="C78" s="933" t="str">
        <x:v>강하게 유지</x:v>
      </x:c>
      <x:c r="D78" s="933"/>
      <x:c r="E78" s="933"/>
      <x:c r="F78" s="933"/>
      <x:c r="G78" s="933"/>
      <x:c r="H78" s="933"/>
      <x:c r="I78" s="933"/>
      <x:c r="J78" s="933"/>
      <x:c r="K78" s="933"/>
      <x:c r="L78" s="933"/>
      <x:c r="M78" s="933"/>
      <x:c r="N78" s="933"/>
      <x:c r="O78" s="933"/>
    </x:row>
    <x:row r="79" ht="48" hidden="0" customHeight="1">
      <x:c r="A79" s="933" t="n">
        <x:v>6</x:v>
      </x:c>
      <x:c r="B79" s="933" t="str">
        <x:v>D14는 마지막 몰아치기 날이 아니라 이미 선택한 방향을 마감하는 날로 유지해야 함.</x:v>
      </x:c>
      <x:c r="C79" s="933" t="str">
        <x:v>D8~13에 핵심 결정 분산</x:v>
      </x:c>
      <x:c r="D79" s="933"/>
      <x:c r="E79" s="933"/>
      <x:c r="F79" s="933"/>
      <x:c r="G79" s="933"/>
      <x:c r="H79" s="933"/>
      <x:c r="I79" s="933"/>
      <x:c r="J79" s="933"/>
      <x:c r="K79" s="933"/>
      <x:c r="L79" s="933"/>
      <x:c r="M79" s="933"/>
      <x:c r="N79" s="933"/>
      <x:c r="O79" s="933"/>
    </x:row>
  </x:sheetData>
  <x:mergeCells>
    <x:mergeCell ref="A1:R1"/>
    <x:mergeCell ref="A2:R2"/>
    <x:mergeCell ref="A4:R4"/>
    <x:mergeCell ref="A14:R14"/>
    <x:mergeCell ref="I15:R21"/>
    <x:mergeCell ref="A23:R23"/>
    <x:mergeCell ref="A30:R30"/>
    <x:mergeCell ref="N31:R39"/>
    <x:mergeCell ref="A41:R41"/>
    <x:mergeCell ref="O42:R50"/>
    <x:mergeCell ref="A52:R52"/>
    <x:mergeCell ref="G53:R60"/>
    <x:mergeCell ref="A62:R62"/>
    <x:mergeCell ref="A71:R71"/>
    <x:mergeCell ref="A72:R72"/>
  </x:mergeCells>
  <x:conditionalFormatting sqref="G32:H38">
    <x:cfRule type="cellIs" dxfId="56" priority="1" operator="lessThan">
      <x:formula>0</x:formula>
    </x:cfRule>
  </x:conditionalFormatting>
  <x:conditionalFormatting sqref="G16:G79">
    <x:cfRule type="expression" dxfId="252" priority="2">
      <x:formula>OR(G16="완료",G16="확정",G16="확정방향",G16="방향 확정",LEFT(G16,2)="확정")</x:formula>
    </x:cfRule>
    <x:cfRule type="expression" dxfId="253" priority="3">
      <x:formula>OR(G16="TBD",G16="대기",ISNUMBER(SEARCH("TEMP",G16)))</x:formula>
    </x:cfRule>
    <x:cfRule type="expression" dxfId="254" priority="4">
      <x:formula>OR(G16="폐기",G16="HISTORICAL",ISNUMBER(SEARCH("폐기",G16)))</x:formula>
    </x:cfRule>
    <x:cfRule type="expression" dxfId="255" priority="5">
      <x:formula>OR(G16="NEXT",G16="진행")</x:formula>
    </x:cfRule>
  </x:conditionalFormatting>
  <x:conditionalFormatting sqref="I25:I79">
    <x:cfRule type="expression" dxfId="256" priority="6">
      <x:formula>OR(I25="완료",I25="확정",I25="확정방향",I25="방향 확정",LEFT(I25,2)="확정")</x:formula>
    </x:cfRule>
    <x:cfRule type="expression" dxfId="257" priority="7">
      <x:formula>OR(I25="TBD",I25="대기",ISNUMBER(SEARCH("TEMP",I25)))</x:formula>
    </x:cfRule>
    <x:cfRule type="expression" dxfId="258" priority="8">
      <x:formula>OR(I25="폐기",I25="HISTORICAL",ISNUMBER(SEARCH("폐기",I25)))</x:formula>
    </x:cfRule>
    <x:cfRule type="expression" dxfId="259" priority="9">
      <x:formula>OR(I25="NEXT",I25="진행")</x:formula>
    </x:cfRule>
  </x:conditionalFormatting>
  <x:conditionalFormatting sqref="E64:E79">
    <x:cfRule type="expression" dxfId="260" priority="10">
      <x:formula>OR(E64="완료",E64="확정",E64="확정방향",E64="방향 확정",LEFT(E64,2)="확정")</x:formula>
    </x:cfRule>
    <x:cfRule type="expression" dxfId="261" priority="11">
      <x:formula>OR(E64="TBD",E64="대기",ISNUMBER(SEARCH("TEMP",E64)))</x:formula>
    </x:cfRule>
    <x:cfRule type="expression" dxfId="262" priority="12">
      <x:formula>OR(E64="폐기",E64="HISTORICAL",ISNUMBER(SEARCH("폐기",E64)))</x:formula>
    </x:cfRule>
    <x:cfRule type="expression" dxfId="263" priority="13">
      <x:formula>OR(E64="NEXT",E64="진행")</x:formula>
    </x:cfRule>
  </x:conditionalFormatting>
  <x:pageMargins left="0.7" right="0.7" top="0.75" bottom="0.75" header="0.3" footer="0.3"/>
  <x:drawing xmlns:r="http://schemas.openxmlformats.org/officeDocument/2006/relationships" r:id="R0d6de586abc44f48"/>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2" hidden="0" customWidth="1"/>
  </x:cols>
  <x:sheetData>
    <x:row r="1" ht="30" hidden="0" customHeight="1">
      <x:c r="A1" s="944" t="str">
        <x:v>W1 Reverse Audit v0.1 — Character Seeds / Focus Anchors / Research Restoration</x:v>
      </x:c>
      <x:c r="B1" s="944"/>
      <x:c r="C1" s="944"/>
      <x:c r="D1" s="944"/>
      <x:c r="E1" s="944"/>
      <x:c r="F1" s="944"/>
      <x:c r="G1" s="944"/>
      <x:c r="H1" s="944"/>
      <x:c r="I1" s="944"/>
      <x:c r="J1" s="944"/>
      <x:c r="K1" s="944"/>
      <x:c r="L1" s="944"/>
      <x:c r="M1" s="944"/>
      <x:c r="N1" s="944"/>
      <x:c r="O1" s="944"/>
      <x:c r="P1" s="944"/>
      <x:c r="Q1" s="404"/>
      <x:c r="R1" s="404"/>
    </x:row>
    <x:row r="2" ht="42" hidden="0" customHeight="1">
      <x:c r="A2" s="947" t="str">
        <x:v>검증 목표: D1~7에서 True/Hidden의 W2 선행 Seed를 자연스럽게 심으면서도 Character Mastery 4~6개를 한 Run에 쉽게 준비하지 못하게 한다. Final 접근용 Seed와 Full Route용 Focus Anchor를 분리한다.</x:v>
      </x:c>
      <x:c r="B2" s="947"/>
      <x:c r="C2" s="947"/>
      <x:c r="D2" s="947"/>
      <x:c r="E2" s="947"/>
      <x:c r="F2" s="947"/>
      <x:c r="G2" s="947"/>
      <x:c r="H2" s="947"/>
      <x:c r="I2" s="947"/>
      <x:c r="J2" s="947"/>
      <x:c r="K2" s="947"/>
      <x:c r="L2" s="947"/>
      <x:c r="M2" s="947"/>
      <x:c r="N2" s="947"/>
      <x:c r="O2" s="947"/>
      <x:c r="P2" s="947"/>
      <x:c r="Q2" s="407"/>
      <x:c r="R2" s="407"/>
    </x:row>
    <x:row r="3" ht="15" hidden="0" customHeight="1">
      <x:c r="A3" s="933"/>
      <x:c r="B3" s="933"/>
      <x:c r="C3" s="933"/>
      <x:c r="D3" s="933"/>
      <x:c r="E3" s="933"/>
      <x:c r="F3" s="933"/>
      <x:c r="G3" s="933"/>
      <x:c r="H3" s="933"/>
      <x:c r="I3" s="933"/>
      <x:c r="J3" s="933"/>
      <x:c r="K3" s="933"/>
      <x:c r="L3" s="933"/>
      <x:c r="M3" s="933"/>
      <x:c r="N3" s="933"/>
      <x:c r="O3" s="933"/>
      <x:c r="P3" s="933"/>
    </x:row>
    <x:row r="4" ht="26" hidden="0" customHeight="1">
      <x:c r="A4" s="950" t="str">
        <x:v>1. W1 공통 시간 — Main만 완료했을 때</x:v>
      </x:c>
      <x:c r="B4" s="950"/>
      <x:c r="C4" s="950"/>
      <x:c r="D4" s="950"/>
      <x:c r="E4" s="950"/>
      <x:c r="F4" s="950"/>
      <x:c r="G4" s="950"/>
      <x:c r="H4" s="950"/>
      <x:c r="I4" s="950"/>
      <x:c r="J4" s="950"/>
      <x:c r="K4" s="950"/>
      <x:c r="L4" s="950"/>
      <x:c r="M4" s="950"/>
      <x:c r="N4" s="950"/>
      <x:c r="O4" s="950"/>
      <x:c r="P4" s="950"/>
      <x:c r="Q4" s="408"/>
      <x:c r="R4" s="408"/>
    </x:row>
    <x:row r="5" ht="30" hidden="0" customHeight="1">
      <x:c r="A5" s="953" t="str">
        <x:v>Day</x:v>
      </x:c>
      <x:c r="B5" s="953" t="str">
        <x:v>필수/기한 Main</x:v>
      </x:c>
      <x:c r="C5" s="953" t="str">
        <x:v>기본 소요</x:v>
      </x:c>
      <x:c r="D5" s="953" t="str">
        <x:v>14h 중 자유</x:v>
      </x:c>
      <x:c r="E5" s="953" t="str">
        <x:v>역산 역할</x:v>
      </x:c>
      <x:c r="F5" s="953"/>
      <x:c r="G5" s="953"/>
      <x:c r="H5" s="953"/>
      <x:c r="I5" s="953"/>
      <x:c r="J5" s="953"/>
      <x:c r="K5" s="953"/>
      <x:c r="L5" s="953"/>
      <x:c r="M5" s="953"/>
      <x:c r="N5" s="953"/>
      <x:c r="O5" s="953"/>
      <x:c r="P5" s="953"/>
    </x:row>
    <x:row r="6" ht="24" hidden="0" customHeight="1">
      <x:c r="A6" s="933" t="n">
        <x:v>1</x:v>
      </x:c>
      <x:c r="B6" s="933" t="str">
        <x:v>기상 + 재회 첫2명</x:v>
      </x:c>
      <x:c r="C6" s="933" t="n">
        <x:v>3</x:v>
      </x:c>
      <x:c r="D6" s="933" t="n">
        <x:v>11</x:v>
      </x:c>
      <x:c r="E6" s="933" t="str">
        <x:v>벤자민/배 Seed를 가장 먼저 고를 수 있음</x:v>
      </x:c>
      <x:c r="F6" s="933"/>
      <x:c r="G6" s="933"/>
      <x:c r="H6" s="933"/>
      <x:c r="I6" s="933"/>
      <x:c r="J6" s="933"/>
      <x:c r="K6" s="933"/>
      <x:c r="L6" s="933"/>
      <x:c r="M6" s="933"/>
      <x:c r="N6" s="933"/>
      <x:c r="O6" s="933"/>
      <x:c r="P6" s="933"/>
    </x:row>
    <x:row r="7" ht="24" hidden="0" customHeight="1">
      <x:c r="A7" s="933" t="n">
        <x:v>2</x:v>
      </x:c>
      <x:c r="B7" s="933" t="str">
        <x:v>남은 재회</x:v>
      </x:c>
      <x:c r="C7" s="933" t="n">
        <x:v>4</x:v>
      </x:c>
      <x:c r="D7" s="933" t="n">
        <x:v>10</x:v>
      </x:c>
      <x:c r="E7" s="933" t="str">
        <x:v>여러 인물의 1차 생활 Seed를 넓게 접하는 날</x:v>
      </x:c>
      <x:c r="F7" s="933"/>
      <x:c r="G7" s="933"/>
      <x:c r="H7" s="933"/>
      <x:c r="I7" s="933"/>
      <x:c r="J7" s="933"/>
      <x:c r="K7" s="933"/>
      <x:c r="L7" s="933"/>
      <x:c r="M7" s="933"/>
      <x:c r="N7" s="933"/>
      <x:c r="O7" s="933"/>
      <x:c r="P7" s="933"/>
    </x:row>
    <x:row r="8" ht="15" hidden="0" customHeight="1">
      <x:c r="A8" s="933" t="n">
        <x:v>3</x:v>
      </x:c>
      <x:c r="B8" s="933" t="str">
        <x:v>오아시스 의뢰+관찰</x:v>
      </x:c>
      <x:c r="C8" s="933" t="n">
        <x:v>4</x:v>
      </x:c>
      <x:c r="D8" s="933" t="n">
        <x:v>10</x:v>
      </x:c>
      <x:c r="E8" s="933" t="str">
        <x:v>샘/보리치/첫 수리 선택</x:v>
      </x:c>
      <x:c r="F8" s="933"/>
      <x:c r="G8" s="933"/>
      <x:c r="H8" s="933"/>
      <x:c r="I8" s="933"/>
      <x:c r="J8" s="933"/>
      <x:c r="K8" s="933"/>
      <x:c r="L8" s="933"/>
      <x:c r="M8" s="933"/>
      <x:c r="N8" s="933"/>
      <x:c r="O8" s="933"/>
      <x:c r="P8" s="933"/>
    </x:row>
    <x:row r="9" ht="24" hidden="0" customHeight="1">
      <x:c r="A9" s="933" t="n">
        <x:v>4</x:v>
      </x:c>
      <x:c r="B9" s="933" t="str">
        <x:v>가설</x:v>
      </x:c>
      <x:c r="C9" s="933" t="n">
        <x:v>3</x:v>
      </x:c>
      <x:c r="D9" s="933" t="n">
        <x:v>11</x:v>
      </x:c>
      <x:c r="E9" s="933" t="str">
        <x:v>지나/페이의 핵심 1차 Character</x:v>
      </x:c>
      <x:c r="F9" s="933"/>
      <x:c r="G9" s="933"/>
      <x:c r="H9" s="933"/>
      <x:c r="I9" s="933"/>
      <x:c r="J9" s="933"/>
      <x:c r="K9" s="933"/>
      <x:c r="L9" s="933"/>
      <x:c r="M9" s="933"/>
      <x:c r="N9" s="933"/>
      <x:c r="O9" s="933"/>
      <x:c r="P9" s="933"/>
    </x:row>
    <x:row r="10" ht="24" hidden="0" customHeight="1">
      <x:c r="A10" s="933" t="n">
        <x:v>5</x:v>
      </x:c>
      <x:c r="B10" s="933" t="str">
        <x:v>확인</x:v>
      </x:c>
      <x:c r="C10" s="933" t="n">
        <x:v>3</x:v>
      </x:c>
      <x:c r="D10" s="933" t="n">
        <x:v>11</x:v>
      </x:c>
      <x:c r="E10" s="933" t="str">
        <x:v>디야/벤자민/보리치 후속</x:v>
      </x:c>
      <x:c r="F10" s="933"/>
      <x:c r="G10" s="933"/>
      <x:c r="H10" s="933"/>
      <x:c r="I10" s="933"/>
      <x:c r="J10" s="933"/>
      <x:c r="K10" s="933"/>
      <x:c r="L10" s="933"/>
      <x:c r="M10" s="933"/>
      <x:c r="N10" s="933"/>
      <x:c r="O10" s="933"/>
      <x:c r="P10" s="933"/>
    </x:row>
    <x:row r="11" ht="24" hidden="0" customHeight="1">
      <x:c r="A11" s="933" t="n">
        <x:v>6</x:v>
      </x:c>
      <x:c r="B11" s="933" t="str">
        <x:v>보고+공개 대비</x:v>
      </x:c>
      <x:c r="C11" s="933" t="n">
        <x:v>3</x:v>
      </x:c>
      <x:c r="D11" s="933" t="n">
        <x:v>11</x:v>
      </x:c>
      <x:c r="E11" s="933" t="str">
        <x:v>Focus Anchor A + 샘 반복지원</x:v>
      </x:c>
      <x:c r="F11" s="933"/>
      <x:c r="G11" s="933"/>
      <x:c r="H11" s="933"/>
      <x:c r="I11" s="933"/>
      <x:c r="J11" s="933"/>
      <x:c r="K11" s="933"/>
      <x:c r="L11" s="933"/>
      <x:c r="M11" s="933"/>
      <x:c r="N11" s="933"/>
      <x:c r="O11" s="933"/>
      <x:c r="P11" s="933"/>
    </x:row>
    <x:row r="12" ht="24" hidden="0" customHeight="1">
      <x:c r="A12" s="933" t="n">
        <x:v>7</x:v>
      </x:c>
      <x:c r="B12" s="933" t="str">
        <x:v>공동체 공개</x:v>
      </x:c>
      <x:c r="C12" s="933" t="n">
        <x:v>3</x:v>
      </x:c>
      <x:c r="D12" s="933" t="n">
        <x:v>11</x:v>
      </x:c>
      <x:c r="E12" s="933" t="str">
        <x:v>Focus Anchor B + W2 직전 반응</x:v>
      </x:c>
      <x:c r="F12" s="933"/>
      <x:c r="G12" s="933"/>
      <x:c r="H12" s="933"/>
      <x:c r="I12" s="933"/>
      <x:c r="J12" s="933"/>
      <x:c r="K12" s="933"/>
      <x:c r="L12" s="933"/>
      <x:c r="M12" s="933"/>
      <x:c r="N12" s="933"/>
      <x:c r="O12" s="933"/>
      <x:c r="P12" s="933"/>
    </x:row>
    <x:row r="13" ht="15" hidden="0" customHeight="1">
      <x:c r="A13" s="933"/>
      <x:c r="B13" s="933"/>
      <x:c r="C13" s="933"/>
      <x:c r="D13" s="933"/>
      <x:c r="E13" s="933"/>
      <x:c r="F13" s="933"/>
      <x:c r="G13" s="933"/>
      <x:c r="H13" s="933"/>
      <x:c r="I13" s="933"/>
      <x:c r="J13" s="933"/>
      <x:c r="K13" s="933"/>
      <x:c r="L13" s="933"/>
      <x:c r="M13" s="933"/>
      <x:c r="N13" s="933"/>
      <x:c r="O13" s="933"/>
      <x:c r="P13" s="933"/>
    </x:row>
    <x:row r="14" ht="26" hidden="0" customHeight="1">
      <x:c r="A14" s="950" t="str">
        <x:v>2. W1 Seed와 Full Route Anchor를 분리</x:v>
      </x:c>
      <x:c r="B14" s="950"/>
      <x:c r="C14" s="950"/>
      <x:c r="D14" s="950"/>
      <x:c r="E14" s="950"/>
      <x:c r="F14" s="950"/>
      <x:c r="G14" s="950"/>
      <x:c r="H14" s="950"/>
      <x:c r="I14" s="950"/>
      <x:c r="J14" s="950"/>
      <x:c r="K14" s="950"/>
      <x:c r="L14" s="950"/>
      <x:c r="M14" s="950"/>
      <x:c r="N14" s="950"/>
      <x:c r="O14" s="950"/>
      <x:c r="P14" s="950"/>
      <x:c r="Q14" s="408"/>
      <x:c r="R14" s="408"/>
    </x:row>
    <x:row r="15" ht="30" hidden="0" customHeight="1">
      <x:c r="A15" s="953" t="str">
        <x:v>인물</x:v>
      </x:c>
      <x:c r="B15" s="953" t="str">
        <x:v>Final용 W1 Seed</x:v>
      </x:c>
      <x:c r="C15" s="953" t="str">
        <x:v>W1 Full Route 추가조건</x:v>
      </x:c>
      <x:c r="D15" s="953" t="str">
        <x:v>공유 Anchor</x:v>
      </x:c>
      <x:c r="E15" s="953" t="str">
        <x:v>W2 이후</x:v>
      </x:c>
      <x:c r="F15" s="953" t="str">
        <x:v>Mastery 가능</x:v>
      </x:c>
      <x:c r="G15" s="953" t="str">
        <x:v>상태</x:v>
      </x:c>
      <x:c r="H15" s="953"/>
      <x:c r="I15" s="953"/>
      <x:c r="J15" s="953"/>
      <x:c r="K15" s="953"/>
      <x:c r="L15" s="953"/>
      <x:c r="M15" s="953"/>
      <x:c r="N15" s="953"/>
      <x:c r="O15" s="953"/>
      <x:c r="P15" s="953"/>
    </x:row>
    <x:row r="16" ht="24" hidden="0" customHeight="1">
      <x:c r="A16" s="933" t="str">
        <x:v>샘</x:v>
      </x:c>
      <x:c r="B16" s="933" t="str">
        <x:v>재회 + Main 결정에서 샘과 협력</x:v>
      </x:c>
      <x:c r="C16" s="933" t="str">
        <x:v>D3 책임 Episode1 + D6 Episode2 둘 다</x:v>
      </x:c>
      <x:c r="D16" s="933" t="str">
        <x:v>없음(대신 4h+Will2 투자)</x:v>
      </x:c>
      <x:c r="E16" s="933" t="str">
        <x:v>D9/D13 Deepening 중1 + W3 Final</x:v>
      </x:c>
      <x:c r="F16" s="933" t="str">
        <x:v>예</x:v>
      </x:c>
      <x:c r="G16" s="933" t="str">
        <x:v>TEMP 확정 후보</x:v>
      </x:c>
      <x:c r="H16" s="933"/>
      <x:c r="I16" s="933"/>
      <x:c r="J16" s="933"/>
      <x:c r="K16" s="933"/>
      <x:c r="L16" s="933"/>
      <x:c r="M16" s="933"/>
      <x:c r="N16" s="933"/>
      <x:c r="O16" s="933"/>
      <x:c r="P16" s="933"/>
    </x:row>
    <x:row r="17" ht="24" hidden="0" customHeight="1">
      <x:c r="A17" s="933" t="str">
        <x:v>지나</x:v>
      </x:c>
      <x:c r="B17" s="933" t="str">
        <x:v>D2 시간차 첫 어긋남</x:v>
      </x:c>
      <x:c r="C17" s="933" t="str">
        <x:v>D4 과거 대화 + D6 Focus A에서 지나 선택</x:v>
      </x:c>
      <x:c r="D17" s="933" t="str">
        <x:v>Focus A</x:v>
      </x:c>
      <x:c r="E17" s="933" t="str">
        <x:v>D12 과거 Deepening + W3 Final</x:v>
      </x:c>
      <x:c r="F17" s="933" t="str">
        <x:v>예</x:v>
      </x:c>
      <x:c r="G17" s="933" t="str">
        <x:v>TEMP 확정 후보</x:v>
      </x:c>
      <x:c r="H17" s="933"/>
      <x:c r="I17" s="933"/>
      <x:c r="J17" s="933"/>
      <x:c r="K17" s="933"/>
      <x:c r="L17" s="933"/>
      <x:c r="M17" s="933"/>
      <x:c r="N17" s="933"/>
      <x:c r="O17" s="933"/>
      <x:c r="P17" s="933"/>
    </x:row>
    <x:row r="18" ht="24" hidden="0" customHeight="1">
      <x:c r="A18" s="933" t="str">
        <x:v>페이</x:v>
      </x:c>
      <x:c r="B18" s="933" t="str">
        <x:v>D4 음악/기타 꿈 공개</x:v>
      </x:c>
      <x:c r="C18" s="933" t="str">
        <x:v>D2 장비정리 + D6 Focus A에서 페이 선택</x:v>
      </x:c>
      <x:c r="D18" s="933" t="str">
        <x:v>Focus A</x:v>
      </x:c>
      <x:c r="E18" s="933" t="str">
        <x:v>D9 중간 Beat + D13 음악장비 보존 + 공연</x:v>
      </x:c>
      <x:c r="F18" s="933" t="str">
        <x:v>예 / True 핵심</x:v>
      </x:c>
      <x:c r="G18" s="933" t="str">
        <x:v>핵심</x:v>
      </x:c>
      <x:c r="H18" s="933"/>
      <x:c r="I18" s="933"/>
      <x:c r="J18" s="933"/>
      <x:c r="K18" s="933"/>
      <x:c r="L18" s="933"/>
      <x:c r="M18" s="933"/>
      <x:c r="N18" s="933"/>
      <x:c r="O18" s="933"/>
      <x:c r="P18" s="933"/>
    </x:row>
    <x:row r="19" ht="24" hidden="0" customHeight="1">
      <x:c r="A19" s="933" t="str">
        <x:v>벤자민</x:v>
      </x:c>
      <x:c r="B19" s="933" t="str">
        <x:v>D1 묘지와 약혼자</x:v>
      </x:c>
      <x:c r="C19" s="933" t="str">
        <x:v>D5 묘지 후속 + D7 Focus B에서 벤자민 선택</x:v>
      </x:c>
      <x:c r="D19" s="933" t="str">
        <x:v>Focus B</x:v>
      </x:c>
      <x:c r="E19" s="933" t="str">
        <x:v>D10 Deepening + Living Ship + W3 Final</x:v>
      </x:c>
      <x:c r="F19" s="933" t="str">
        <x:v>예</x:v>
      </x:c>
      <x:c r="G19" s="933" t="str">
        <x:v>TEMP 확정 후보</x:v>
      </x:c>
      <x:c r="H19" s="933"/>
      <x:c r="I19" s="933"/>
      <x:c r="J19" s="933"/>
      <x:c r="K19" s="933"/>
      <x:c r="L19" s="933"/>
      <x:c r="M19" s="933"/>
      <x:c r="N19" s="933"/>
      <x:c r="O19" s="933"/>
      <x:c r="P19" s="933"/>
    </x:row>
    <x:row r="20" ht="24" hidden="0" customHeight="1">
      <x:c r="A20" s="933" t="str">
        <x:v>보리치</x:v>
      </x:c>
      <x:c r="B20" s="933" t="str">
        <x:v>D2 관측 기록 + D3 자료 대조</x:v>
      </x:c>
      <x:c r="C20" s="933" t="str">
        <x:v>D5 악몽 + D6 Focus A에서 보리치 선택</x:v>
      </x:c>
      <x:c r="D20" s="933" t="str">
        <x:v>Focus A</x:v>
      </x:c>
      <x:c r="E20" s="933" t="str">
        <x:v>D8 고백 + D12 연구기록 + W3 Final</x:v>
      </x:c>
      <x:c r="F20" s="933" t="str">
        <x:v>예</x:v>
      </x:c>
      <x:c r="G20" s="933" t="str">
        <x:v>TEMP 확정 후보</x:v>
      </x:c>
      <x:c r="H20" s="933"/>
      <x:c r="I20" s="933"/>
      <x:c r="J20" s="933"/>
      <x:c r="K20" s="933"/>
      <x:c r="L20" s="933"/>
      <x:c r="M20" s="933"/>
      <x:c r="N20" s="933"/>
      <x:c r="O20" s="933"/>
      <x:c r="P20" s="933"/>
    </x:row>
    <x:row r="21" ht="24" hidden="0" customHeight="1">
      <x:c r="A21" s="933" t="str">
        <x:v>디야</x:v>
      </x:c>
      <x:c r="B21" s="933" t="str">
        <x:v>D2 생활공간 + D5 집/뜨개질</x:v>
      </x:c>
      <x:c r="C21" s="933" t="str">
        <x:v>D7 Focus B에서 디야 선택</x:v>
      </x:c>
      <x:c r="D21" s="933" t="str">
        <x:v>Focus B</x:v>
      </x:c>
      <x:c r="E21" s="933" t="str">
        <x:v>D11 A/B + D12 시험재배 + W3 Final</x:v>
      </x:c>
      <x:c r="F21" s="933" t="str">
        <x:v>예</x:v>
      </x:c>
      <x:c r="G21" s="933" t="str">
        <x:v>TEMP 확정 후보</x:v>
      </x:c>
      <x:c r="H21" s="933"/>
      <x:c r="I21" s="933"/>
      <x:c r="J21" s="933"/>
      <x:c r="K21" s="933"/>
      <x:c r="L21" s="933"/>
      <x:c r="M21" s="933"/>
      <x:c r="N21" s="933"/>
      <x:c r="O21" s="933"/>
      <x:c r="P21" s="933"/>
    </x:row>
    <x:row r="22" ht="15" hidden="0" customHeight="1">
      <x:c r="A22" s="933"/>
      <x:c r="B22" s="933"/>
      <x:c r="C22" s="933"/>
      <x:c r="D22" s="933"/>
      <x:c r="E22" s="933"/>
      <x:c r="F22" s="933"/>
      <x:c r="G22" s="933"/>
      <x:c r="H22" s="933"/>
      <x:c r="I22" s="933"/>
      <x:c r="J22" s="933"/>
      <x:c r="K22" s="933"/>
      <x:c r="L22" s="933"/>
      <x:c r="M22" s="933"/>
      <x:c r="N22" s="933"/>
      <x:c r="O22" s="933"/>
      <x:c r="P22" s="933"/>
    </x:row>
    <x:row r="23" ht="26" hidden="0" customHeight="1">
      <x:c r="A23" s="950" t="str">
        <x:v>3. Focus Anchor — 새 자원이 아니라 기존 Character 슬롯의 상호배타 선택</x:v>
      </x:c>
      <x:c r="B23" s="950"/>
      <x:c r="C23" s="950"/>
      <x:c r="D23" s="950"/>
      <x:c r="E23" s="950"/>
      <x:c r="F23" s="950"/>
      <x:c r="G23" s="950"/>
      <x:c r="H23" s="950"/>
      <x:c r="I23" s="950"/>
      <x:c r="J23" s="950"/>
      <x:c r="K23" s="950"/>
      <x:c r="L23" s="950"/>
      <x:c r="M23" s="950"/>
      <x:c r="N23" s="950"/>
      <x:c r="O23" s="950"/>
      <x:c r="P23" s="950"/>
      <x:c r="Q23" s="408"/>
      <x:c r="R23" s="408"/>
    </x:row>
    <x:row r="24" ht="30" hidden="0" customHeight="1">
      <x:c r="A24" s="941" t="str">
        <x:v>Anchor</x:v>
      </x:c>
      <x:c r="B24" s="941" t="str">
        <x:v>Day</x:v>
      </x:c>
      <x:c r="C24" s="941" t="str">
        <x:v>선택지</x:v>
      </x:c>
      <x:c r="D24" s="941" t="str">
        <x:v>시간</x:v>
      </x:c>
      <x:c r="E24" s="941" t="str">
        <x:v>효과</x:v>
      </x:c>
      <x:c r="F24" s="941" t="str">
        <x:v>Final 접근</x:v>
      </x:c>
      <x:c r="G24" s="941" t="str">
        <x:v>Mastery 영향</x:v>
      </x:c>
      <x:c r="H24" s="941" t="str">
        <x:v>상태</x:v>
      </x:c>
      <x:c r="I24" s="941"/>
      <x:c r="J24" s="941" t="str">
        <x:v>이 구조의 핵심은 **Mastery만 희소하게 만들고 엔딩 Route는 막지 않는 것**이다. 예를 들어 True는 지나 Final을 볼 수 있지만 W1 Focus A를 페이에 썼다면 지나의 +1Lv는 얻지 못한다. 반대로 Normal Run에서 지나 Focus를 골라 교감 Mastery를 노릴 수도 있다. 최대 Mastery 자격은 Focus A 1명 + Focus B 1명 + Sam = 이론상 3명.</x:v>
      </x:c>
      <x:c r="K24" s="941"/>
      <x:c r="L24" s="941"/>
      <x:c r="M24" s="941"/>
      <x:c r="N24" s="941"/>
      <x:c r="O24" s="941"/>
      <x:c r="P24" s="941"/>
      <x:c r="Q24" s="414"/>
      <x:c r="R24" s="414"/>
    </x:row>
    <x:row r="25" ht="30" hidden="0" customHeight="1">
      <x:c r="A25" s="941" t="str">
        <x:v>Focus A</x:v>
      </x:c>
      <x:c r="B25" s="941" t="n">
        <x:v>6</x:v>
      </x:c>
      <x:c r="C25" s="941" t="str">
        <x:v>지나 / 페이 / 보리치 중 1명</x:v>
      </x:c>
      <x:c r="D25" s="941" t="n">
        <x:v>2</x:v>
      </x:c>
      <x:c r="E25" s="941" t="str">
        <x:v>선택한 인물의 W1 Route를 '깊게 따라감'으로 확정</x:v>
      </x:c>
      <x:c r="F25" s="941" t="str">
        <x:v>선택하지 않은 인물도 W2/W3 Final은 가능</x:v>
      </x:c>
      <x:c r="G25" s="941" t="str">
        <x:v>선택 인물만 Full Route Mastery 자격 유지</x:v>
      </x:c>
      <x:c r="H25" s="941" t="str">
        <x:v>TEMP 확정 후보</x:v>
      </x:c>
      <x:c r="I25" s="941"/>
      <x:c r="J25" s="941"/>
      <x:c r="K25" s="941"/>
      <x:c r="L25" s="941"/>
      <x:c r="M25" s="941"/>
      <x:c r="N25" s="941"/>
      <x:c r="O25" s="941"/>
      <x:c r="P25" s="941"/>
      <x:c r="Q25" s="414"/>
      <x:c r="R25" s="414"/>
    </x:row>
    <x:row r="26" ht="30" hidden="0" customHeight="1">
      <x:c r="A26" s="941" t="str">
        <x:v>Focus B</x:v>
      </x:c>
      <x:c r="B26" s="941" t="n">
        <x:v>7</x:v>
      </x:c>
      <x:c r="C26" s="941" t="str">
        <x:v>벤자민 / 디야 중 1명</x:v>
      </x:c>
      <x:c r="D26" s="941" t="n">
        <x:v>2</x:v>
      </x:c>
      <x:c r="E26" s="941" t="str">
        <x:v>공개 직후 그 인물의 반응을 깊게 확인</x:v>
      </x:c>
      <x:c r="F26" s="941" t="str">
        <x:v>선택하지 않아도 Final은 가능</x:v>
      </x:c>
      <x:c r="G26" s="941" t="str">
        <x:v>선택 인물만 Full Route Mastery 자격 유지</x:v>
      </x:c>
      <x:c r="H26" s="941" t="str">
        <x:v>TEMP 확정 후보</x:v>
      </x:c>
      <x:c r="I26" s="941"/>
      <x:c r="J26" s="941"/>
      <x:c r="K26" s="941"/>
      <x:c r="L26" s="941"/>
      <x:c r="M26" s="941"/>
      <x:c r="N26" s="941"/>
      <x:c r="O26" s="941"/>
      <x:c r="P26" s="941"/>
      <x:c r="Q26" s="414"/>
      <x:c r="R26" s="414"/>
    </x:row>
    <x:row r="27" ht="36" hidden="0" customHeight="1">
      <x:c r="A27" s="933" t="str">
        <x:v>Sam 독립</x:v>
      </x:c>
      <x:c r="B27" s="933" t="str">
        <x:v>3+6</x:v>
      </x:c>
      <x:c r="C27" s="933" t="str">
        <x:v>샘 책임 Episode 1+2 둘 다</x:v>
      </x:c>
      <x:c r="D27" s="933" t="n">
        <x:v>4</x:v>
      </x:c>
      <x:c r="E27" s="933" t="str">
        <x:v>공유 Anchor 대신 반복적으로 시간을/Will을 써야 함</x:v>
      </x:c>
      <x:c r="F27" s="933" t="str">
        <x:v>Sam Final은 Main만으로도 가능</x:v>
      </x:c>
      <x:c r="G27" s="933" t="str">
        <x:v>둘 다 했을 때만 Sam Mastery 자격</x:v>
      </x:c>
      <x:c r="H27" s="933" t="str">
        <x:v>TEMP 확정 후보</x:v>
      </x:c>
      <x:c r="I27" s="933"/>
      <x:c r="J27" s="933"/>
      <x:c r="K27" s="933"/>
      <x:c r="L27" s="933"/>
      <x:c r="M27" s="933"/>
      <x:c r="N27" s="933"/>
      <x:c r="O27" s="933"/>
      <x:c r="P27" s="933"/>
      <x:c r="Q27" s="414"/>
      <x:c r="R27" s="414"/>
    </x:row>
    <x:row r="28" ht="15" hidden="0" customHeight="1">
      <x:c r="A28" s="933"/>
      <x:c r="B28" s="933"/>
      <x:c r="C28" s="933"/>
      <x:c r="D28" s="933"/>
      <x:c r="E28" s="933"/>
      <x:c r="F28" s="933"/>
      <x:c r="G28" s="933"/>
      <x:c r="H28" s="933"/>
      <x:c r="I28" s="933"/>
      <x:c r="J28" s="933"/>
      <x:c r="K28" s="933"/>
      <x:c r="L28" s="933"/>
      <x:c r="M28" s="933"/>
      <x:c r="N28" s="933"/>
      <x:c r="O28" s="933"/>
      <x:c r="P28" s="933"/>
    </x:row>
    <x:row r="29" ht="26" hidden="0" customHeight="1">
      <x:c r="A29" s="950" t="str">
        <x:v>4. True용 W1 권장선 — Faye Focus A 고정</x:v>
      </x:c>
      <x:c r="B29" s="950"/>
      <x:c r="C29" s="950"/>
      <x:c r="D29" s="950"/>
      <x:c r="E29" s="950"/>
      <x:c r="F29" s="950"/>
      <x:c r="G29" s="950"/>
      <x:c r="H29" s="950"/>
      <x:c r="I29" s="950"/>
      <x:c r="J29" s="950"/>
      <x:c r="K29" s="950"/>
      <x:c r="L29" s="950"/>
      <x:c r="M29" s="950"/>
      <x:c r="N29" s="950"/>
      <x:c r="O29" s="950"/>
      <x:c r="P29" s="950"/>
      <x:c r="Q29" s="408"/>
      <x:c r="R29" s="408"/>
    </x:row>
    <x:row r="30" ht="30" hidden="0" customHeight="1">
      <x:c r="A30" s="953" t="str">
        <x:v>Day</x:v>
      </x:c>
      <x:c r="B30" s="953" t="str">
        <x:v>Main</x:v>
      </x:c>
      <x:c r="C30" s="953" t="str">
        <x:v>Character Seed/Anchor</x:v>
      </x:c>
      <x:c r="D30" s="953" t="str">
        <x:v>Repair</x:v>
      </x:c>
      <x:c r="E30" s="953" t="str">
        <x:v>Growth/World</x:v>
      </x:c>
      <x:c r="F30" s="953" t="str">
        <x:v>계획시간</x:v>
      </x:c>
      <x:c r="G30" s="953" t="str">
        <x:v>자유시간</x:v>
      </x:c>
      <x:c r="H30" s="953" t="str">
        <x:v>Focus A</x:v>
      </x:c>
      <x:c r="I30" s="953" t="str">
        <x:v>Focus B</x:v>
      </x:c>
      <x:c r="J30" s="953" t="str">
        <x:v>Sam Mastery</x:v>
      </x:c>
      <x:c r="K30" s="953" t="str">
        <x:v>W1 Repair</x:v>
      </x:c>
      <x:c r="L30" s="953" t="str">
        <x:v>핵심</x:v>
      </x:c>
      <x:c r="M30" s="953" t="str">
        <x:v>Character h</x:v>
      </x:c>
      <x:c r="N30" s="953" t="str">
        <x:v>총</x:v>
      </x:c>
      <x:c r="O30" s="953"/>
      <x:c r="P30" s="953" t="str">
        <x:v>True에서 Focus A는 사실상 **Faye 고정**이다. Faye LEAVE가 Full Route 공연에 묶이기 때문. Focus B는 Diya 또는 Benjamin 중 하나를 골라 추가 Mastery를 노릴 수 있다. Jina는 Final Seed만 확보해도 True Stance가 가능하므로 Mastery는 포기할 수 있다. 따라서 True의 W1은 '모든 사람 풀루트'가 아니라 Faye에 집중하고 나머지는 필요한 만큼만 보는 구조가 된다.</x:v>
      </x:c>
      <x:c r="Q30" s="414"/>
      <x:c r="R30" s="414"/>
    </x:row>
    <x:row r="31" ht="15" hidden="0" customHeight="1">
      <x:c r="A31" s="933" t="n">
        <x:v>1</x:v>
      </x:c>
      <x:c r="B31" s="933" t="n">
        <x:v>3</x:v>
      </x:c>
      <x:c r="C31" s="933" t="str">
        <x:v>벤자민 묘지2h</x:v>
      </x:c>
      <x:c r="D31" s="933" t="n">
        <x:v>0</x:v>
      </x:c>
      <x:c r="E31" s="933" t="n">
        <x:v>1</x:v>
      </x:c>
      <x:c r="F31" s="933" t="n">
        <x:f>N31</x:f>
        <x:v>6</x:v>
      </x:c>
      <x:c r="G31" s="933" t="n">
        <x:f>14-F31</x:f>
        <x:v>8</x:v>
      </x:c>
      <x:c r="H31" s="933" t="str">
        <x:v>—</x:v>
      </x:c>
      <x:c r="I31" s="933" t="str">
        <x:v>—</x:v>
      </x:c>
      <x:c r="J31" s="933" t="str">
        <x:v>—</x:v>
      </x:c>
      <x:c r="K31" s="933" t="n">
        <x:v>0</x:v>
      </x:c>
      <x:c r="L31" s="933" t="str">
        <x:v>Ben Final Seed + 배 확인</x:v>
      </x:c>
      <x:c r="M31" s="933" t="n">
        <x:v>2</x:v>
      </x:c>
      <x:c r="N31" s="933" t="n">
        <x:f>B31+D31+E31+M31</x:f>
        <x:v>6</x:v>
      </x:c>
      <x:c r="O31" s="933"/>
      <x:c r="P31" s="933"/>
      <x:c r="Q31" s="414"/>
      <x:c r="R31" s="414"/>
    </x:row>
    <x:row r="32" ht="24" hidden="0" customHeight="1">
      <x:c r="A32" s="933" t="n">
        <x:v>2</x:v>
      </x:c>
      <x:c r="B32" s="933" t="n">
        <x:v>4</x:v>
      </x:c>
      <x:c r="C32" s="933" t="str">
        <x:v>지나1.5 + 디야1.5 + 페이 장비1.5</x:v>
      </x:c>
      <x:c r="D32" s="933" t="n">
        <x:v>0</x:v>
      </x:c>
      <x:c r="E32" s="933" t="n">
        <x:v>1</x:v>
      </x:c>
      <x:c r="F32" s="933" t="n">
        <x:f>N32</x:f>
        <x:v>9.5</x:v>
      </x:c>
      <x:c r="G32" s="933" t="n">
        <x:f>14-F32</x:f>
        <x:v>4.5</x:v>
      </x:c>
      <x:c r="H32" s="933" t="str">
        <x:v>—</x:v>
      </x:c>
      <x:c r="I32" s="933" t="str">
        <x:v>—</x:v>
      </x:c>
      <x:c r="J32" s="933" t="str">
        <x:v>—</x:v>
      </x:c>
      <x:c r="K32" s="933" t="n">
        <x:v>0</x:v>
      </x:c>
      <x:c r="L32" s="933" t="str">
        <x:v>True 3인 Seed</x:v>
      </x:c>
      <x:c r="M32" s="933" t="n">
        <x:v>4.5</x:v>
      </x:c>
      <x:c r="N32" s="933" t="n">
        <x:f>B32+D32+E32+M32</x:f>
        <x:v>9.5</x:v>
      </x:c>
      <x:c r="O32" s="933"/>
      <x:c r="P32" s="933"/>
      <x:c r="Q32" s="414"/>
      <x:c r="R32" s="414"/>
    </x:row>
    <x:row r="33" ht="15" hidden="0" customHeight="1">
      <x:c r="A33" s="933" t="n">
        <x:v>3</x:v>
      </x:c>
      <x:c r="B33" s="933" t="n">
        <x:v>4</x:v>
      </x:c>
      <x:c r="C33" s="933" t="str">
        <x:v>샘 Episode1 2h</x:v>
      </x:c>
      <x:c r="D33" s="933" t="n">
        <x:v>2</x:v>
      </x:c>
      <x:c r="E33" s="933" t="n">
        <x:v>2</x:v>
      </x:c>
      <x:c r="F33" s="933" t="n">
        <x:f>N33</x:f>
        <x:v>10</x:v>
      </x:c>
      <x:c r="G33" s="933" t="n">
        <x:f>14-F33</x:f>
        <x:v>4</x:v>
      </x:c>
      <x:c r="H33" s="933" t="str">
        <x:v>—</x:v>
      </x:c>
      <x:c r="I33" s="933" t="str">
        <x:v>—</x:v>
      </x:c>
      <x:c r="J33" s="933" t="str">
        <x:v>1/2</x:v>
      </x:c>
      <x:c r="K33" s="933" t="n">
        <x:v>1</x:v>
      </x:c>
      <x:c r="L33" s="933" t="str">
        <x:v>수리1 + Sam 투자 시작</x:v>
      </x:c>
      <x:c r="M33" s="933" t="n">
        <x:v>2</x:v>
      </x:c>
      <x:c r="N33" s="933" t="n">
        <x:f>B33+D33+E33+M33</x:f>
        <x:v>10</x:v>
      </x:c>
      <x:c r="O33" s="933"/>
      <x:c r="P33" s="933"/>
      <x:c r="Q33" s="414"/>
      <x:c r="R33" s="414"/>
    </x:row>
    <x:row r="34" ht="15" hidden="0" customHeight="1">
      <x:c r="A34" s="933" t="n">
        <x:v>4</x:v>
      </x:c>
      <x:c r="B34" s="933" t="n">
        <x:v>3</x:v>
      </x:c>
      <x:c r="C34" s="933" t="str">
        <x:v>페이 꿈2h</x:v>
      </x:c>
      <x:c r="D34" s="933" t="n">
        <x:v>0</x:v>
      </x:c>
      <x:c r="E34" s="933" t="n">
        <x:v>2</x:v>
      </x:c>
      <x:c r="F34" s="933" t="n">
        <x:f>N34</x:f>
        <x:v>7</x:v>
      </x:c>
      <x:c r="G34" s="933" t="n">
        <x:f>14-F34</x:f>
        <x:v>7</x:v>
      </x:c>
      <x:c r="H34" s="933" t="str">
        <x:v>—</x:v>
      </x:c>
      <x:c r="I34" s="933" t="str">
        <x:v>—</x:v>
      </x:c>
      <x:c r="J34" s="933" t="str">
        <x:v>1/2</x:v>
      </x:c>
      <x:c r="K34" s="933" t="n">
        <x:v>1</x:v>
      </x:c>
      <x:c r="L34" s="933" t="str">
        <x:v>Faye Final Seed</x:v>
      </x:c>
      <x:c r="M34" s="933" t="n">
        <x:v>2</x:v>
      </x:c>
      <x:c r="N34" s="933" t="n">
        <x:f>B34+D34+E34+M34</x:f>
        <x:v>7</x:v>
      </x:c>
      <x:c r="O34" s="933"/>
      <x:c r="P34" s="933"/>
      <x:c r="Q34" s="414"/>
      <x:c r="R34" s="414"/>
    </x:row>
    <x:row r="35" ht="15" hidden="0" customHeight="1">
      <x:c r="A35" s="933" t="n">
        <x:v>5</x:v>
      </x:c>
      <x:c r="B35" s="933" t="n">
        <x:v>3</x:v>
      </x:c>
      <x:c r="C35" s="933" t="str">
        <x:v>디야 뜨개질2h</x:v>
      </x:c>
      <x:c r="D35" s="933" t="n">
        <x:v>0</x:v>
      </x:c>
      <x:c r="E35" s="933" t="n">
        <x:v>2</x:v>
      </x:c>
      <x:c r="F35" s="933" t="n">
        <x:f>N35</x:f>
        <x:v>7</x:v>
      </x:c>
      <x:c r="G35" s="933" t="n">
        <x:f>14-F35</x:f>
        <x:v>7</x:v>
      </x:c>
      <x:c r="H35" s="933" t="str">
        <x:v>—</x:v>
      </x:c>
      <x:c r="I35" s="933" t="str">
        <x:v>—</x:v>
      </x:c>
      <x:c r="J35" s="933" t="str">
        <x:v>1/2</x:v>
      </x:c>
      <x:c r="K35" s="933" t="n">
        <x:v>1</x:v>
      </x:c>
      <x:c r="L35" s="933" t="str">
        <x:v>Diya Final Seed</x:v>
      </x:c>
      <x:c r="M35" s="933" t="n">
        <x:v>2</x:v>
      </x:c>
      <x:c r="N35" s="933" t="n">
        <x:f>B35+D35+E35+M35</x:f>
        <x:v>7</x:v>
      </x:c>
      <x:c r="O35" s="933"/>
      <x:c r="P35" s="933"/>
      <x:c r="Q35" s="414"/>
      <x:c r="R35" s="414"/>
    </x:row>
    <x:row r="36" ht="24" hidden="0" customHeight="1">
      <x:c r="A36" s="933" t="n">
        <x:v>6</x:v>
      </x:c>
      <x:c r="B36" s="933" t="n">
        <x:v>3</x:v>
      </x:c>
      <x:c r="C36" s="933" t="str">
        <x:v>샘 Episode2 2h + Faye Focus A 2h</x:v>
      </x:c>
      <x:c r="D36" s="933" t="n">
        <x:v>0</x:v>
      </x:c>
      <x:c r="E36" s="933" t="n">
        <x:v>2</x:v>
      </x:c>
      <x:c r="F36" s="933" t="n">
        <x:f>N36</x:f>
        <x:v>9</x:v>
      </x:c>
      <x:c r="G36" s="933" t="n">
        <x:f>14-F36</x:f>
        <x:v>5</x:v>
      </x:c>
      <x:c r="H36" s="933" t="str">
        <x:v>Faye</x:v>
      </x:c>
      <x:c r="I36" s="933" t="str">
        <x:v>—</x:v>
      </x:c>
      <x:c r="J36" s="933" t="str">
        <x:v>완료</x:v>
      </x:c>
      <x:c r="K36" s="933" t="n">
        <x:v>1</x:v>
      </x:c>
      <x:c r="L36" s="933" t="str">
        <x:v>Faye W1 Full / Sam W1 Full</x:v>
      </x:c>
      <x:c r="M36" s="933" t="n">
        <x:v>4</x:v>
      </x:c>
      <x:c r="N36" s="933" t="n">
        <x:f>B36+D36+E36+M36</x:f>
        <x:v>9</x:v>
      </x:c>
      <x:c r="O36" s="933"/>
      <x:c r="P36" s="933"/>
      <x:c r="Q36" s="414"/>
      <x:c r="R36" s="414"/>
    </x:row>
    <x:row r="37" ht="24" hidden="0" customHeight="1">
      <x:c r="A37" s="933" t="n">
        <x:v>7</x:v>
      </x:c>
      <x:c r="B37" s="933" t="n">
        <x:v>3</x:v>
      </x:c>
      <x:c r="C37" s="933" t="str">
        <x:v>Focus B: Diya 또는 Benjamin 2h</x:v>
      </x:c>
      <x:c r="D37" s="933" t="n">
        <x:v>0</x:v>
      </x:c>
      <x:c r="E37" s="933" t="n">
        <x:v>2</x:v>
      </x:c>
      <x:c r="F37" s="933" t="n">
        <x:f>N37</x:f>
        <x:v>7</x:v>
      </x:c>
      <x:c r="G37" s="933" t="n">
        <x:f>14-F37</x:f>
        <x:v>7</x:v>
      </x:c>
      <x:c r="H37" s="933" t="str">
        <x:v>Faye</x:v>
      </x:c>
      <x:c r="I37" s="933" t="str">
        <x:v>Diya/Ben</x:v>
      </x:c>
      <x:c r="J37" s="933" t="str">
        <x:v>완료</x:v>
      </x:c>
      <x:c r="K37" s="933" t="n">
        <x:v>1</x:v>
      </x:c>
      <x:c r="L37" s="933" t="str">
        <x:v>두 번째 Mastery 후보 선택</x:v>
      </x:c>
      <x:c r="M37" s="933" t="n">
        <x:v>2</x:v>
      </x:c>
      <x:c r="N37" s="933" t="n">
        <x:f>B37+D37+E37+M37</x:f>
        <x:v>7</x:v>
      </x:c>
      <x:c r="O37" s="933"/>
      <x:c r="P37" s="933"/>
      <x:c r="Q37" s="414"/>
      <x:c r="R37" s="414"/>
    </x:row>
    <x:row r="38" ht="15" hidden="0" customHeight="1">
      <x:c r="A38" s="936" t="str">
        <x:v>합계</x:v>
      </x:c>
      <x:c r="B38" s="936" t="n">
        <x:f>SUM(B31:B37)</x:f>
        <x:v>23</x:v>
      </x:c>
      <x:c r="C38" s="936" t="str"/>
      <x:c r="D38" s="936" t="n">
        <x:f>SUM(D31:D37)</x:f>
        <x:v>2</x:v>
      </x:c>
      <x:c r="E38" s="936" t="n">
        <x:f>SUM(E31:E37)</x:f>
        <x:v>12</x:v>
      </x:c>
      <x:c r="F38" s="936" t="n">
        <x:f>SUM(F31:F37)</x:f>
        <x:v>55.5</x:v>
      </x:c>
      <x:c r="G38" s="936" t="n">
        <x:f>SUM(G31:G37)</x:f>
        <x:v>42.5</x:v>
      </x:c>
      <x:c r="H38" s="936" t="str"/>
      <x:c r="I38" s="936" t="str"/>
      <x:c r="J38" s="936" t="str"/>
      <x:c r="K38" s="936" t="str"/>
      <x:c r="L38" s="936" t="str"/>
      <x:c r="M38" s="936" t="n">
        <x:f>SUM(M31:M37)</x:f>
        <x:v>18.5</x:v>
      </x:c>
      <x:c r="N38" s="936" t="n">
        <x:f>SUM(N31:N37)</x:f>
        <x:v>55.5</x:v>
      </x:c>
      <x:c r="O38" s="933"/>
      <x:c r="P38" s="933"/>
      <x:c r="Q38" s="414"/>
      <x:c r="R38" s="414"/>
    </x:row>
    <x:row r="39" ht="15" hidden="0" customHeight="1">
      <x:c r="A39" s="933"/>
      <x:c r="B39" s="933"/>
      <x:c r="C39" s="933"/>
      <x:c r="D39" s="933"/>
      <x:c r="E39" s="933"/>
      <x:c r="F39" s="933"/>
      <x:c r="G39" s="933"/>
      <x:c r="H39" s="933"/>
      <x:c r="I39" s="933"/>
      <x:c r="J39" s="933"/>
      <x:c r="K39" s="933"/>
      <x:c r="L39" s="933"/>
      <x:c r="M39" s="933"/>
      <x:c r="N39" s="933"/>
      <x:c r="O39" s="933"/>
      <x:c r="P39" s="933"/>
    </x:row>
    <x:row r="40" ht="26" hidden="0" customHeight="1">
      <x:c r="A40" s="950" t="str">
        <x:v>5. Hidden용 W1 권장선 — Research 3회 + Borichi/Diya Focus</x:v>
      </x:c>
      <x:c r="B40" s="950"/>
      <x:c r="C40" s="950"/>
      <x:c r="D40" s="950"/>
      <x:c r="E40" s="950"/>
      <x:c r="F40" s="950"/>
      <x:c r="G40" s="950"/>
      <x:c r="H40" s="950"/>
      <x:c r="I40" s="950"/>
      <x:c r="J40" s="950"/>
      <x:c r="K40" s="950"/>
      <x:c r="L40" s="950"/>
      <x:c r="M40" s="950"/>
      <x:c r="N40" s="950"/>
      <x:c r="O40" s="950"/>
      <x:c r="P40" s="950"/>
      <x:c r="Q40" s="408"/>
      <x:c r="R40" s="408"/>
    </x:row>
    <x:row r="41" ht="30" hidden="0" customHeight="1">
      <x:c r="A41" s="953" t="str">
        <x:v>Day</x:v>
      </x:c>
      <x:c r="B41" s="953" t="str">
        <x:v>Main</x:v>
      </x:c>
      <x:c r="C41" s="953" t="str">
        <x:v>Character Seed/Anchor</x:v>
      </x:c>
      <x:c r="D41" s="953" t="str">
        <x:v>Research Repair</x:v>
      </x:c>
      <x:c r="E41" s="953" t="str">
        <x:v>Growth/World</x:v>
      </x:c>
      <x:c r="F41" s="953" t="str">
        <x:v>계획시간</x:v>
      </x:c>
      <x:c r="G41" s="953" t="str">
        <x:v>자유시간</x:v>
      </x:c>
      <x:c r="H41" s="953" t="str">
        <x:v>Focus A</x:v>
      </x:c>
      <x:c r="I41" s="953" t="str">
        <x:v>Focus B</x:v>
      </x:c>
      <x:c r="J41" s="953" t="str">
        <x:v>Research 누적</x:v>
      </x:c>
      <x:c r="K41" s="953" t="str">
        <x:v>Mastery 후보</x:v>
      </x:c>
      <x:c r="L41" s="953" t="str">
        <x:v>핵심</x:v>
      </x:c>
      <x:c r="M41" s="953" t="str">
        <x:v>Character h</x:v>
      </x:c>
      <x:c r="N41" s="953" t="str">
        <x:v>총</x:v>
      </x:c>
      <x:c r="O41" s="953"/>
      <x:c r="P41" s="953" t="str">
        <x:v>Hidden은 W1에서 **Research 2→5를 만드는 3회 수리**가 가장 특징적이다. 이를 미래지식 메타플레이로 보이지 않게 하기 위해 W1 오아시스 조사 중 Research를 고치면 보리치의 과거 관측기록·환경센서·장기 표본을 더 볼 수 있게 한다. D6 Focus A는 Borichi, D7 Focus B는 Diya를 권장해 Hidden의 두 핵심 인물을 자연스럽게 깊게 따라간다.</x:v>
      </x:c>
      <x:c r="Q41" s="414"/>
      <x:c r="R41" s="414"/>
    </x:row>
    <x:row r="42" ht="24" hidden="0" customHeight="1">
      <x:c r="A42" s="933" t="n">
        <x:v>1</x:v>
      </x:c>
      <x:c r="B42" s="933" t="n">
        <x:v>3</x:v>
      </x:c>
      <x:c r="C42" s="933" t="str">
        <x:v>벤자민 묘지2h(선택: STAY 근거)</x:v>
      </x:c>
      <x:c r="D42" s="933" t="n">
        <x:v>0</x:v>
      </x:c>
      <x:c r="E42" s="933" t="n">
        <x:v>1</x:v>
      </x:c>
      <x:c r="F42" s="933" t="n">
        <x:f>N42</x:f>
        <x:v>6</x:v>
      </x:c>
      <x:c r="G42" s="933" t="n">
        <x:f>14-F42</x:f>
        <x:v>8</x:v>
      </x:c>
      <x:c r="H42" s="933" t="str">
        <x:v>—</x:v>
      </x:c>
      <x:c r="I42" s="933" t="str">
        <x:v>—</x:v>
      </x:c>
      <x:c r="J42" s="933" t="n">
        <x:v>0</x:v>
      </x:c>
      <x:c r="K42" s="933" t="str">
        <x:v>—</x:v>
      </x:c>
      <x:c r="L42" s="933" t="str">
        <x:v>기억/정착 측 사람 Seed</x:v>
      </x:c>
      <x:c r="M42" s="933" t="n">
        <x:v>2</x:v>
      </x:c>
      <x:c r="N42" s="933" t="n">
        <x:f>B42+D42+E42+M42</x:f>
        <x:v>6</x:v>
      </x:c>
      <x:c r="O42" s="933"/>
      <x:c r="P42" s="933"/>
      <x:c r="Q42" s="414"/>
      <x:c r="R42" s="414"/>
    </x:row>
    <x:row r="43" ht="24" hidden="0" customHeight="1">
      <x:c r="A43" s="933" t="n">
        <x:v>2</x:v>
      </x:c>
      <x:c r="B43" s="933" t="n">
        <x:v>4</x:v>
      </x:c>
      <x:c r="C43" s="933" t="str">
        <x:v>디야1.5 + 보리치 기록1.5</x:v>
      </x:c>
      <x:c r="D43" s="933" t="n">
        <x:v>0</x:v>
      </x:c>
      <x:c r="E43" s="933" t="n">
        <x:v>1</x:v>
      </x:c>
      <x:c r="F43" s="933" t="n">
        <x:f>N43</x:f>
        <x:v>8</x:v>
      </x:c>
      <x:c r="G43" s="933" t="n">
        <x:f>14-F43</x:f>
        <x:v>6</x:v>
      </x:c>
      <x:c r="H43" s="933" t="str">
        <x:v>—</x:v>
      </x:c>
      <x:c r="I43" s="933" t="str">
        <x:v>—</x:v>
      </x:c>
      <x:c r="J43" s="933" t="n">
        <x:v>0</x:v>
      </x:c>
      <x:c r="K43" s="933" t="str">
        <x:v>—</x:v>
      </x:c>
      <x:c r="L43" s="933" t="str">
        <x:v>Diya/Borichi Seed</x:v>
      </x:c>
      <x:c r="M43" s="933" t="n">
        <x:v>3</x:v>
      </x:c>
      <x:c r="N43" s="933" t="n">
        <x:f>B43+D43+E43+M43</x:f>
        <x:v>8</x:v>
      </x:c>
      <x:c r="O43" s="933"/>
      <x:c r="P43" s="933"/>
      <x:c r="Q43" s="414"/>
      <x:c r="R43" s="414"/>
    </x:row>
    <x:row r="44" ht="15" hidden="0" customHeight="1">
      <x:c r="A44" s="933" t="n">
        <x:v>3</x:v>
      </x:c>
      <x:c r="B44" s="933" t="n">
        <x:v>4</x:v>
      </x:c>
      <x:c r="C44" s="933" t="str">
        <x:v>보리치 자료대조2h</x:v>
      </x:c>
      <x:c r="D44" s="933" t="n">
        <x:v>2</x:v>
      </x:c>
      <x:c r="E44" s="933" t="n">
        <x:v>2</x:v>
      </x:c>
      <x:c r="F44" s="933" t="n">
        <x:f>N44</x:f>
        <x:v>10</x:v>
      </x:c>
      <x:c r="G44" s="933" t="n">
        <x:f>14-F44</x:f>
        <x:v>4</x:v>
      </x:c>
      <x:c r="H44" s="933" t="str">
        <x:v>—</x:v>
      </x:c>
      <x:c r="I44" s="933" t="str">
        <x:v>—</x:v>
      </x:c>
      <x:c r="J44" s="933" t="n">
        <x:v>1</x:v>
      </x:c>
      <x:c r="K44" s="933" t="str">
        <x:v>—</x:v>
      </x:c>
      <x:c r="L44" s="933" t="str">
        <x:v>Research Restoration1</x:v>
      </x:c>
      <x:c r="M44" s="933" t="n">
        <x:v>2</x:v>
      </x:c>
      <x:c r="N44" s="933" t="n">
        <x:f>B44+D44+E44+M44</x:f>
        <x:v>10</x:v>
      </x:c>
      <x:c r="O44" s="933"/>
      <x:c r="P44" s="933"/>
      <x:c r="Q44" s="414"/>
      <x:c r="R44" s="414"/>
    </x:row>
    <x:row r="45" ht="24" hidden="0" customHeight="1">
      <x:c r="A45" s="933" t="n">
        <x:v>4</x:v>
      </x:c>
      <x:c r="B45" s="933" t="n">
        <x:v>3</x:v>
      </x:c>
      <x:c r="C45" s="933" t="str">
        <x:v>선택 Character/세계1~2h</x:v>
      </x:c>
      <x:c r="D45" s="933" t="n">
        <x:v>2</x:v>
      </x:c>
      <x:c r="E45" s="933" t="n">
        <x:v>2</x:v>
      </x:c>
      <x:c r="F45" s="933" t="n">
        <x:f>N45</x:f>
        <x:v>9</x:v>
      </x:c>
      <x:c r="G45" s="933" t="n">
        <x:f>14-F45</x:f>
        <x:v>5</x:v>
      </x:c>
      <x:c r="H45" s="933" t="str">
        <x:v>—</x:v>
      </x:c>
      <x:c r="I45" s="933" t="str">
        <x:v>—</x:v>
      </x:c>
      <x:c r="J45" s="933" t="n">
        <x:v>2</x:v>
      </x:c>
      <x:c r="K45" s="933" t="str">
        <x:v>—</x:v>
      </x:c>
      <x:c r="L45" s="933" t="str">
        <x:v>Research Restoration2</x:v>
      </x:c>
      <x:c r="M45" s="933" t="n">
        <x:v>2</x:v>
      </x:c>
      <x:c r="N45" s="933" t="n">
        <x:f>B45+D45+E45+M45</x:f>
        <x:v>9</x:v>
      </x:c>
      <x:c r="O45" s="933"/>
      <x:c r="P45" s="933"/>
      <x:c r="Q45" s="414"/>
      <x:c r="R45" s="414"/>
    </x:row>
    <x:row r="46" ht="24" hidden="0" customHeight="1">
      <x:c r="A46" s="933" t="n">
        <x:v>5</x:v>
      </x:c>
      <x:c r="B46" s="933" t="n">
        <x:v>3</x:v>
      </x:c>
      <x:c r="C46" s="933" t="str">
        <x:v>디야 뜨개질2h + 보리치 악몽1h</x:v>
      </x:c>
      <x:c r="D46" s="933" t="n">
        <x:v>2</x:v>
      </x:c>
      <x:c r="E46" s="933" t="n">
        <x:v>0</x:v>
      </x:c>
      <x:c r="F46" s="933" t="n">
        <x:f>N46</x:f>
        <x:v>8</x:v>
      </x:c>
      <x:c r="G46" s="933" t="n">
        <x:f>14-F46</x:f>
        <x:v>6</x:v>
      </x:c>
      <x:c r="H46" s="933" t="str">
        <x:v>—</x:v>
      </x:c>
      <x:c r="I46" s="933" t="str">
        <x:v>—</x:v>
      </x:c>
      <x:c r="J46" s="933" t="n">
        <x:v>3</x:v>
      </x:c>
      <x:c r="K46" s="933" t="str">
        <x:v>—</x:v>
      </x:c>
      <x:c r="L46" s="933" t="str">
        <x:v>Research Restoration3 / 정착·재분석 Seed</x:v>
      </x:c>
      <x:c r="M46" s="933" t="n">
        <x:v>3</x:v>
      </x:c>
      <x:c r="N46" s="933" t="n">
        <x:f>B46+D46+E46+M46</x:f>
        <x:v>8</x:v>
      </x:c>
      <x:c r="O46" s="933"/>
      <x:c r="P46" s="933"/>
      <x:c r="Q46" s="414"/>
      <x:c r="R46" s="414"/>
    </x:row>
    <x:row r="47" ht="24" hidden="0" customHeight="1">
      <x:c r="A47" s="933" t="n">
        <x:v>6</x:v>
      </x:c>
      <x:c r="B47" s="933" t="n">
        <x:v>3</x:v>
      </x:c>
      <x:c r="C47" s="933" t="str">
        <x:v>Borichi Focus A 2h</x:v>
      </x:c>
      <x:c r="D47" s="933" t="n">
        <x:v>0</x:v>
      </x:c>
      <x:c r="E47" s="933" t="n">
        <x:v>2</x:v>
      </x:c>
      <x:c r="F47" s="933" t="n">
        <x:f>N47</x:f>
        <x:v>7</x:v>
      </x:c>
      <x:c r="G47" s="933" t="n">
        <x:f>14-F47</x:f>
        <x:v>7</x:v>
      </x:c>
      <x:c r="H47" s="933" t="str">
        <x:v>Borichi</x:v>
      </x:c>
      <x:c r="I47" s="933" t="str">
        <x:v>—</x:v>
      </x:c>
      <x:c r="J47" s="933" t="n">
        <x:v>3</x:v>
      </x:c>
      <x:c r="K47" s="933" t="str">
        <x:v>Borichi</x:v>
      </x:c>
      <x:c r="L47" s="933" t="str">
        <x:v>보리치 Full Route W1 Anchor</x:v>
      </x:c>
      <x:c r="M47" s="933" t="n">
        <x:v>2</x:v>
      </x:c>
      <x:c r="N47" s="933" t="n">
        <x:f>B47+D47+E47+M47</x:f>
        <x:v>7</x:v>
      </x:c>
      <x:c r="O47" s="933"/>
      <x:c r="P47" s="933"/>
      <x:c r="Q47" s="414"/>
      <x:c r="R47" s="414"/>
    </x:row>
    <x:row r="48" ht="24" hidden="0" customHeight="1">
      <x:c r="A48" s="933" t="n">
        <x:v>7</x:v>
      </x:c>
      <x:c r="B48" s="933" t="n">
        <x:v>3</x:v>
      </x:c>
      <x:c r="C48" s="933" t="str">
        <x:v>Diya Focus B 2h</x:v>
      </x:c>
      <x:c r="D48" s="933" t="n">
        <x:v>0</x:v>
      </x:c>
      <x:c r="E48" s="933" t="n">
        <x:v>2</x:v>
      </x:c>
      <x:c r="F48" s="933" t="n">
        <x:f>N48</x:f>
        <x:v>7</x:v>
      </x:c>
      <x:c r="G48" s="933" t="n">
        <x:f>14-F48</x:f>
        <x:v>7</x:v>
      </x:c>
      <x:c r="H48" s="933" t="str">
        <x:v>Borichi</x:v>
      </x:c>
      <x:c r="I48" s="933" t="str">
        <x:v>Diya</x:v>
      </x:c>
      <x:c r="J48" s="933" t="n">
        <x:v>3</x:v>
      </x:c>
      <x:c r="K48" s="933" t="str">
        <x:v>Borichi+Diya</x:v>
      </x:c>
      <x:c r="L48" s="933" t="str">
        <x:v>Hidden 핵심 두 Route에 집중</x:v>
      </x:c>
      <x:c r="M48" s="933" t="n">
        <x:v>2</x:v>
      </x:c>
      <x:c r="N48" s="933" t="n">
        <x:f>B48+D48+E48+M48</x:f>
        <x:v>7</x:v>
      </x:c>
      <x:c r="O48" s="933"/>
      <x:c r="P48" s="933"/>
      <x:c r="Q48" s="414"/>
      <x:c r="R48" s="414"/>
    </x:row>
    <x:row r="49" ht="15" hidden="0" customHeight="1">
      <x:c r="A49" s="936" t="str">
        <x:v>합계</x:v>
      </x:c>
      <x:c r="B49" s="936" t="n">
        <x:f>SUM(B42:B48)</x:f>
        <x:v>23</x:v>
      </x:c>
      <x:c r="C49" s="936" t="str"/>
      <x:c r="D49" s="936" t="n">
        <x:f>SUM(D42:D48)</x:f>
        <x:v>6</x:v>
      </x:c>
      <x:c r="E49" s="936" t="n">
        <x:f>SUM(E42:E48)</x:f>
        <x:v>10</x:v>
      </x:c>
      <x:c r="F49" s="936" t="n">
        <x:f>SUM(F42:F48)</x:f>
        <x:v>55</x:v>
      </x:c>
      <x:c r="G49" s="936" t="n">
        <x:f>SUM(G42:G48)</x:f>
        <x:v>43</x:v>
      </x:c>
      <x:c r="H49" s="936" t="str"/>
      <x:c r="I49" s="936" t="str"/>
      <x:c r="J49" s="936" t="str"/>
      <x:c r="K49" s="936" t="str"/>
      <x:c r="L49" s="936" t="str"/>
      <x:c r="M49" s="936" t="n">
        <x:f>SUM(M42:M48)</x:f>
        <x:v>16</x:v>
      </x:c>
      <x:c r="N49" s="936" t="n">
        <x:f>SUM(N42:N48)</x:f>
        <x:v>55</x:v>
      </x:c>
      <x:c r="O49" s="933"/>
      <x:c r="P49" s="933"/>
      <x:c r="Q49" s="414"/>
      <x:c r="R49" s="414"/>
    </x:row>
    <x:row r="50" ht="15" hidden="0" customHeight="1">
      <x:c r="A50" s="933"/>
      <x:c r="B50" s="933"/>
      <x:c r="C50" s="933"/>
      <x:c r="D50" s="933"/>
      <x:c r="E50" s="933"/>
      <x:c r="F50" s="933"/>
      <x:c r="G50" s="933"/>
      <x:c r="H50" s="933"/>
      <x:c r="I50" s="933"/>
      <x:c r="J50" s="933"/>
      <x:c r="K50" s="933"/>
      <x:c r="L50" s="933"/>
      <x:c r="M50" s="933"/>
      <x:c r="N50" s="933"/>
      <x:c r="O50" s="933"/>
      <x:c r="P50" s="933"/>
    </x:row>
    <x:row r="51" ht="26" hidden="0" customHeight="1">
      <x:c r="A51" s="950" t="str">
        <x:v>6. W1 Research Restoration — Hidden 준비가 메타게임처럼 보이지 않게</x:v>
      </x:c>
      <x:c r="B51" s="950"/>
      <x:c r="C51" s="950"/>
      <x:c r="D51" s="950"/>
      <x:c r="E51" s="950"/>
      <x:c r="F51" s="950"/>
      <x:c r="G51" s="950"/>
      <x:c r="H51" s="950"/>
      <x:c r="I51" s="950"/>
      <x:c r="J51" s="950"/>
      <x:c r="K51" s="950"/>
      <x:c r="L51" s="950"/>
      <x:c r="M51" s="950"/>
      <x:c r="N51" s="950"/>
      <x:c r="O51" s="950"/>
      <x:c r="P51" s="950"/>
      <x:c r="Q51" s="408"/>
      <x:c r="R51" s="408"/>
    </x:row>
    <x:row r="52" ht="30" hidden="0" customHeight="1">
      <x:c r="A52" s="953" t="str">
        <x:v>단계</x:v>
      </x:c>
      <x:c r="B52" s="953" t="str">
        <x:v>Research Integrity</x:v>
      </x:c>
      <x:c r="C52" s="953" t="str">
        <x:v>수리 때 즉시 얻는 W1 보상</x:v>
      </x:c>
      <x:c r="D52" s="953" t="str">
        <x:v>나중 의미</x:v>
      </x:c>
      <x:c r="E52" s="953" t="str">
        <x:v>상태</x:v>
      </x:c>
      <x:c r="F52" s="953"/>
      <x:c r="G52" s="953"/>
      <x:c r="H52" s="953"/>
      <x:c r="I52" s="953"/>
      <x:c r="J52" s="953"/>
      <x:c r="K52" s="953"/>
      <x:c r="L52" s="953"/>
      <x:c r="M52" s="953"/>
      <x:c r="N52" s="953"/>
      <x:c r="O52" s="953"/>
      <x:c r="P52" s="953"/>
    </x:row>
    <x:row r="53" ht="36" hidden="0" customHeight="1">
      <x:c r="A53" s="933" t="str">
        <x:v>1/3</x:v>
      </x:c>
      <x:c r="B53" s="933" t="str">
        <x:v>2→3</x:v>
      </x:c>
      <x:c r="C53" s="933" t="str">
        <x:v>추락 전 관측기록 일부 복구 / 보리치 자료 대조의 추가 선택지</x:v>
      </x:c>
      <x:c r="D53" s="933" t="str">
        <x:v>W1 조사 정보 + Hidden 준비</x:v>
      </x:c>
      <x:c r="E53" s="933" t="str">
        <x:v>TEMP 확정 후보</x:v>
      </x:c>
      <x:c r="F53" s="933"/>
      <x:c r="G53" s="933"/>
      <x:c r="H53" s="933"/>
      <x:c r="I53" s="933"/>
      <x:c r="J53" s="933"/>
      <x:c r="K53" s="933"/>
      <x:c r="L53" s="933"/>
      <x:c r="M53" s="933"/>
      <x:c r="N53" s="933"/>
      <x:c r="O53" s="933"/>
      <x:c r="P53" s="933"/>
    </x:row>
    <x:row r="54" ht="24" hidden="0" customHeight="1">
      <x:c r="A54" s="933" t="str">
        <x:v>2/3</x:v>
      </x:c>
      <x:c r="B54" s="933" t="str">
        <x:v>3→4</x:v>
      </x:c>
      <x:c r="C54" s="933" t="str">
        <x:v>환경센서·토양/수질 샘플 로그 복구</x:v>
      </x:c>
      <x:c r="D54" s="933" t="str">
        <x:v>'현재 조건'이라는 결론의 근거 강화</x:v>
      </x:c>
      <x:c r="E54" s="933" t="str">
        <x:v>TEMP 확정 후보</x:v>
      </x:c>
      <x:c r="F54" s="933"/>
      <x:c r="G54" s="933"/>
      <x:c r="H54" s="933"/>
      <x:c r="I54" s="933"/>
      <x:c r="J54" s="933"/>
      <x:c r="K54" s="933"/>
      <x:c r="L54" s="933"/>
      <x:c r="M54" s="933"/>
      <x:c r="N54" s="933"/>
      <x:c r="O54" s="933"/>
      <x:c r="P54" s="933"/>
    </x:row>
    <x:row r="55" ht="48" hidden="0" customHeight="1">
      <x:c r="A55" s="933" t="str">
        <x:v>3/3</x:v>
      </x:c>
      <x:c r="B55" s="933" t="str">
        <x:v>4→5</x:v>
      </x:c>
      <x:c r="C55" s="933" t="str">
        <x:v>장기 표본·환경 기록 보존 / W2 시험재배·W3 재분석에 재사용 가능한 데이터</x:v>
      </x:c>
      <x:c r="D55" s="933" t="str">
        <x:v>Hidden/Recheck Research5</x:v>
      </x:c>
      <x:c r="E55" s="933" t="str">
        <x:v>TEMP 확정 후보</x:v>
      </x:c>
      <x:c r="F55" s="933"/>
      <x:c r="G55" s="933"/>
      <x:c r="H55" s="933"/>
      <x:c r="I55" s="933"/>
      <x:c r="J55" s="933"/>
      <x:c r="K55" s="933"/>
      <x:c r="L55" s="933"/>
      <x:c r="M55" s="933"/>
      <x:c r="N55" s="933"/>
      <x:c r="O55" s="933"/>
      <x:c r="P55" s="933"/>
    </x:row>
    <x:row r="56" ht="30" hidden="0" customHeight="1">
      <x:c r="A56" s="941" t="str">
        <x:v>다른 시설 수리</x:v>
      </x:c>
      <x:c r="B56" s="941" t="str">
        <x:v>해당 시설 +1</x:v>
      </x:c>
      <x:c r="C56" s="941" t="str">
        <x:v>즉시 생존/기능 이점</x:v>
      </x:c>
      <x:c r="D56" s="941" t="str">
        <x:v>True/Normal 준비</x:v>
      </x:c>
      <x:c r="E56" s="941" t="str">
        <x:v>기존</x:v>
      </x:c>
      <x:c r="F56" s="941"/>
      <x:c r="G56" s="941"/>
      <x:c r="H56" s="941"/>
      <x:c r="I56" s="941"/>
      <x:c r="J56" s="941"/>
      <x:c r="K56" s="941"/>
      <x:c r="L56" s="941"/>
      <x:c r="M56" s="941"/>
      <x:c r="N56" s="941"/>
      <x:c r="O56" s="941"/>
      <x:c r="P56" s="941"/>
    </x:row>
    <x:row r="57" ht="15" hidden="0" customHeight="1">
      <x:c r="A57" s="933"/>
      <x:c r="B57" s="933"/>
      <x:c r="C57" s="933"/>
      <x:c r="D57" s="933"/>
      <x:c r="E57" s="933"/>
      <x:c r="F57" s="933"/>
      <x:c r="G57" s="933"/>
      <x:c r="H57" s="933"/>
      <x:c r="I57" s="933"/>
      <x:c r="J57" s="933"/>
      <x:c r="K57" s="933"/>
      <x:c r="L57" s="933"/>
      <x:c r="M57" s="933"/>
      <x:c r="N57" s="933"/>
      <x:c r="O57" s="933"/>
      <x:c r="P57" s="933"/>
    </x:row>
    <x:row r="58" ht="26" hidden="0" customHeight="1">
      <x:c r="A58" s="950" t="str">
        <x:v>7. 21일 Mastery 희소성에 대한 W1 결론</x:v>
      </x:c>
      <x:c r="B58" s="950"/>
      <x:c r="C58" s="950"/>
      <x:c r="D58" s="950"/>
      <x:c r="E58" s="950"/>
      <x:c r="F58" s="950"/>
      <x:c r="G58" s="950"/>
      <x:c r="H58" s="950"/>
      <x:c r="I58" s="950"/>
      <x:c r="J58" s="950"/>
      <x:c r="K58" s="950"/>
      <x:c r="L58" s="950"/>
      <x:c r="M58" s="950"/>
      <x:c r="N58" s="950"/>
      <x:c r="O58" s="950"/>
      <x:c r="P58" s="950"/>
      <x:c r="Q58" s="408"/>
      <x:c r="R58" s="408"/>
    </x:row>
    <x:row r="59" ht="30" hidden="0" customHeight="1">
      <x:c r="A59" s="953" t="str">
        <x:v>항목</x:v>
      </x:c>
      <x:c r="B59" s="953" t="str">
        <x:v>Anchor 전</x:v>
      </x:c>
      <x:c r="C59" s="953" t="str">
        <x:v>Anchor 후</x:v>
      </x:c>
      <x:c r="D59" s="953" t="str">
        <x:v>해석</x:v>
      </x:c>
      <x:c r="E59" s="953" t="str">
        <x:v>판정</x:v>
      </x:c>
      <x:c r="F59" s="953"/>
      <x:c r="G59" s="953" t="str">
        <x:v>구분</x:v>
      </x:c>
      <x:c r="H59" s="953" t="str">
        <x:v>가능 Mastery</x:v>
      </x:c>
      <x:c r="I59" s="953" t="str">
        <x:v>Focus A</x:v>
      </x:c>
      <x:c r="J59" s="953" t="str">
        <x:v>Focus B</x:v>
      </x:c>
      <x:c r="K59" s="953"/>
      <x:c r="L59" s="953"/>
      <x:c r="M59" s="953"/>
      <x:c r="N59" s="953"/>
      <x:c r="O59" s="953"/>
      <x:c r="P59" s="953"/>
    </x:row>
    <x:row r="60" ht="30" hidden="0" customHeight="1">
      <x:c r="A60" s="941" t="str">
        <x:v>W1에서 Full Route 자격</x:v>
      </x:c>
      <x:c r="B60" s="941" t="str">
        <x:v>시간만 쓰면 5~6명까지 가능</x:v>
      </x:c>
      <x:c r="C60" s="941" t="str">
        <x:v>Focus A 1 + Focus B 1 + Sam = 최대3명</x:v>
      </x:c>
      <x:c r="D60" s="941" t="str">
        <x:v>희소성이 시간 총량이 아니라 누구에게 집중했는지에서 생김</x:v>
      </x:c>
      <x:c r="E60" s="941" t="str">
        <x:v>개선</x:v>
      </x:c>
      <x:c r="F60" s="941"/>
      <x:c r="G60" s="941" t="str">
        <x:v>Anchor 전</x:v>
      </x:c>
      <x:c r="H60" s="941" t="n">
        <x:v>6</x:v>
      </x:c>
      <x:c r="I60" s="941" t="n">
        <x:v>3</x:v>
      </x:c>
      <x:c r="J60" s="941" t="n">
        <x:v>2</x:v>
      </x:c>
      <x:c r="K60" s="941"/>
      <x:c r="L60" s="941"/>
      <x:c r="M60" s="941"/>
      <x:c r="N60" s="941"/>
      <x:c r="O60" s="941"/>
      <x:c r="P60" s="941"/>
    </x:row>
    <x:row r="61" ht="24" hidden="0" customHeight="1">
      <x:c r="A61" s="933" t="str">
        <x:v>True 권장</x:v>
      </x:c>
      <x:c r="B61" s="933" t="str">
        <x:v>여러 Mastery 가능</x:v>
      </x:c>
      <x:c r="C61" s="933" t="str">
        <x:v>Faye + (Diya 또는 Benjamin) + Sam 최대3</x:v>
      </x:c>
      <x:c r="D61" s="933" t="str">
        <x:v>Faye 집중이 자연스럽게 고정</x:v>
      </x:c>
      <x:c r="E61" s="933" t="str">
        <x:v>좋음</x:v>
      </x:c>
      <x:c r="F61" s="933"/>
      <x:c r="G61" s="933" t="str">
        <x:v>Anchor 후 실전상한</x:v>
      </x:c>
      <x:c r="H61" s="933" t="n">
        <x:v>3</x:v>
      </x:c>
      <x:c r="I61" s="933" t="n">
        <x:v>1</x:v>
      </x:c>
      <x:c r="J61" s="933" t="n">
        <x:v>1</x:v>
      </x:c>
      <x:c r="K61" s="933"/>
      <x:c r="L61" s="933"/>
      <x:c r="M61" s="933"/>
      <x:c r="N61" s="933"/>
      <x:c r="O61" s="933"/>
      <x:c r="P61" s="933"/>
    </x:row>
    <x:row r="62" ht="24" hidden="0" customHeight="1">
      <x:c r="A62" s="933" t="str">
        <x:v>Hidden 권장</x:v>
      </x:c>
      <x:c r="B62" s="933" t="str">
        <x:v>여러 Mastery 가능</x:v>
      </x:c>
      <x:c r="C62" s="933" t="str">
        <x:v>Borichi + Diya + Sam 최대3</x:v>
      </x:c>
      <x:c r="D62" s="933" t="str">
        <x:v>재분석/정착 인물에 집중</x:v>
      </x:c>
      <x:c r="E62" s="933" t="str">
        <x:v>좋음</x:v>
      </x:c>
      <x:c r="F62" s="933"/>
      <x:c r="G62" s="933" t="str">
        <x:v>True 권장</x:v>
      </x:c>
      <x:c r="H62" s="933" t="n">
        <x:v>3</x:v>
      </x:c>
      <x:c r="I62" s="933" t="n">
        <x:v>1</x:v>
      </x:c>
      <x:c r="J62" s="933" t="n">
        <x:v>1</x:v>
      </x:c>
      <x:c r="K62" s="933"/>
      <x:c r="L62" s="933"/>
      <x:c r="M62" s="933"/>
      <x:c r="N62" s="933"/>
      <x:c r="O62" s="933"/>
      <x:c r="P62" s="933"/>
    </x:row>
    <x:row r="63" ht="36" hidden="0" customHeight="1">
      <x:c r="A63" s="933" t="str">
        <x:v>Normal</x:v>
      </x:c>
      <x:c r="B63" s="933" t="str">
        <x:v>제약 약함</x:v>
      </x:c>
      <x:c r="C63" s="933" t="str">
        <x:v>어떤 두 Focus를 고르느냐가 빌드 개성을 만듦</x:v>
      </x:c>
      <x:c r="D63" s="933" t="str">
        <x:v>엔딩과 상관없이 Character 중심 플레이 가능</x:v>
      </x:c>
      <x:c r="E63" s="933" t="str">
        <x:v>좋음</x:v>
      </x:c>
      <x:c r="F63" s="933"/>
      <x:c r="G63" s="933" t="str">
        <x:v>Hidden 권장</x:v>
      </x:c>
      <x:c r="H63" s="933" t="n">
        <x:v>3</x:v>
      </x:c>
      <x:c r="I63" s="933" t="n">
        <x:v>1</x:v>
      </x:c>
      <x:c r="J63" s="933" t="n">
        <x:v>1</x:v>
      </x:c>
      <x:c r="K63" s="933"/>
      <x:c r="L63" s="933"/>
      <x:c r="M63" s="933"/>
      <x:c r="N63" s="933"/>
      <x:c r="O63" s="933"/>
      <x:c r="P63" s="933"/>
    </x:row>
    <x:row r="64" ht="24" hidden="0" customHeight="1">
      <x:c r="A64" s="933" t="str">
        <x:v>인위적 1개 제한</x:v>
      </x:c>
      <x:c r="B64" s="933" t="str">
        <x:v>필요해 보였음</x:v>
      </x:c>
      <x:c r="C64" s="933" t="str">
        <x:v>불필요</x:v>
      </x:c>
      <x:c r="D64" s="933" t="str">
        <x:v>기존 Action 슬롯의 상호배타만으로 충분</x:v>
      </x:c>
      <x:c r="E64" s="933" t="str">
        <x:v>채택 안 함</x:v>
      </x:c>
      <x:c r="F64" s="933"/>
      <x:c r="G64" s="933"/>
      <x:c r="H64" s="933"/>
      <x:c r="I64" s="933"/>
      <x:c r="J64" s="933"/>
      <x:c r="K64" s="933"/>
      <x:c r="L64" s="933"/>
      <x:c r="M64" s="933"/>
      <x:c r="N64" s="933"/>
      <x:c r="O64" s="933"/>
      <x:c r="P64" s="933"/>
    </x:row>
    <x:row r="65" ht="15" hidden="0" customHeight="1">
      <x:c r="A65" s="933"/>
      <x:c r="B65" s="933"/>
      <x:c r="C65" s="933"/>
      <x:c r="D65" s="933"/>
      <x:c r="E65" s="933"/>
      <x:c r="F65" s="933"/>
      <x:c r="G65" s="933"/>
      <x:c r="H65" s="933"/>
      <x:c r="I65" s="933"/>
      <x:c r="J65" s="933"/>
      <x:c r="K65" s="933"/>
      <x:c r="L65" s="933"/>
      <x:c r="M65" s="933"/>
      <x:c r="N65" s="933"/>
      <x:c r="O65" s="933"/>
      <x:c r="P65" s="933"/>
    </x:row>
    <x:row r="66" ht="26" hidden="0" customHeight="1">
      <x:c r="A66" s="950" t="str">
        <x:v>8. W1 역산 결론</x:v>
      </x:c>
      <x:c r="B66" s="950"/>
      <x:c r="C66" s="950"/>
      <x:c r="D66" s="950"/>
      <x:c r="E66" s="950"/>
      <x:c r="F66" s="950"/>
      <x:c r="G66" s="950"/>
      <x:c r="H66" s="950"/>
      <x:c r="I66" s="950"/>
      <x:c r="J66" s="950"/>
      <x:c r="K66" s="950"/>
      <x:c r="L66" s="950"/>
      <x:c r="M66" s="950"/>
      <x:c r="N66" s="950"/>
      <x:c r="O66" s="950"/>
      <x:c r="P66" s="950"/>
      <x:c r="Q66" s="408"/>
      <x:c r="R66" s="408"/>
    </x:row>
    <x:row r="67" ht="15" hidden="0" customHeight="1">
      <x:c r="A67" s="936" t="str">
        <x:v>#</x:v>
      </x:c>
      <x:c r="B67" s="936" t="str">
        <x:v>결론</x:v>
      </x:c>
      <x:c r="C67" s="936" t="str">
        <x:v>처리</x:v>
      </x:c>
      <x:c r="D67" s="933"/>
      <x:c r="E67" s="933"/>
      <x:c r="F67" s="933"/>
      <x:c r="G67" s="933"/>
      <x:c r="H67" s="933"/>
      <x:c r="I67" s="933"/>
      <x:c r="J67" s="933"/>
      <x:c r="K67" s="933"/>
      <x:c r="L67" s="933"/>
      <x:c r="M67" s="933"/>
      <x:c r="N67" s="933"/>
      <x:c r="O67" s="933"/>
      <x:c r="P67" s="933"/>
    </x:row>
    <x:row r="68" ht="36" hidden="0" customHeight="1">
      <x:c r="A68" s="933" t="n">
        <x:v>1</x:v>
      </x:c>
      <x:c r="B68" s="933" t="str">
        <x:v>True/Hidden 모두 W1 하루14h 안에서 충분히 Seed 가능.</x:v>
      </x:c>
      <x:c r="C68" s="933" t="str">
        <x:v>가능성 유지</x:v>
      </x:c>
      <x:c r="D68" s="933"/>
      <x:c r="E68" s="933"/>
      <x:c r="F68" s="933"/>
      <x:c r="G68" s="933"/>
      <x:c r="H68" s="933"/>
      <x:c r="I68" s="933"/>
      <x:c r="J68" s="933"/>
      <x:c r="K68" s="933"/>
      <x:c r="L68" s="933"/>
      <x:c r="M68" s="933"/>
      <x:c r="N68" s="933"/>
      <x:c r="O68" s="933"/>
      <x:c r="P68" s="933"/>
    </x:row>
    <x:row r="69" ht="48" hidden="0" customHeight="1">
      <x:c r="A69" s="933" t="n">
        <x:v>2</x:v>
      </x:c>
      <x:c r="B69" s="933" t="str">
        <x:v>시간만으로 Mastery를 제한하는 것은 실패. D6/D7 Focus Anchor가 필요.</x:v>
      </x:c>
      <x:c r="C69" s="933" t="str">
        <x:v>Focus A/B 채택 추천</x:v>
      </x:c>
      <x:c r="D69" s="933"/>
      <x:c r="E69" s="933"/>
      <x:c r="F69" s="933"/>
      <x:c r="G69" s="933"/>
      <x:c r="H69" s="933"/>
      <x:c r="I69" s="933"/>
      <x:c r="J69" s="933"/>
      <x:c r="K69" s="933"/>
      <x:c r="L69" s="933"/>
      <x:c r="M69" s="933"/>
      <x:c r="N69" s="933"/>
      <x:c r="O69" s="933"/>
      <x:c r="P69" s="933"/>
    </x:row>
    <x:row r="70" ht="48" hidden="0" customHeight="1">
      <x:c r="A70" s="933" t="n">
        <x:v>3</x:v>
      </x:c>
      <x:c r="B70" s="933" t="str">
        <x:v>Final 접근과 Mastery를 분리했으므로 Focus를 못 고른 캐릭터도 엔딩 Route는 진행 가능.</x:v>
      </x:c>
      <x:c r="C70" s="933" t="str">
        <x:v>소프트락 없음</x:v>
      </x:c>
      <x:c r="D70" s="933"/>
      <x:c r="E70" s="933"/>
      <x:c r="F70" s="933"/>
      <x:c r="G70" s="933"/>
      <x:c r="H70" s="933"/>
      <x:c r="I70" s="933"/>
      <x:c r="J70" s="933"/>
      <x:c r="K70" s="933"/>
      <x:c r="L70" s="933"/>
      <x:c r="M70" s="933"/>
      <x:c r="N70" s="933"/>
      <x:c r="O70" s="933"/>
      <x:c r="P70" s="933"/>
    </x:row>
    <x:row r="71" ht="48" hidden="0" customHeight="1">
      <x:c r="A71" s="933" t="n">
        <x:v>4</x:v>
      </x:c>
      <x:c r="B71" s="933" t="str">
        <x:v>True는 Faye Focus A가 사실상 고정되어 '한 루트를 끝까지 판 보상'이 선명함.</x:v>
      </x:c>
      <x:c r="C71" s="933" t="str">
        <x:v>True 정체성 강화</x:v>
      </x:c>
      <x:c r="D71" s="933"/>
      <x:c r="E71" s="933"/>
      <x:c r="F71" s="933"/>
      <x:c r="G71" s="933"/>
      <x:c r="H71" s="933"/>
      <x:c r="I71" s="933"/>
      <x:c r="J71" s="933"/>
      <x:c r="K71" s="933"/>
      <x:c r="L71" s="933"/>
      <x:c r="M71" s="933"/>
      <x:c r="N71" s="933"/>
      <x:c r="O71" s="933"/>
      <x:c r="P71" s="933"/>
    </x:row>
    <x:row r="72" ht="48" hidden="0" customHeight="1">
      <x:c r="A72" s="933" t="n">
        <x:v>5</x:v>
      </x:c>
      <x:c r="B72" s="933" t="str">
        <x:v>Hidden은 Research3회 + Borichi/Diya Focus로 W1부터 다른 플레이 감각이 생김.</x:v>
      </x:c>
      <x:c r="C72" s="933" t="str">
        <x:v>Hidden 정체성 강화</x:v>
      </x:c>
      <x:c r="D72" s="933"/>
      <x:c r="E72" s="933"/>
      <x:c r="F72" s="933"/>
      <x:c r="G72" s="933"/>
      <x:c r="H72" s="933"/>
      <x:c r="I72" s="933"/>
      <x:c r="J72" s="933"/>
      <x:c r="K72" s="933"/>
      <x:c r="L72" s="933"/>
      <x:c r="M72" s="933"/>
      <x:c r="N72" s="933"/>
      <x:c r="O72" s="933"/>
      <x:c r="P72" s="933"/>
    </x:row>
    <x:row r="73" ht="48" hidden="0" customHeight="1">
      <x:c r="A73" s="933" t="n">
        <x:v>6</x:v>
      </x:c>
      <x:c r="B73" s="933" t="str">
        <x:v>Research 수리는 W1 조사 정보도 즉시 주어야 Hidden 메타게임이 되지 않음.</x:v>
      </x:c>
      <x:c r="C73" s="933" t="str">
        <x:v>Research Restoration 3단계</x:v>
      </x:c>
      <x:c r="D73" s="933"/>
      <x:c r="E73" s="933"/>
      <x:c r="F73" s="933"/>
      <x:c r="G73" s="933"/>
      <x:c r="H73" s="933"/>
      <x:c r="I73" s="933"/>
      <x:c r="J73" s="933"/>
      <x:c r="K73" s="933"/>
      <x:c r="L73" s="933"/>
      <x:c r="M73" s="933"/>
      <x:c r="N73" s="933"/>
      <x:c r="O73" s="933"/>
      <x:c r="P73" s="933"/>
    </x:row>
    <x:row r="74" ht="72" hidden="0" customHeight="1">
      <x:c r="A74" s="933" t="n">
        <x:v>7</x:v>
      </x:c>
      <x:c r="B74" s="933" t="str">
        <x:v>이제 21일 전체 역산의 큰 구조는 닫힘. 다음은 W1~W3 통합 Route Simulation으로 수치/소프트락 최종 점검.</x:v>
      </x:c>
      <x:c r="C74" s="933" t="str">
        <x:v>NEXT</x:v>
      </x:c>
      <x:c r="D74" s="933"/>
      <x:c r="E74" s="933"/>
      <x:c r="F74" s="933"/>
      <x:c r="G74" s="933"/>
      <x:c r="H74" s="933"/>
      <x:c r="I74" s="933"/>
      <x:c r="J74" s="933"/>
      <x:c r="K74" s="933"/>
      <x:c r="L74" s="933"/>
      <x:c r="M74" s="933"/>
      <x:c r="N74" s="933"/>
      <x:c r="O74" s="933"/>
      <x:c r="P74" s="933"/>
    </x:row>
  </x:sheetData>
  <x:mergeCells>
    <x:mergeCell ref="A1:R1"/>
    <x:mergeCell ref="A2:R2"/>
    <x:mergeCell ref="A4:R4"/>
    <x:mergeCell ref="A14:R14"/>
    <x:mergeCell ref="A23:R23"/>
    <x:mergeCell ref="J24:R27"/>
    <x:mergeCell ref="A29:R29"/>
    <x:mergeCell ref="P30:R38"/>
    <x:mergeCell ref="A40:R40"/>
    <x:mergeCell ref="P41:R49"/>
    <x:mergeCell ref="A51:R51"/>
    <x:mergeCell ref="A58:R58"/>
    <x:mergeCell ref="A66:R66"/>
  </x:mergeCells>
  <x:conditionalFormatting sqref="G16:G74">
    <x:cfRule type="expression" dxfId="264" priority="1">
      <x:formula>OR(G16="완료",G16="확정",G16="확정방향",G16="방향 확정",LEFT(G16,2)="확정")</x:formula>
    </x:cfRule>
    <x:cfRule type="expression" dxfId="265" priority="2">
      <x:formula>OR(G16="TBD",G16="대기",ISNUMBER(SEARCH("TEMP",G16)))</x:formula>
    </x:cfRule>
    <x:cfRule type="expression" dxfId="266" priority="3">
      <x:formula>OR(G16="폐기",G16="HISTORICAL",ISNUMBER(SEARCH("폐기",G16)))</x:formula>
    </x:cfRule>
    <x:cfRule type="expression" dxfId="267" priority="4">
      <x:formula>OR(G16="NEXT",G16="진행")</x:formula>
    </x:cfRule>
  </x:conditionalFormatting>
  <x:conditionalFormatting sqref="H25:H74">
    <x:cfRule type="expression" dxfId="268" priority="5">
      <x:formula>OR(H25="완료",H25="확정",H25="확정방향",H25="방향 확정",LEFT(H25,2)="확정")</x:formula>
    </x:cfRule>
    <x:cfRule type="expression" dxfId="269" priority="6">
      <x:formula>OR(H25="TBD",H25="대기",ISNUMBER(SEARCH("TEMP",H25)))</x:formula>
    </x:cfRule>
    <x:cfRule type="expression" dxfId="270" priority="7">
      <x:formula>OR(H25="폐기",H25="HISTORICAL",ISNUMBER(SEARCH("폐기",H25)))</x:formula>
    </x:cfRule>
    <x:cfRule type="expression" dxfId="271" priority="8">
      <x:formula>OR(H25="NEXT",H25="진행")</x:formula>
    </x:cfRule>
  </x:conditionalFormatting>
  <x:conditionalFormatting sqref="E53:E74">
    <x:cfRule type="expression" dxfId="272" priority="9">
      <x:formula>OR(E53="완료",E53="확정",E53="확정방향",E53="방향 확정",LEFT(E53,2)="확정")</x:formula>
    </x:cfRule>
    <x:cfRule type="expression" dxfId="273" priority="10">
      <x:formula>OR(E53="TBD",E53="대기",ISNUMBER(SEARCH("TEMP",E53)))</x:formula>
    </x:cfRule>
    <x:cfRule type="expression" dxfId="274" priority="11">
      <x:formula>OR(E53="폐기",E53="HISTORICAL",ISNUMBER(SEARCH("폐기",E53)))</x:formula>
    </x:cfRule>
    <x:cfRule type="expression" dxfId="275" priority="12">
      <x:formula>OR(E53="NEXT",E53="진행")</x:formula>
    </x:cfRule>
  </x:conditionalFormatting>
  <x:pageMargins left="0.7" right="0.7" top="0.75" bottom="0.75" header="0.3" footer="0.3"/>
  <x:drawing xmlns:r="http://schemas.openxmlformats.org/officeDocument/2006/relationships" r:id="Rf9d2ceff09bd4a38"/>
</x:worksheet>
</file>

<file path=xl/worksheets/sheet2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26" hidden="0" customWidth="1"/>
    <x:col min="16" max="16" width="14" hidden="0" customWidth="1"/>
    <x:col min="17" max="17" width="18" hidden="0" customWidth="1"/>
    <x:col min="18" max="18" width="18" hidden="0" customWidth="1"/>
  </x:cols>
  <x:sheetData>
    <x:row r="1" ht="30" hidden="0" customHeight="1">
      <x:c r="A1" s="974" t="str">
        <x:v>Integrated Route Simulation v1.0 — Current Rules Frozen / No Balance Patches</x:v>
      </x:c>
      <x:c r="B1" s="974"/>
      <x:c r="C1" s="974"/>
      <x:c r="D1" s="974"/>
      <x:c r="E1" s="974"/>
      <x:c r="F1" s="974"/>
      <x:c r="G1" s="974"/>
      <x:c r="H1" s="974"/>
      <x:c r="I1" s="974"/>
      <x:c r="J1" s="974"/>
      <x:c r="K1" s="974"/>
      <x:c r="L1" s="974"/>
      <x:c r="M1" s="974"/>
      <x:c r="N1" s="974"/>
      <x:c r="O1" s="974"/>
      <x:c r="P1" s="974"/>
      <x:c r="Q1" s="422"/>
      <x:c r="R1" s="422"/>
    </x:row>
    <x:row r="2" ht="42" hidden="0" customHeight="1">
      <x:c r="A2" s="977" t="str">
        <x:v>이 시트는 v0.9까지 확정/추천된 현재 규칙을 수정하지 않고 Normal1 / True / Hidden 대표 Route를 D1→21로 연결한 통합 검증이다. 발견된 문제는 수치 변경 없이 하단 Diagnostic Log에만 기록한다.</x:v>
      </x:c>
      <x:c r="B2" s="977"/>
      <x:c r="C2" s="977"/>
      <x:c r="D2" s="977"/>
      <x:c r="E2" s="977"/>
      <x:c r="F2" s="977"/>
      <x:c r="G2" s="977"/>
      <x:c r="H2" s="977"/>
      <x:c r="I2" s="977"/>
      <x:c r="J2" s="977"/>
      <x:c r="K2" s="977"/>
      <x:c r="L2" s="977"/>
      <x:c r="M2" s="977"/>
      <x:c r="N2" s="977"/>
      <x:c r="O2" s="977"/>
      <x:c r="P2" s="977"/>
      <x:c r="Q2" s="425"/>
      <x:c r="R2" s="425"/>
    </x:row>
    <x:row r="3" ht="15" hidden="0" customHeight="1">
      <x:c r="A3" s="967"/>
      <x:c r="B3" s="967"/>
      <x:c r="C3" s="967"/>
      <x:c r="D3" s="967"/>
      <x:c r="E3" s="967"/>
      <x:c r="F3" s="967"/>
      <x:c r="G3" s="967"/>
      <x:c r="H3" s="967"/>
      <x:c r="I3" s="967"/>
      <x:c r="J3" s="967"/>
      <x:c r="K3" s="967"/>
      <x:c r="L3" s="967"/>
      <x:c r="M3" s="967"/>
      <x:c r="N3" s="967"/>
      <x:c r="O3" s="967"/>
      <x:c r="P3" s="967"/>
    </x:row>
    <x:row r="4" ht="26" hidden="0" customHeight="1">
      <x:c r="A4" s="980" t="str">
        <x:v>1. 통합 시뮬레이션 가정</x:v>
      </x:c>
      <x:c r="B4" s="980"/>
      <x:c r="C4" s="980"/>
      <x:c r="D4" s="980"/>
      <x:c r="E4" s="980"/>
      <x:c r="F4" s="980"/>
      <x:c r="G4" s="980"/>
      <x:c r="H4" s="980"/>
      <x:c r="I4" s="980"/>
      <x:c r="J4" s="980"/>
      <x:c r="K4" s="980"/>
      <x:c r="L4" s="980"/>
      <x:c r="M4" s="980"/>
      <x:c r="N4" s="980"/>
      <x:c r="O4" s="980"/>
      <x:c r="P4" s="980"/>
      <x:c r="Q4" s="426"/>
      <x:c r="R4" s="426"/>
    </x:row>
    <x:row r="5" ht="30" hidden="0" customHeight="1">
      <x:c r="A5" s="983" t="str">
        <x:v>항목</x:v>
      </x:c>
      <x:c r="B5" s="983" t="str">
        <x:v>Normal 대표</x:v>
      </x:c>
      <x:c r="C5" s="983" t="str">
        <x:v>True 대표</x:v>
      </x:c>
      <x:c r="D5" s="983" t="str">
        <x:v>Hidden 대표</x:v>
      </x:c>
      <x:c r="E5" s="983" t="str">
        <x:v>상태</x:v>
      </x:c>
      <x:c r="F5" s="983"/>
      <x:c r="G5" s="983"/>
      <x:c r="H5" s="983"/>
      <x:c r="I5" s="983"/>
      <x:c r="J5" s="983"/>
      <x:c r="K5" s="983"/>
      <x:c r="L5" s="983"/>
      <x:c r="M5" s="983"/>
      <x:c r="N5" s="983"/>
      <x:c r="O5" s="983"/>
      <x:c r="P5" s="983"/>
    </x:row>
    <x:row r="6" ht="32.400001525878906" hidden="0" customHeight="1">
      <x:c r="A6" s="967" t="str">
        <x:v>시작 Stat</x:v>
      </x:c>
      <x:c r="B6" s="967" t="str">
        <x:v>2/2/2</x:v>
      </x:c>
      <x:c r="C6" s="967" t="str">
        <x:v>강인1/교감4/기술10을 D19 목표 Proxy</x:v>
      </x:c>
      <x:c r="D6" s="967" t="str">
        <x:v>강인0/교감5/기술9를 D19 목표 Proxy</x:v>
      </x:c>
      <x:c r="E6" s="967" t="str">
        <x:v>Stat은 일반XP 공급 상세 미작성이라 결과 Proxy</x:v>
      </x:c>
      <x:c r="F6" s="967"/>
      <x:c r="G6" s="967"/>
      <x:c r="H6" s="967"/>
      <x:c r="I6" s="967"/>
      <x:c r="J6" s="967"/>
      <x:c r="K6" s="967"/>
      <x:c r="L6" s="967"/>
      <x:c r="M6" s="967"/>
      <x:c r="N6" s="967"/>
      <x:c r="O6" s="967"/>
      <x:c r="P6" s="967"/>
    </x:row>
    <x:row r="7" ht="21.600000381469727" hidden="0" customHeight="1">
      <x:c r="A7" s="967" t="str">
        <x:v>W1 Focus</x:v>
      </x:c>
      <x:c r="B7" s="967" t="str">
        <x:v>없음/일상 위주</x:v>
      </x:c>
      <x:c r="C7" s="967" t="str">
        <x:v>A=Faye / B=Diya + Sam 반복지원</x:v>
      </x:c>
      <x:c r="D7" s="967" t="str">
        <x:v>A=Borichi / B=Diya</x:v>
      </x:c>
      <x:c r="E7" s="967" t="str">
        <x:v>현재 W1 Anchor</x:v>
      </x:c>
      <x:c r="F7" s="967"/>
      <x:c r="G7" s="967"/>
      <x:c r="H7" s="967"/>
      <x:c r="I7" s="967"/>
      <x:c r="J7" s="967"/>
      <x:c r="K7" s="967"/>
      <x:c r="L7" s="967"/>
      <x:c r="M7" s="967"/>
      <x:c r="N7" s="967"/>
      <x:c r="O7" s="967"/>
      <x:c r="P7" s="967"/>
    </x:row>
    <x:row r="8" ht="32.400001525878906" hidden="0" customHeight="1">
      <x:c r="A8" s="967" t="str">
        <x:v>W2 Ship</x:v>
      </x:c>
      <x:c r="B8" s="967" t="str">
        <x:v>Departure Normal: W2 Repair5</x:v>
      </x:c>
      <x:c r="C8" s="967" t="str">
        <x:v>Storm Buffer: W1 Repair1 + W2 Repair7</x:v>
      </x:c>
      <x:c r="D8" s="967" t="str">
        <x:v>Hidden/Recheck: W1 Research3 + W2 Repair5</x:v>
      </x:c>
      <x:c r="E8" s="967" t="str">
        <x:v>현재 FacilityTransition</x:v>
      </x:c>
      <x:c r="F8" s="967"/>
      <x:c r="G8" s="967"/>
      <x:c r="H8" s="967"/>
      <x:c r="I8" s="967"/>
      <x:c r="J8" s="967"/>
      <x:c r="K8" s="967"/>
      <x:c r="L8" s="967"/>
      <x:c r="M8" s="967"/>
      <x:c r="N8" s="967"/>
      <x:c r="O8" s="967"/>
      <x:c r="P8" s="967"/>
    </x:row>
    <x:row r="9" ht="21.600000381469727" hidden="0" customHeight="1">
      <x:c r="A9" s="967" t="str">
        <x:v>Preservation</x:v>
      </x:c>
      <x:c r="B9" s="967" t="str">
        <x:v>없음</x:v>
      </x:c>
      <x:c r="C9" s="967" t="str">
        <x:v>Settlement2 (축제 Gate)</x:v>
      </x:c>
      <x:c r="D9" s="967" t="str">
        <x:v>Oasis3 + Settlement3</x:v>
      </x:c>
      <x:c r="E9" s="967" t="str">
        <x:v>Hidden HIGH는 현재 Proxy</x:v>
      </x:c>
      <x:c r="F9" s="967"/>
      <x:c r="G9" s="967"/>
      <x:c r="H9" s="967"/>
      <x:c r="I9" s="967"/>
      <x:c r="J9" s="967"/>
      <x:c r="K9" s="967"/>
      <x:c r="L9" s="967"/>
      <x:c r="M9" s="967"/>
      <x:c r="N9" s="967"/>
      <x:c r="O9" s="967"/>
      <x:c r="P9" s="967"/>
    </x:row>
    <x:row r="10" ht="21.600000381469727" hidden="0" customHeight="1">
      <x:c r="A10" s="967" t="str">
        <x:v>W3 손상</x:v>
      </x:c>
      <x:c r="B10" s="967" t="str">
        <x:v>각 Wave 일부 Tick 감수</x:v>
      </x:c>
      <x:c r="C10" s="967" t="str">
        <x:v>NPC/Stat으로 피해 최소화</x:v>
      </x:c>
      <x:c r="D10" s="967" t="str">
        <x:v>NPC/Stat으로 피해 최소화</x:v>
      </x:c>
      <x:c r="E10" s="967" t="str">
        <x:v>정확 Target Seed는 Run마다 변동</x:v>
      </x:c>
      <x:c r="F10" s="967"/>
      <x:c r="G10" s="967"/>
      <x:c r="H10" s="967"/>
      <x:c r="I10" s="967"/>
      <x:c r="J10" s="967"/>
      <x:c r="K10" s="967"/>
      <x:c r="L10" s="967"/>
      <x:c r="M10" s="967"/>
      <x:c r="N10" s="967"/>
      <x:c r="O10" s="967"/>
      <x:c r="P10" s="967"/>
    </x:row>
    <x:row r="11" ht="21.600000381469727" hidden="0" customHeight="1">
      <x:c r="A11" s="967" t="str">
        <x:v>W3 Repair</x:v>
      </x:c>
      <x:c r="B11" s="967" t="str">
        <x:v>4회</x:v>
      </x:c>
      <x:c r="C11" s="967" t="str">
        <x:v>2회</x:v>
      </x:c>
      <x:c r="D11" s="967" t="str">
        <x:v>3회</x:v>
      </x:c>
      <x:c r="E11" s="967" t="str">
        <x:v>현재 Hard-Normal 범위 안쪽</x:v>
      </x:c>
      <x:c r="F11" s="967"/>
      <x:c r="G11" s="967"/>
      <x:c r="H11" s="967"/>
      <x:c r="I11" s="967"/>
      <x:c r="J11" s="967"/>
      <x:c r="K11" s="967"/>
      <x:c r="L11" s="967"/>
      <x:c r="M11" s="967"/>
      <x:c r="N11" s="967"/>
      <x:c r="O11" s="967"/>
      <x:c r="P11" s="967"/>
    </x:row>
    <x:row r="12" ht="21.600000381469727" hidden="0" customHeight="1">
      <x:c r="A12" s="967" t="str">
        <x:v>D19 NPC</x:v>
      </x:c>
      <x:c r="B12" s="967" t="str">
        <x:v>최소 전문 NPC1 접근 가능 가정</x:v>
      </x:c>
      <x:c r="C12" s="967" t="str">
        <x:v>전원 생존 + 핵심 NPC 병렬배치 가정</x:v>
      </x:c>
      <x:c r="D12" s="967" t="str">
        <x:v>Borichi/Diya/기술 NPC 생존·배치 가정</x:v>
      </x:c>
      <x:c r="E12" s="967" t="str">
        <x:v>Affinity 접근은 미검증</x:v>
      </x:c>
      <x:c r="F12" s="967"/>
      <x:c r="G12" s="967"/>
      <x:c r="H12" s="967"/>
      <x:c r="I12" s="967"/>
      <x:c r="J12" s="967"/>
      <x:c r="K12" s="967"/>
      <x:c r="L12" s="967"/>
      <x:c r="M12" s="967"/>
      <x:c r="N12" s="967"/>
      <x:c r="O12" s="967"/>
      <x:c r="P12" s="967"/>
    </x:row>
    <x:row r="13" ht="15" hidden="0" customHeight="1">
      <x:c r="A13" s="967"/>
      <x:c r="B13" s="967"/>
      <x:c r="C13" s="967"/>
      <x:c r="D13" s="967"/>
      <x:c r="E13" s="967"/>
      <x:c r="F13" s="967"/>
      <x:c r="G13" s="967"/>
      <x:c r="H13" s="967"/>
      <x:c r="I13" s="967"/>
      <x:c r="J13" s="967"/>
      <x:c r="K13" s="967"/>
      <x:c r="L13" s="967"/>
      <x:c r="M13" s="967"/>
      <x:c r="N13" s="967"/>
      <x:c r="O13" s="967"/>
      <x:c r="P13" s="967"/>
    </x:row>
    <x:row r="14" ht="26" hidden="0" customHeight="1">
      <x:c r="A14" s="980" t="str">
        <x:v>2A. Normal 1 대표 Route — 적당히 준비하고 손상을 감수해 출항</x:v>
      </x:c>
      <x:c r="B14" s="980"/>
      <x:c r="C14" s="980"/>
      <x:c r="D14" s="980"/>
      <x:c r="E14" s="980"/>
      <x:c r="F14" s="980"/>
      <x:c r="G14" s="980"/>
      <x:c r="H14" s="980"/>
      <x:c r="I14" s="980"/>
      <x:c r="J14" s="980"/>
      <x:c r="K14" s="980"/>
      <x:c r="L14" s="980"/>
      <x:c r="M14" s="980"/>
      <x:c r="N14" s="980"/>
      <x:c r="O14" s="980"/>
      <x:c r="P14" s="980"/>
      <x:c r="Q14" s="426"/>
      <x:c r="R14" s="426"/>
    </x:row>
    <x:row r="15" ht="30" hidden="0" customHeight="1">
      <x:c r="A15" s="983" t="str">
        <x:v>Day</x:v>
      </x:c>
      <x:c r="B15" s="983" t="str">
        <x:v>Week</x:v>
      </x:c>
      <x:c r="C15" s="983" t="str">
        <x:v>핵심 계획</x:v>
      </x:c>
      <x:c r="D15" s="983" t="str">
        <x:v>계획 h</x:v>
      </x:c>
      <x:c r="E15" s="983" t="str">
        <x:v>자유 h</x:v>
      </x:c>
      <x:c r="F15" s="983" t="str">
        <x:v>Will 시작</x:v>
      </x:c>
      <x:c r="G15" s="983" t="str">
        <x:v>Will 사용</x:v>
      </x:c>
      <x:c r="H15" s="983" t="str">
        <x:v>Will 회복</x:v>
      </x:c>
      <x:c r="I15" s="983" t="str">
        <x:v>Will 종료</x:v>
      </x:c>
      <x:c r="J15" s="983" t="str">
        <x:v>Repair Δ</x:v>
      </x:c>
      <x:c r="K15" s="983" t="str">
        <x:v>Repair 누적</x:v>
      </x:c>
      <x:c r="L15" s="983" t="str">
        <x:v>Oasis</x:v>
      </x:c>
      <x:c r="M15" s="983" t="str">
        <x:v>Settlement</x:v>
      </x:c>
      <x:c r="N15" s="983" t="str">
        <x:v>Mastery/Final</x:v>
      </x:c>
      <x:c r="O15" s="983" t="str">
        <x:v>통합 상태</x:v>
      </x:c>
      <x:c r="P15" s="983" t="str">
        <x:v>Day 판정</x:v>
      </x:c>
    </x:row>
    <x:row r="16" ht="15" hidden="0" customHeight="1">
      <x:c r="A16" s="967" t="n">
        <x:v>1</x:v>
      </x:c>
      <x:c r="B16" s="967" t="str">
        <x:v>W1</x:v>
      </x:c>
      <x:c r="C16" s="967" t="str">
        <x:v>기상/재회/배 확인</x:v>
      </x:c>
      <x:c r="D16" s="967" t="n">
        <x:v>5</x:v>
      </x:c>
      <x:c r="E16" s="967" t="n">
        <x:f>14-D16</x:f>
        <x:v>9</x:v>
      </x:c>
      <x:c r="F16" s="967" t="n">
        <x:v>5</x:v>
      </x:c>
      <x:c r="G16" s="967" t="n">
        <x:v>0</x:v>
      </x:c>
      <x:c r="H16" s="967" t="n">
        <x:v>0</x:v>
      </x:c>
      <x:c r="I16" s="967" t="n">
        <x:f>MAX(0,MIN(5,F16-G16+H16))</x:f>
        <x:v>5</x:v>
      </x:c>
      <x:c r="J16" s="967" t="n">
        <x:v>0</x:v>
      </x:c>
      <x:c r="K16" s="967" t="n">
        <x:f>J16</x:f>
        <x:v>0</x:v>
      </x:c>
      <x:c r="L16" s="967" t="n">
        <x:v>0</x:v>
      </x:c>
      <x:c r="M16" s="967" t="n">
        <x:v>0</x:v>
      </x:c>
      <x:c r="N16" s="967" t="str"/>
      <x:c r="O16" s="967" t="str"/>
      <x:c r="P16" s="967" t="str">
        <x:f>IF(OR(E16&lt;0,F16&lt;G16),"FAIL","PASS")</x:f>
        <x:v>PASS</x:v>
      </x:c>
    </x:row>
    <x:row r="17" ht="15" hidden="0" customHeight="1">
      <x:c r="A17" s="967" t="n">
        <x:v>2</x:v>
      </x:c>
      <x:c r="B17" s="967" t="str">
        <x:v>W1</x:v>
      </x:c>
      <x:c r="C17" s="967" t="str">
        <x:v>재회+일상 Character</x:v>
      </x:c>
      <x:c r="D17" s="967" t="n">
        <x:v>8</x:v>
      </x:c>
      <x:c r="E17" s="967" t="n">
        <x:f>14-D17</x:f>
        <x:v>6</x:v>
      </x:c>
      <x:c r="F17" s="967" t="n">
        <x:f>MIN(5,I16+1)</x:f>
        <x:v>5</x:v>
      </x:c>
      <x:c r="G17" s="967" t="n">
        <x:v>0</x:v>
      </x:c>
      <x:c r="H17" s="967" t="n">
        <x:v>0</x:v>
      </x:c>
      <x:c r="I17" s="967" t="n">
        <x:f>MAX(0,MIN(5,F17-G17+H17))</x:f>
        <x:v>5</x:v>
      </x:c>
      <x:c r="J17" s="967" t="n">
        <x:v>0</x:v>
      </x:c>
      <x:c r="K17" s="967" t="n">
        <x:f>K16+J17</x:f>
        <x:v>0</x:v>
      </x:c>
      <x:c r="L17" s="967" t="n">
        <x:v>0</x:v>
      </x:c>
      <x:c r="M17" s="967" t="n">
        <x:v>0</x:v>
      </x:c>
      <x:c r="N17" s="967" t="str"/>
      <x:c r="O17" s="967" t="str"/>
      <x:c r="P17" s="967" t="str">
        <x:f>IF(OR(E17&lt;0,F17&lt;G17),"FAIL","PASS")</x:f>
        <x:v>PASS</x:v>
      </x:c>
    </x:row>
    <x:row r="18" ht="15" hidden="0" customHeight="1">
      <x:c r="A18" s="967" t="n">
        <x:v>3</x:v>
      </x:c>
      <x:c r="B18" s="967" t="str">
        <x:v>W1</x:v>
      </x:c>
      <x:c r="C18" s="967" t="str">
        <x:v>조사+수리1/성장</x:v>
      </x:c>
      <x:c r="D18" s="967" t="n">
        <x:v>8</x:v>
      </x:c>
      <x:c r="E18" s="967" t="n">
        <x:f>14-D18</x:f>
        <x:v>6</x:v>
      </x:c>
      <x:c r="F18" s="967" t="n">
        <x:f>MIN(5,I17+1)</x:f>
        <x:v>5</x:v>
      </x:c>
      <x:c r="G18" s="967" t="n">
        <x:v>0</x:v>
      </x:c>
      <x:c r="H18" s="967" t="n">
        <x:v>0</x:v>
      </x:c>
      <x:c r="I18" s="967" t="n">
        <x:f>MAX(0,MIN(5,F18-G18+H18))</x:f>
        <x:v>5</x:v>
      </x:c>
      <x:c r="J18" s="967" t="n">
        <x:v>0</x:v>
      </x:c>
      <x:c r="K18" s="967" t="n">
        <x:f>K17+J18</x:f>
        <x:v>0</x:v>
      </x:c>
      <x:c r="L18" s="967" t="n">
        <x:v>0</x:v>
      </x:c>
      <x:c r="M18" s="967" t="n">
        <x:v>0</x:v>
      </x:c>
      <x:c r="N18" s="967" t="str"/>
      <x:c r="O18" s="967" t="str"/>
      <x:c r="P18" s="967" t="str">
        <x:f>IF(OR(E18&lt;0,F18&lt;G18),"FAIL","PASS")</x:f>
        <x:v>PASS</x:v>
      </x:c>
    </x:row>
    <x:row r="19" ht="15" hidden="0" customHeight="1">
      <x:c r="A19" s="967" t="n">
        <x:v>4</x:v>
      </x:c>
      <x:c r="B19" s="967" t="str">
        <x:v>W1</x:v>
      </x:c>
      <x:c r="C19" s="967" t="str">
        <x:v>가설+Character</x:v>
      </x:c>
      <x:c r="D19" s="967" t="n">
        <x:v>7</x:v>
      </x:c>
      <x:c r="E19" s="967" t="n">
        <x:f>14-D19</x:f>
        <x:v>7</x:v>
      </x:c>
      <x:c r="F19" s="967" t="n">
        <x:f>MIN(5,I18+1)</x:f>
        <x:v>5</x:v>
      </x:c>
      <x:c r="G19" s="967" t="n">
        <x:v>0</x:v>
      </x:c>
      <x:c r="H19" s="967" t="n">
        <x:v>0</x:v>
      </x:c>
      <x:c r="I19" s="967" t="n">
        <x:f>MAX(0,MIN(5,F19-G19+H19))</x:f>
        <x:v>5</x:v>
      </x:c>
      <x:c r="J19" s="967" t="n">
        <x:v>0</x:v>
      </x:c>
      <x:c r="K19" s="967" t="n">
        <x:f>K18+J19</x:f>
        <x:v>0</x:v>
      </x:c>
      <x:c r="L19" s="967" t="n">
        <x:v>0</x:v>
      </x:c>
      <x:c r="M19" s="967" t="n">
        <x:v>0</x:v>
      </x:c>
      <x:c r="N19" s="967" t="str"/>
      <x:c r="O19" s="967" t="str"/>
      <x:c r="P19" s="967" t="str">
        <x:f>IF(OR(E19&lt;0,F19&lt;G19),"FAIL","PASS")</x:f>
        <x:v>PASS</x:v>
      </x:c>
    </x:row>
    <x:row r="20" ht="15" hidden="0" customHeight="1">
      <x:c r="A20" s="967" t="n">
        <x:v>5</x:v>
      </x:c>
      <x:c r="B20" s="967" t="str">
        <x:v>W1</x:v>
      </x:c>
      <x:c r="C20" s="967" t="str">
        <x:v>확인+Character</x:v>
      </x:c>
      <x:c r="D20" s="967" t="n">
        <x:v>7</x:v>
      </x:c>
      <x:c r="E20" s="967" t="n">
        <x:f>14-D20</x:f>
        <x:v>7</x:v>
      </x:c>
      <x:c r="F20" s="967" t="n">
        <x:f>MIN(5,I19+1)</x:f>
        <x:v>5</x:v>
      </x:c>
      <x:c r="G20" s="967" t="n">
        <x:v>0</x:v>
      </x:c>
      <x:c r="H20" s="967" t="n">
        <x:v>0</x:v>
      </x:c>
      <x:c r="I20" s="967" t="n">
        <x:f>MAX(0,MIN(5,F20-G20+H20))</x:f>
        <x:v>5</x:v>
      </x:c>
      <x:c r="J20" s="967" t="n">
        <x:v>0</x:v>
      </x:c>
      <x:c r="K20" s="967" t="n">
        <x:f>K19+J20</x:f>
        <x:v>0</x:v>
      </x:c>
      <x:c r="L20" s="967" t="n">
        <x:v>0</x:v>
      </x:c>
      <x:c r="M20" s="967" t="n">
        <x:v>0</x:v>
      </x:c>
      <x:c r="N20" s="967" t="str"/>
      <x:c r="O20" s="967" t="str"/>
      <x:c r="P20" s="967" t="str">
        <x:f>IF(OR(E20&lt;0,F20&lt;G20),"FAIL","PASS")</x:f>
        <x:v>PASS</x:v>
      </x:c>
    </x:row>
    <x:row r="21" ht="15" hidden="0" customHeight="1">
      <x:c r="A21" s="967" t="n">
        <x:v>6</x:v>
      </x:c>
      <x:c r="B21" s="967" t="str">
        <x:v>W1</x:v>
      </x:c>
      <x:c r="C21" s="967" t="str">
        <x:v>보고+선택 Character</x:v>
      </x:c>
      <x:c r="D21" s="967" t="n">
        <x:v>7</x:v>
      </x:c>
      <x:c r="E21" s="967" t="n">
        <x:f>14-D21</x:f>
        <x:v>7</x:v>
      </x:c>
      <x:c r="F21" s="967" t="n">
        <x:f>MIN(5,I20+1)</x:f>
        <x:v>5</x:v>
      </x:c>
      <x:c r="G21" s="967" t="n">
        <x:v>0</x:v>
      </x:c>
      <x:c r="H21" s="967" t="n">
        <x:v>0</x:v>
      </x:c>
      <x:c r="I21" s="967" t="n">
        <x:f>MAX(0,MIN(5,F21-G21+H21))</x:f>
        <x:v>5</x:v>
      </x:c>
      <x:c r="J21" s="967" t="n">
        <x:v>0</x:v>
      </x:c>
      <x:c r="K21" s="967" t="n">
        <x:f>K20+J21</x:f>
        <x:v>0</x:v>
      </x:c>
      <x:c r="L21" s="967" t="n">
        <x:v>0</x:v>
      </x:c>
      <x:c r="M21" s="967" t="n">
        <x:v>0</x:v>
      </x:c>
      <x:c r="N21" s="967" t="str"/>
      <x:c r="O21" s="967" t="str"/>
      <x:c r="P21" s="967" t="str">
        <x:f>IF(OR(E21&lt;0,F21&lt;G21),"FAIL","PASS")</x:f>
        <x:v>PASS</x:v>
      </x:c>
    </x:row>
    <x:row r="22" ht="15" hidden="0" customHeight="1">
      <x:c r="A22" s="967" t="n">
        <x:v>7</x:v>
      </x:c>
      <x:c r="B22" s="967" t="str">
        <x:v>W1</x:v>
      </x:c>
      <x:c r="C22" s="967" t="str">
        <x:v>공개+반응</x:v>
      </x:c>
      <x:c r="D22" s="967" t="n">
        <x:v>7</x:v>
      </x:c>
      <x:c r="E22" s="967" t="n">
        <x:f>14-D22</x:f>
        <x:v>7</x:v>
      </x:c>
      <x:c r="F22" s="967" t="n">
        <x:f>MIN(5,I21+1)</x:f>
        <x:v>5</x:v>
      </x:c>
      <x:c r="G22" s="967" t="n">
        <x:v>0</x:v>
      </x:c>
      <x:c r="H22" s="967" t="n">
        <x:v>0</x:v>
      </x:c>
      <x:c r="I22" s="967" t="n">
        <x:f>MAX(0,MIN(5,F22-G22+H22))</x:f>
        <x:v>5</x:v>
      </x:c>
      <x:c r="J22" s="967" t="n">
        <x:v>0</x:v>
      </x:c>
      <x:c r="K22" s="967" t="n">
        <x:f>K21+J22</x:f>
        <x:v>0</x:v>
      </x:c>
      <x:c r="L22" s="967" t="n">
        <x:v>0</x:v>
      </x:c>
      <x:c r="M22" s="967" t="n">
        <x:v>0</x:v>
      </x:c>
      <x:c r="N22" s="967" t="str"/>
      <x:c r="O22" s="967" t="str"/>
      <x:c r="P22" s="967" t="str">
        <x:f>IF(OR(E22&lt;0,F22&lt;G22),"FAIL","PASS")</x:f>
        <x:v>PASS</x:v>
      </x:c>
    </x:row>
    <x:row r="23" ht="15" hidden="0" customHeight="1">
      <x:c r="A23" s="967" t="n">
        <x:v>8</x:v>
      </x:c>
      <x:c r="B23" s="967" t="str">
        <x:v>W2</x:v>
      </x:c>
      <x:c r="C23" s="967" t="str">
        <x:v>폭풍발견/기본준비</x:v>
      </x:c>
      <x:c r="D23" s="967" t="n">
        <x:v>7</x:v>
      </x:c>
      <x:c r="E23" s="967" t="n">
        <x:f>14-D23</x:f>
        <x:v>7</x:v>
      </x:c>
      <x:c r="F23" s="967" t="n">
        <x:f>MIN(5,I22+1)</x:f>
        <x:v>5</x:v>
      </x:c>
      <x:c r="G23" s="967" t="n">
        <x:v>0</x:v>
      </x:c>
      <x:c r="H23" s="967" t="n">
        <x:v>0</x:v>
      </x:c>
      <x:c r="I23" s="967" t="n">
        <x:f>MAX(0,MIN(5,F23-G23+H23))</x:f>
        <x:v>5</x:v>
      </x:c>
      <x:c r="J23" s="967" t="n">
        <x:v>0</x:v>
      </x:c>
      <x:c r="K23" s="967" t="n">
        <x:f>K22+J23</x:f>
        <x:v>0</x:v>
      </x:c>
      <x:c r="L23" s="967" t="n">
        <x:v>0</x:v>
      </x:c>
      <x:c r="M23" s="967" t="n">
        <x:v>0</x:v>
      </x:c>
      <x:c r="N23" s="967" t="str"/>
      <x:c r="O23" s="967" t="str"/>
      <x:c r="P23" s="967" t="str">
        <x:f>IF(OR(E23&lt;0,F23&lt;G23),"FAIL","PASS")</x:f>
        <x:v>PASS</x:v>
      </x:c>
    </x:row>
    <x:row r="24" ht="15" hidden="0" customHeight="1">
      <x:c r="A24" s="967" t="n">
        <x:v>9</x:v>
      </x:c>
      <x:c r="B24" s="967" t="str">
        <x:v>W2</x:v>
      </x:c>
      <x:c r="C24" s="967" t="str">
        <x:v>피난+수리</x:v>
      </x:c>
      <x:c r="D24" s="967" t="n">
        <x:v>8</x:v>
      </x:c>
      <x:c r="E24" s="967" t="n">
        <x:f>14-D24</x:f>
        <x:v>6</x:v>
      </x:c>
      <x:c r="F24" s="967" t="n">
        <x:f>MIN(5,I23+1)</x:f>
        <x:v>5</x:v>
      </x:c>
      <x:c r="G24" s="967" t="n">
        <x:v>0</x:v>
      </x:c>
      <x:c r="H24" s="967" t="n">
        <x:v>0</x:v>
      </x:c>
      <x:c r="I24" s="967" t="n">
        <x:f>MAX(0,MIN(5,F24-G24+H24))</x:f>
        <x:v>5</x:v>
      </x:c>
      <x:c r="J24" s="967" t="n">
        <x:v>1</x:v>
      </x:c>
      <x:c r="K24" s="967" t="n">
        <x:f>K23+J24</x:f>
        <x:v>1</x:v>
      </x:c>
      <x:c r="L24" s="967" t="n">
        <x:v>0</x:v>
      </x:c>
      <x:c r="M24" s="967" t="n">
        <x:v>0</x:v>
      </x:c>
      <x:c r="N24" s="967" t="str"/>
      <x:c r="O24" s="967" t="str"/>
      <x:c r="P24" s="967" t="str">
        <x:f>IF(OR(E24&lt;0,F24&lt;G24),"FAIL","PASS")</x:f>
        <x:v>PASS</x:v>
      </x:c>
    </x:row>
    <x:row r="25" ht="15" hidden="0" customHeight="1">
      <x:c r="A25" s="967" t="n">
        <x:v>10</x:v>
      </x:c>
      <x:c r="B25" s="967" t="str">
        <x:v>W2</x:v>
      </x:c>
      <x:c r="C25" s="967" t="str">
        <x:v>대피+선택 Character</x:v>
      </x:c>
      <x:c r="D25" s="967" t="n">
        <x:v>6</x:v>
      </x:c>
      <x:c r="E25" s="967" t="n">
        <x:f>14-D25</x:f>
        <x:v>8</x:v>
      </x:c>
      <x:c r="F25" s="967" t="n">
        <x:f>MIN(5,I24+1)</x:f>
        <x:v>5</x:v>
      </x:c>
      <x:c r="G25" s="967" t="n">
        <x:v>0</x:v>
      </x:c>
      <x:c r="H25" s="967" t="n">
        <x:v>0</x:v>
      </x:c>
      <x:c r="I25" s="967" t="n">
        <x:f>MAX(0,MIN(5,F25-G25+H25))</x:f>
        <x:v>5</x:v>
      </x:c>
      <x:c r="J25" s="967" t="n">
        <x:v>1</x:v>
      </x:c>
      <x:c r="K25" s="967" t="n">
        <x:f>K24+J25</x:f>
        <x:v>2</x:v>
      </x:c>
      <x:c r="L25" s="967" t="n">
        <x:v>0</x:v>
      </x:c>
      <x:c r="M25" s="967" t="n">
        <x:v>0</x:v>
      </x:c>
      <x:c r="N25" s="967" t="str"/>
      <x:c r="O25" s="967" t="str"/>
      <x:c r="P25" s="967" t="str">
        <x:f>IF(OR(E25&lt;0,F25&lt;G25),"FAIL","PASS")</x:f>
        <x:v>PASS</x:v>
      </x:c>
    </x:row>
    <x:row r="26" ht="15" hidden="0" customHeight="1">
      <x:c r="A26" s="967" t="n">
        <x:v>11</x:v>
      </x:c>
      <x:c r="B26" s="967" t="str">
        <x:v>W2</x:v>
      </x:c>
      <x:c r="C26" s="967" t="str">
        <x:v>대피+축제/일상</x:v>
      </x:c>
      <x:c r="D26" s="967" t="n">
        <x:v>7</x:v>
      </x:c>
      <x:c r="E26" s="967" t="n">
        <x:f>14-D26</x:f>
        <x:v>7</x:v>
      </x:c>
      <x:c r="F26" s="967" t="n">
        <x:f>MIN(5,I25+1)</x:f>
        <x:v>5</x:v>
      </x:c>
      <x:c r="G26" s="967" t="n">
        <x:v>0</x:v>
      </x:c>
      <x:c r="H26" s="967" t="n">
        <x:v>0</x:v>
      </x:c>
      <x:c r="I26" s="967" t="n">
        <x:f>MAX(0,MIN(5,F26-G26+H26))</x:f>
        <x:v>5</x:v>
      </x:c>
      <x:c r="J26" s="967" t="n">
        <x:v>0</x:v>
      </x:c>
      <x:c r="K26" s="967" t="n">
        <x:f>K25+J26</x:f>
        <x:v>2</x:v>
      </x:c>
      <x:c r="L26" s="967" t="n">
        <x:v>0</x:v>
      </x:c>
      <x:c r="M26" s="967" t="n">
        <x:v>0</x:v>
      </x:c>
      <x:c r="N26" s="967" t="str"/>
      <x:c r="O26" s="967" t="str"/>
      <x:c r="P26" s="967" t="str">
        <x:f>IF(OR(E26&lt;0,F26&lt;G26),"FAIL","PASS")</x:f>
        <x:v>PASS</x:v>
      </x:c>
    </x:row>
    <x:row r="27" ht="15" hidden="0" customHeight="1">
      <x:c r="A27" s="967" t="n">
        <x:v>12</x:v>
      </x:c>
      <x:c r="B27" s="967" t="str">
        <x:v>W2</x:v>
      </x:c>
      <x:c r="C27" s="967" t="str">
        <x:v>생명유지+수리</x:v>
      </x:c>
      <x:c r="D27" s="967" t="n">
        <x:v>7</x:v>
      </x:c>
      <x:c r="E27" s="967" t="n">
        <x:f>14-D27</x:f>
        <x:v>7</x:v>
      </x:c>
      <x:c r="F27" s="967" t="n">
        <x:f>MIN(5,I26+1)</x:f>
        <x:v>5</x:v>
      </x:c>
      <x:c r="G27" s="967" t="n">
        <x:v>0</x:v>
      </x:c>
      <x:c r="H27" s="967" t="n">
        <x:v>0</x:v>
      </x:c>
      <x:c r="I27" s="967" t="n">
        <x:f>MAX(0,MIN(5,F27-G27+H27))</x:f>
        <x:v>5</x:v>
      </x:c>
      <x:c r="J27" s="967" t="n">
        <x:v>1</x:v>
      </x:c>
      <x:c r="K27" s="967" t="n">
        <x:f>K26+J27</x:f>
        <x:v>3</x:v>
      </x:c>
      <x:c r="L27" s="967" t="n">
        <x:v>0</x:v>
      </x:c>
      <x:c r="M27" s="967" t="n">
        <x:v>0</x:v>
      </x:c>
      <x:c r="N27" s="967" t="str"/>
      <x:c r="O27" s="967" t="str"/>
      <x:c r="P27" s="967" t="str">
        <x:f>IF(OR(E27&lt;0,F27&lt;G27),"FAIL","PASS")</x:f>
        <x:v>PASS</x:v>
      </x:c>
    </x:row>
    <x:row r="28" ht="15" hidden="0" customHeight="1">
      <x:c r="A28" s="967" t="n">
        <x:v>13</x:v>
      </x:c>
      <x:c r="B28" s="967" t="str">
        <x:v>W2</x:v>
      </x:c>
      <x:c r="C28" s="967" t="str">
        <x:v>최종준비+일상</x:v>
      </x:c>
      <x:c r="D28" s="967" t="n">
        <x:v>7</x:v>
      </x:c>
      <x:c r="E28" s="967" t="n">
        <x:f>14-D28</x:f>
        <x:v>7</x:v>
      </x:c>
      <x:c r="F28" s="967" t="n">
        <x:f>MIN(5,I27+1)</x:f>
        <x:v>5</x:v>
      </x:c>
      <x:c r="G28" s="967" t="n">
        <x:v>0</x:v>
      </x:c>
      <x:c r="H28" s="967" t="n">
        <x:v>0</x:v>
      </x:c>
      <x:c r="I28" s="967" t="n">
        <x:f>MAX(0,MIN(5,F28-G28+H28))</x:f>
        <x:v>5</x:v>
      </x:c>
      <x:c r="J28" s="967" t="n">
        <x:v>1</x:v>
      </x:c>
      <x:c r="K28" s="967" t="n">
        <x:f>K27+J28</x:f>
        <x:v>4</x:v>
      </x:c>
      <x:c r="L28" s="967" t="n">
        <x:v>0</x:v>
      </x:c>
      <x:c r="M28" s="967" t="n">
        <x:v>0</x:v>
      </x:c>
      <x:c r="N28" s="967" t="str"/>
      <x:c r="O28" s="967" t="str"/>
      <x:c r="P28" s="967" t="str">
        <x:f>IF(OR(E28&lt;0,F28&lt;G28),"FAIL","PASS")</x:f>
        <x:v>PASS</x:v>
      </x:c>
    </x:row>
    <x:row r="29" ht="15" hidden="0" customHeight="1">
      <x:c r="A29" s="967" t="n">
        <x:v>14</x:v>
      </x:c>
      <x:c r="B29" s="967" t="str">
        <x:v>W2</x:v>
      </x:c>
      <x:c r="C29" s="967" t="str">
        <x:v>봉쇄+수리</x:v>
      </x:c>
      <x:c r="D29" s="967" t="n">
        <x:v>8</x:v>
      </x:c>
      <x:c r="E29" s="967" t="n">
        <x:f>14-D29</x:f>
        <x:v>6</x:v>
      </x:c>
      <x:c r="F29" s="967" t="n">
        <x:f>MIN(5,I28+1)</x:f>
        <x:v>5</x:v>
      </x:c>
      <x:c r="G29" s="967" t="n">
        <x:v>0</x:v>
      </x:c>
      <x:c r="H29" s="967" t="n">
        <x:v>0</x:v>
      </x:c>
      <x:c r="I29" s="967" t="n">
        <x:f>MAX(0,MIN(5,F29-G29+H29))</x:f>
        <x:v>5</x:v>
      </x:c>
      <x:c r="J29" s="967" t="n">
        <x:v>1</x:v>
      </x:c>
      <x:c r="K29" s="967" t="n">
        <x:f>K28+J29</x:f>
        <x:v>5</x:v>
      </x:c>
      <x:c r="L29" s="967" t="n">
        <x:v>0</x:v>
      </x:c>
      <x:c r="M29" s="967" t="n">
        <x:v>0</x:v>
      </x:c>
      <x:c r="N29" s="967" t="str"/>
      <x:c r="O29" s="967" t="str">
        <x:v>Shelter PASS / Departure Normal 준비</x:v>
      </x:c>
      <x:c r="P29" s="967" t="str">
        <x:f>IF(OR(E29&lt;0,F29&lt;G29),"FAIL","PASS")</x:f>
        <x:v>PASS</x:v>
      </x:c>
    </x:row>
    <x:row r="30" ht="15" hidden="0" customHeight="1">
      <x:c r="A30" s="967" t="n">
        <x:v>15</x:v>
      </x:c>
      <x:c r="B30" s="967" t="str">
        <x:v>W3</x:v>
      </x:c>
      <x:c r="C30" s="967" t="str">
        <x:v>Wave2 + 수리</x:v>
      </x:c>
      <x:c r="D30" s="967" t="n">
        <x:v>9.5</x:v>
      </x:c>
      <x:c r="E30" s="967" t="n">
        <x:f>14-D30</x:f>
        <x:v>4.5</x:v>
      </x:c>
      <x:c r="F30" s="967" t="n">
        <x:f>MIN(5,I29+1)</x:f>
        <x:v>5</x:v>
      </x:c>
      <x:c r="G30" s="967" t="n">
        <x:v>3</x:v>
      </x:c>
      <x:c r="H30" s="967" t="n">
        <x:v>0</x:v>
      </x:c>
      <x:c r="I30" s="967" t="n">
        <x:f>MAX(0,MIN(5,F30-G30+H30))</x:f>
        <x:v>2</x:v>
      </x:c>
      <x:c r="J30" s="967" t="n">
        <x:v>1</x:v>
      </x:c>
      <x:c r="K30" s="967" t="n">
        <x:f>K29+J30</x:f>
        <x:v>6</x:v>
      </x:c>
      <x:c r="L30" s="967" t="n">
        <x:v>0</x:v>
      </x:c>
      <x:c r="M30" s="967" t="n">
        <x:v>0</x:v>
      </x:c>
      <x:c r="N30" s="967" t="str"/>
      <x:c r="O30" s="967" t="str"/>
      <x:c r="P30" s="967" t="str">
        <x:f>IF(OR(E30&lt;0,F30&lt;G30),"FAIL","PASS")</x:f>
        <x:v>PASS</x:v>
      </x:c>
    </x:row>
    <x:row r="31" ht="15" hidden="0" customHeight="1">
      <x:c r="A31" s="967" t="n">
        <x:v>16</x:v>
      </x:c>
      <x:c r="B31" s="967" t="str">
        <x:v>W3</x:v>
      </x:c>
      <x:c r="C31" s="967" t="str">
        <x:v>회복일+수리</x:v>
      </x:c>
      <x:c r="D31" s="967" t="n">
        <x:v>6</x:v>
      </x:c>
      <x:c r="E31" s="967" t="n">
        <x:f>14-D31</x:f>
        <x:v>8</x:v>
      </x:c>
      <x:c r="F31" s="967" t="n">
        <x:f>MIN(5,I30+1)</x:f>
        <x:v>3</x:v>
      </x:c>
      <x:c r="G31" s="967" t="n">
        <x:v>0</x:v>
      </x:c>
      <x:c r="H31" s="967" t="n">
        <x:v>0</x:v>
      </x:c>
      <x:c r="I31" s="967" t="n">
        <x:f>MAX(0,MIN(5,F31-G31+H31))</x:f>
        <x:v>3</x:v>
      </x:c>
      <x:c r="J31" s="967" t="n">
        <x:v>1</x:v>
      </x:c>
      <x:c r="K31" s="967" t="n">
        <x:f>K30+J31</x:f>
        <x:v>7</x:v>
      </x:c>
      <x:c r="L31" s="967" t="n">
        <x:v>0</x:v>
      </x:c>
      <x:c r="M31" s="967" t="n">
        <x:v>0</x:v>
      </x:c>
      <x:c r="N31" s="967" t="str"/>
      <x:c r="O31" s="967" t="str"/>
      <x:c r="P31" s="967" t="str">
        <x:f>IF(OR(E31&lt;0,F31&lt;G31),"FAIL","PASS")</x:f>
        <x:v>PASS</x:v>
      </x:c>
    </x:row>
    <x:row r="32" ht="15" hidden="0" customHeight="1">
      <x:c r="A32" s="967" t="n">
        <x:v>17</x:v>
      </x:c>
      <x:c r="B32" s="967" t="str">
        <x:v>W3</x:v>
      </x:c>
      <x:c r="C32" s="967" t="str">
        <x:v>Wave2 + 수리</x:v>
      </x:c>
      <x:c r="D32" s="967" t="n">
        <x:v>8.5</x:v>
      </x:c>
      <x:c r="E32" s="967" t="n">
        <x:f>14-D32</x:f>
        <x:v>5.5</x:v>
      </x:c>
      <x:c r="F32" s="967" t="n">
        <x:f>MIN(5,I31+1)</x:f>
        <x:v>4</x:v>
      </x:c>
      <x:c r="G32" s="967" t="n">
        <x:v>3</x:v>
      </x:c>
      <x:c r="H32" s="967" t="n">
        <x:v>0</x:v>
      </x:c>
      <x:c r="I32" s="967" t="n">
        <x:f>MAX(0,MIN(5,F32-G32+H32))</x:f>
        <x:v>1</x:v>
      </x:c>
      <x:c r="J32" s="967" t="n">
        <x:v>1</x:v>
      </x:c>
      <x:c r="K32" s="967" t="n">
        <x:f>K31+J32</x:f>
        <x:v>8</x:v>
      </x:c>
      <x:c r="L32" s="967" t="n">
        <x:v>0</x:v>
      </x:c>
      <x:c r="M32" s="967" t="n">
        <x:v>0</x:v>
      </x:c>
      <x:c r="N32" s="967" t="str"/>
      <x:c r="O32" s="967" t="str"/>
      <x:c r="P32" s="967" t="str">
        <x:f>IF(OR(E32&lt;0,F32&lt;G32),"FAIL","PASS")</x:f>
        <x:v>PASS</x:v>
      </x:c>
    </x:row>
    <x:row r="33" ht="15" hidden="0" customHeight="1">
      <x:c r="A33" s="967" t="n">
        <x:v>18</x:v>
      </x:c>
      <x:c r="B33" s="967" t="str">
        <x:v>W3</x:v>
      </x:c>
      <x:c r="C33" s="967" t="str">
        <x:v>일상 Final 일부</x:v>
      </x:c>
      <x:c r="D33" s="967" t="n">
        <x:v>4</x:v>
      </x:c>
      <x:c r="E33" s="967" t="n">
        <x:f>14-D33</x:f>
        <x:v>10</x:v>
      </x:c>
      <x:c r="F33" s="967" t="n">
        <x:f>MIN(5,I32+1)</x:f>
        <x:v>2</x:v>
      </x:c>
      <x:c r="G33" s="967" t="n">
        <x:v>0</x:v>
      </x:c>
      <x:c r="H33" s="967" t="n">
        <x:v>0</x:v>
      </x:c>
      <x:c r="I33" s="967" t="n">
        <x:f>MAX(0,MIN(5,F33-G33+H33))</x:f>
        <x:v>2</x:v>
      </x:c>
      <x:c r="J33" s="967" t="n">
        <x:v>0</x:v>
      </x:c>
      <x:c r="K33" s="967" t="n">
        <x:f>K32+J33</x:f>
        <x:v>8</x:v>
      </x:c>
      <x:c r="L33" s="967" t="n">
        <x:v>0</x:v>
      </x:c>
      <x:c r="M33" s="967" t="n">
        <x:v>0</x:v>
      </x:c>
      <x:c r="N33" s="967" t="str"/>
      <x:c r="O33" s="967" t="str"/>
      <x:c r="P33" s="967" t="str">
        <x:f>IF(OR(E33&lt;0,F33&lt;G33),"FAIL","PASS")</x:f>
        <x:v>PASS</x:v>
      </x:c>
    </x:row>
    <x:row r="34" ht="15" hidden="0" customHeight="1">
      <x:c r="A34" s="967" t="n">
        <x:v>19</x:v>
      </x:c>
      <x:c r="B34" s="967" t="str">
        <x:v>W3</x:v>
      </x:c>
      <x:c r="C34" s="967" t="str">
        <x:v>Boss3 동시</x:v>
      </x:c>
      <x:c r="D34" s="967" t="n">
        <x:v>6.5</x:v>
      </x:c>
      <x:c r="E34" s="967" t="n">
        <x:f>14-D34</x:f>
        <x:v>7.5</x:v>
      </x:c>
      <x:c r="F34" s="967" t="n">
        <x:f>MIN(5,I33+1)</x:f>
        <x:v>3</x:v>
      </x:c>
      <x:c r="G34" s="967" t="n">
        <x:v>2</x:v>
      </x:c>
      <x:c r="H34" s="967" t="n">
        <x:v>0</x:v>
      </x:c>
      <x:c r="I34" s="967" t="n">
        <x:f>MAX(0,MIN(5,F34-G34+H34))</x:f>
        <x:v>1</x:v>
      </x:c>
      <x:c r="J34" s="967" t="n">
        <x:v>0</x:v>
      </x:c>
      <x:c r="K34" s="967" t="n">
        <x:f>K33+J34</x:f>
        <x:v>8</x:v>
      </x:c>
      <x:c r="L34" s="967" t="n">
        <x:v>0</x:v>
      </x:c>
      <x:c r="M34" s="967" t="n">
        <x:v>0</x:v>
      </x:c>
      <x:c r="N34" s="967" t="str"/>
      <x:c r="O34" s="967" t="str">
        <x:v>Boss: 1~2 Tick 감수, Freezer 성공 가정</x:v>
      </x:c>
      <x:c r="P34" s="967" t="str">
        <x:f>IF(OR(E34&lt;0,F34&lt;G34),"FAIL","PASS")</x:f>
        <x:v>PASS</x:v>
      </x:c>
    </x:row>
    <x:row r="35" ht="15" hidden="0" customHeight="1">
      <x:c r="A35" s="967" t="n">
        <x:v>20</x:v>
      </x:c>
      <x:c r="B35" s="967" t="str">
        <x:v>W3</x:v>
      </x:c>
      <x:c r="C35" s="967" t="str">
        <x:v>후유증+수리</x:v>
      </x:c>
      <x:c r="D35" s="967" t="n">
        <x:v>5</x:v>
      </x:c>
      <x:c r="E35" s="967" t="n">
        <x:f>14-D35</x:f>
        <x:v>9</x:v>
      </x:c>
      <x:c r="F35" s="967" t="n">
        <x:f>MIN(5,I34+1)</x:f>
        <x:v>2</x:v>
      </x:c>
      <x:c r="G35" s="967" t="n">
        <x:v>0</x:v>
      </x:c>
      <x:c r="H35" s="967" t="n">
        <x:v>0</x:v>
      </x:c>
      <x:c r="I35" s="967" t="n">
        <x:f>MAX(0,MIN(5,F35-G35+H35))</x:f>
        <x:v>2</x:v>
      </x:c>
      <x:c r="J35" s="967" t="n">
        <x:v>1</x:v>
      </x:c>
      <x:c r="K35" s="967" t="n">
        <x:f>K34+J35</x:f>
        <x:v>9</x:v>
      </x:c>
      <x:c r="L35" s="967" t="n">
        <x:v>0</x:v>
      </x:c>
      <x:c r="M35" s="967" t="n">
        <x:v>0</x:v>
      </x:c>
      <x:c r="N35" s="967" t="str"/>
      <x:c r="O35" s="967" t="str"/>
      <x:c r="P35" s="967" t="str">
        <x:f>IF(OR(E35&lt;0,F35&lt;G35),"FAIL","PASS")</x:f>
        <x:v>PASS</x:v>
      </x:c>
    </x:row>
    <x:row r="36" ht="21.600000381469727" hidden="0" customHeight="1">
      <x:c r="A36" s="967" t="n">
        <x:v>21</x:v>
      </x:c>
      <x:c r="B36" s="967" t="str">
        <x:v>W3</x:v>
      </x:c>
      <x:c r="C36" s="967" t="str">
        <x:v>Ending</x:v>
      </x:c>
      <x:c r="D36" s="967" t="n">
        <x:v>5</x:v>
      </x:c>
      <x:c r="E36" s="967" t="n">
        <x:f>14-D36</x:f>
        <x:v>9</x:v>
      </x:c>
      <x:c r="F36" s="967" t="n">
        <x:f>MIN(5,I35+1)</x:f>
        <x:v>3</x:v>
      </x:c>
      <x:c r="G36" s="967" t="n">
        <x:v>0</x:v>
      </x:c>
      <x:c r="H36" s="967" t="n">
        <x:v>0</x:v>
      </x:c>
      <x:c r="I36" s="967" t="n">
        <x:f>MAX(0,MIN(5,F36-G36+H36))</x:f>
        <x:v>3</x:v>
      </x:c>
      <x:c r="J36" s="967" t="n">
        <x:v>0</x:v>
      </x:c>
      <x:c r="K36" s="967" t="n">
        <x:f>K35+J36</x:f>
        <x:v>9</x:v>
      </x:c>
      <x:c r="L36" s="967" t="n">
        <x:v>0</x:v>
      </x:c>
      <x:c r="M36" s="967" t="n">
        <x:v>0</x:v>
      </x:c>
      <x:c r="N36" s="967" t="str"/>
      <x:c r="O36" s="967" t="str">
        <x:v>Ship Normal / Sustainability LOW → Normal1</x:v>
      </x:c>
      <x:c r="P36" s="967" t="str">
        <x:f>IF(OR(E36&lt;0,F36&lt;G36),"FAIL","PASS")</x:f>
        <x:v>PASS</x:v>
      </x:c>
    </x:row>
    <x:row r="37" ht="15" hidden="0" customHeight="1">
      <x:c r="A37" s="969" t="str">
        <x:v>합계</x:v>
      </x:c>
      <x:c r="B37" s="969"/>
      <x:c r="C37" s="969" t="str"/>
      <x:c r="D37" s="969" t="n">
        <x:f>SUM(D16:D36)</x:f>
        <x:v>143.5</x:v>
      </x:c>
      <x:c r="E37" s="969" t="n">
        <x:f>SUM(E16:E36)</x:f>
        <x:v>150.5</x:v>
      </x:c>
      <x:c r="F37" s="969"/>
      <x:c r="G37" s="969" t="n">
        <x:f>SUM(G16:G36)</x:f>
        <x:v>8</x:v>
      </x:c>
      <x:c r="H37" s="969" t="n">
        <x:f>SUM(H16:H36)</x:f>
        <x:v>0</x:v>
      </x:c>
      <x:c r="I37" s="969"/>
      <x:c r="J37" s="969" t="n">
        <x:f>SUM(J16:J36)</x:f>
        <x:v>9</x:v>
      </x:c>
      <x:c r="K37" s="969"/>
      <x:c r="L37" s="969" t="n">
        <x:f>SUM(L16:L36)</x:f>
        <x:v>0</x:v>
      </x:c>
      <x:c r="M37" s="969" t="n">
        <x:f>SUM(M16:M36)</x:f>
        <x:v>0</x:v>
      </x:c>
      <x:c r="N37" s="969" t="str"/>
      <x:c r="O37" s="969" t="str"/>
      <x:c r="P37" s="969" t="str">
        <x:f>IF(COUNTIF(P16:P36,"FAIL")=0,"TIME/WILL PASS","FAIL")</x:f>
        <x:v>TIME/WILL PASS</x:v>
      </x:c>
    </x:row>
    <x:row r="38" ht="15" hidden="0" customHeight="1">
      <x:c r="A38" s="967"/>
      <x:c r="B38" s="967"/>
      <x:c r="C38" s="967"/>
      <x:c r="D38" s="967"/>
      <x:c r="E38" s="967"/>
      <x:c r="F38" s="967"/>
      <x:c r="G38" s="967"/>
      <x:c r="H38" s="967"/>
      <x:c r="I38" s="967"/>
      <x:c r="J38" s="967"/>
      <x:c r="K38" s="967"/>
      <x:c r="L38" s="967"/>
      <x:c r="M38" s="967"/>
      <x:c r="N38" s="967"/>
      <x:c r="O38" s="967"/>
      <x:c r="P38" s="967"/>
    </x:row>
    <x:row r="39" ht="26" hidden="0" customHeight="1">
      <x:c r="A39" s="980" t="str">
        <x:v>2B. True 대표 Route — Faye Focus + All Alive + Pre-Boss Finals</x:v>
      </x:c>
      <x:c r="B39" s="980"/>
      <x:c r="C39" s="980"/>
      <x:c r="D39" s="980"/>
      <x:c r="E39" s="980"/>
      <x:c r="F39" s="980"/>
      <x:c r="G39" s="980"/>
      <x:c r="H39" s="980"/>
      <x:c r="I39" s="980"/>
      <x:c r="J39" s="980"/>
      <x:c r="K39" s="980"/>
      <x:c r="L39" s="980"/>
      <x:c r="M39" s="980"/>
      <x:c r="N39" s="980"/>
      <x:c r="O39" s="980"/>
      <x:c r="P39" s="980"/>
      <x:c r="Q39" s="426"/>
      <x:c r="R39" s="426"/>
    </x:row>
    <x:row r="40" ht="30" hidden="0" customHeight="1">
      <x:c r="A40" s="983" t="str">
        <x:v>Day</x:v>
      </x:c>
      <x:c r="B40" s="983" t="str">
        <x:v>Week</x:v>
      </x:c>
      <x:c r="C40" s="983" t="str">
        <x:v>핵심 계획</x:v>
      </x:c>
      <x:c r="D40" s="983" t="str">
        <x:v>계획 h</x:v>
      </x:c>
      <x:c r="E40" s="983" t="str">
        <x:v>자유 h</x:v>
      </x:c>
      <x:c r="F40" s="983" t="str">
        <x:v>Will 시작</x:v>
      </x:c>
      <x:c r="G40" s="983" t="str">
        <x:v>Will 사용</x:v>
      </x:c>
      <x:c r="H40" s="983" t="str">
        <x:v>Will 회복</x:v>
      </x:c>
      <x:c r="I40" s="983" t="str">
        <x:v>Will 종료</x:v>
      </x:c>
      <x:c r="J40" s="983" t="str">
        <x:v>Repair Δ</x:v>
      </x:c>
      <x:c r="K40" s="983" t="str">
        <x:v>Repair 누적</x:v>
      </x:c>
      <x:c r="L40" s="983" t="str">
        <x:v>Oasis</x:v>
      </x:c>
      <x:c r="M40" s="983" t="str">
        <x:v>Settlement</x:v>
      </x:c>
      <x:c r="N40" s="983" t="str">
        <x:v>Mastery/Final</x:v>
      </x:c>
      <x:c r="O40" s="983" t="str">
        <x:v>통합 상태</x:v>
      </x:c>
      <x:c r="P40" s="983" t="str">
        <x:v>Day 판정</x:v>
      </x:c>
    </x:row>
    <x:row r="41" ht="15" hidden="0" customHeight="1">
      <x:c r="A41" s="967" t="n">
        <x:v>1</x:v>
      </x:c>
      <x:c r="B41" s="967" t="str">
        <x:v>W1</x:v>
      </x:c>
      <x:c r="C41" s="967" t="str">
        <x:v>벤자민 Seed+배 확인</x:v>
      </x:c>
      <x:c r="D41" s="967" t="n">
        <x:v>6</x:v>
      </x:c>
      <x:c r="E41" s="967" t="n">
        <x:f>14-D41</x:f>
        <x:v>8</x:v>
      </x:c>
      <x:c r="F41" s="967" t="n">
        <x:v>5</x:v>
      </x:c>
      <x:c r="G41" s="967" t="n">
        <x:v>0</x:v>
      </x:c>
      <x:c r="H41" s="967" t="n">
        <x:v>0</x:v>
      </x:c>
      <x:c r="I41" s="967" t="n">
        <x:f>MAX(0,MIN(5,F41-G41+H41))</x:f>
        <x:v>5</x:v>
      </x:c>
      <x:c r="J41" s="967" t="n">
        <x:v>0</x:v>
      </x:c>
      <x:c r="K41" s="967" t="n">
        <x:f>J41</x:f>
        <x:v>0</x:v>
      </x:c>
      <x:c r="L41" s="967" t="n">
        <x:v>0</x:v>
      </x:c>
      <x:c r="M41" s="967" t="n">
        <x:v>0</x:v>
      </x:c>
      <x:c r="N41" s="967" t="str"/>
      <x:c r="O41" s="967" t="str"/>
      <x:c r="P41" s="967" t="str">
        <x:f>IF(OR(E41&lt;0,F41&lt;G41),"FAIL","PASS")</x:f>
        <x:v>PASS</x:v>
      </x:c>
    </x:row>
    <x:row r="42" ht="15" hidden="0" customHeight="1">
      <x:c r="A42" s="967" t="n">
        <x:v>2</x:v>
      </x:c>
      <x:c r="B42" s="967" t="str">
        <x:v>W1</x:v>
      </x:c>
      <x:c r="C42" s="967" t="str">
        <x:v>지나/디야/페이 Seed</x:v>
      </x:c>
      <x:c r="D42" s="967" t="n">
        <x:v>9.5</x:v>
      </x:c>
      <x:c r="E42" s="967" t="n">
        <x:f>14-D42</x:f>
        <x:v>4.5</x:v>
      </x:c>
      <x:c r="F42" s="967" t="n">
        <x:f>MIN(5,I41+1)</x:f>
        <x:v>5</x:v>
      </x:c>
      <x:c r="G42" s="967" t="n">
        <x:v>0</x:v>
      </x:c>
      <x:c r="H42" s="967" t="n">
        <x:v>0</x:v>
      </x:c>
      <x:c r="I42" s="967" t="n">
        <x:f>MAX(0,MIN(5,F42-G42+H42))</x:f>
        <x:v>5</x:v>
      </x:c>
      <x:c r="J42" s="967" t="n">
        <x:v>0</x:v>
      </x:c>
      <x:c r="K42" s="967" t="n">
        <x:f>K41+J42</x:f>
        <x:v>0</x:v>
      </x:c>
      <x:c r="L42" s="967" t="n">
        <x:v>0</x:v>
      </x:c>
      <x:c r="M42" s="967" t="n">
        <x:v>0</x:v>
      </x:c>
      <x:c r="N42" s="967" t="str"/>
      <x:c r="O42" s="967" t="str"/>
      <x:c r="P42" s="967" t="str">
        <x:f>IF(OR(E42&lt;0,F42&lt;G42),"FAIL","PASS")</x:f>
        <x:v>PASS</x:v>
      </x:c>
    </x:row>
    <x:row r="43" ht="15" hidden="0" customHeight="1">
      <x:c r="A43" s="967" t="n">
        <x:v>3</x:v>
      </x:c>
      <x:c r="B43" s="967" t="str">
        <x:v>W1</x:v>
      </x:c>
      <x:c r="C43" s="967" t="str">
        <x:v>샘1+수리1+성장</x:v>
      </x:c>
      <x:c r="D43" s="967" t="n">
        <x:v>10</x:v>
      </x:c>
      <x:c r="E43" s="967" t="n">
        <x:f>14-D43</x:f>
        <x:v>4</x:v>
      </x:c>
      <x:c r="F43" s="967" t="n">
        <x:f>MIN(5,I42+1)</x:f>
        <x:v>5</x:v>
      </x:c>
      <x:c r="G43" s="967" t="n">
        <x:v>1</x:v>
      </x:c>
      <x:c r="H43" s="967" t="n">
        <x:v>0</x:v>
      </x:c>
      <x:c r="I43" s="967" t="n">
        <x:f>MAX(0,MIN(5,F43-G43+H43))</x:f>
        <x:v>4</x:v>
      </x:c>
      <x:c r="J43" s="967" t="n">
        <x:v>1</x:v>
      </x:c>
      <x:c r="K43" s="967" t="n">
        <x:f>K42+J43</x:f>
        <x:v>1</x:v>
      </x:c>
      <x:c r="L43" s="967" t="n">
        <x:v>0</x:v>
      </x:c>
      <x:c r="M43" s="967" t="n">
        <x:v>0</x:v>
      </x:c>
      <x:c r="N43" s="967" t="str"/>
      <x:c r="O43" s="967" t="str"/>
      <x:c r="P43" s="967" t="str">
        <x:f>IF(OR(E43&lt;0,F43&lt;G43),"FAIL","PASS")</x:f>
        <x:v>PASS</x:v>
      </x:c>
    </x:row>
    <x:row r="44" ht="15" hidden="0" customHeight="1">
      <x:c r="A44" s="967" t="n">
        <x:v>4</x:v>
      </x:c>
      <x:c r="B44" s="967" t="str">
        <x:v>W1</x:v>
      </x:c>
      <x:c r="C44" s="967" t="str">
        <x:v>페이 꿈</x:v>
      </x:c>
      <x:c r="D44" s="967" t="n">
        <x:v>7</x:v>
      </x:c>
      <x:c r="E44" s="967" t="n">
        <x:f>14-D44</x:f>
        <x:v>7</x:v>
      </x:c>
      <x:c r="F44" s="967" t="n">
        <x:f>MIN(5,I43+1)</x:f>
        <x:v>5</x:v>
      </x:c>
      <x:c r="G44" s="967" t="n">
        <x:v>0</x:v>
      </x:c>
      <x:c r="H44" s="967" t="n">
        <x:v>0</x:v>
      </x:c>
      <x:c r="I44" s="967" t="n">
        <x:f>MAX(0,MIN(5,F44-G44+H44))</x:f>
        <x:v>5</x:v>
      </x:c>
      <x:c r="J44" s="967" t="n">
        <x:v>0</x:v>
      </x:c>
      <x:c r="K44" s="967" t="n">
        <x:f>K43+J44</x:f>
        <x:v>1</x:v>
      </x:c>
      <x:c r="L44" s="967" t="n">
        <x:v>0</x:v>
      </x:c>
      <x:c r="M44" s="967" t="n">
        <x:v>0</x:v>
      </x:c>
      <x:c r="N44" s="967" t="str"/>
      <x:c r="O44" s="967" t="str"/>
      <x:c r="P44" s="967" t="str">
        <x:f>IF(OR(E44&lt;0,F44&lt;G44),"FAIL","PASS")</x:f>
        <x:v>PASS</x:v>
      </x:c>
    </x:row>
    <x:row r="45" ht="15" hidden="0" customHeight="1">
      <x:c r="A45" s="967" t="n">
        <x:v>5</x:v>
      </x:c>
      <x:c r="B45" s="967" t="str">
        <x:v>W1</x:v>
      </x:c>
      <x:c r="C45" s="967" t="str">
        <x:v>디야 뜨개질</x:v>
      </x:c>
      <x:c r="D45" s="967" t="n">
        <x:v>7</x:v>
      </x:c>
      <x:c r="E45" s="967" t="n">
        <x:f>14-D45</x:f>
        <x:v>7</x:v>
      </x:c>
      <x:c r="F45" s="967" t="n">
        <x:f>MIN(5,I44+1)</x:f>
        <x:v>5</x:v>
      </x:c>
      <x:c r="G45" s="967" t="n">
        <x:v>0</x:v>
      </x:c>
      <x:c r="H45" s="967" t="n">
        <x:v>0</x:v>
      </x:c>
      <x:c r="I45" s="967" t="n">
        <x:f>MAX(0,MIN(5,F45-G45+H45))</x:f>
        <x:v>5</x:v>
      </x:c>
      <x:c r="J45" s="967" t="n">
        <x:v>0</x:v>
      </x:c>
      <x:c r="K45" s="967" t="n">
        <x:f>K44+J45</x:f>
        <x:v>1</x:v>
      </x:c>
      <x:c r="L45" s="967" t="n">
        <x:v>0</x:v>
      </x:c>
      <x:c r="M45" s="967" t="n">
        <x:v>0</x:v>
      </x:c>
      <x:c r="N45" s="967" t="str"/>
      <x:c r="O45" s="967" t="str"/>
      <x:c r="P45" s="967" t="str">
        <x:f>IF(OR(E45&lt;0,F45&lt;G45),"FAIL","PASS")</x:f>
        <x:v>PASS</x:v>
      </x:c>
    </x:row>
    <x:row r="46" ht="15" hidden="0" customHeight="1">
      <x:c r="A46" s="967" t="n">
        <x:v>6</x:v>
      </x:c>
      <x:c r="B46" s="967" t="str">
        <x:v>W1</x:v>
      </x:c>
      <x:c r="C46" s="967" t="str">
        <x:v>샘2+Faye Focus</x:v>
      </x:c>
      <x:c r="D46" s="967" t="n">
        <x:v>9</x:v>
      </x:c>
      <x:c r="E46" s="967" t="n">
        <x:f>14-D46</x:f>
        <x:v>5</x:v>
      </x:c>
      <x:c r="F46" s="967" t="n">
        <x:f>MIN(5,I45+1)</x:f>
        <x:v>5</x:v>
      </x:c>
      <x:c r="G46" s="967" t="n">
        <x:v>1</x:v>
      </x:c>
      <x:c r="H46" s="967" t="n">
        <x:v>0</x:v>
      </x:c>
      <x:c r="I46" s="967" t="n">
        <x:f>MAX(0,MIN(5,F46-G46+H46))</x:f>
        <x:v>4</x:v>
      </x:c>
      <x:c r="J46" s="967" t="n">
        <x:v>0</x:v>
      </x:c>
      <x:c r="K46" s="967" t="n">
        <x:f>K45+J46</x:f>
        <x:v>1</x:v>
      </x:c>
      <x:c r="L46" s="967" t="n">
        <x:v>0</x:v>
      </x:c>
      <x:c r="M46" s="967" t="n">
        <x:v>0</x:v>
      </x:c>
      <x:c r="N46" s="967" t="str"/>
      <x:c r="O46" s="967" t="str"/>
      <x:c r="P46" s="967" t="str">
        <x:f>IF(OR(E46&lt;0,F46&lt;G46),"FAIL","PASS")</x:f>
        <x:v>PASS</x:v>
      </x:c>
    </x:row>
    <x:row r="47" ht="15" hidden="0" customHeight="1">
      <x:c r="A47" s="967" t="n">
        <x:v>7</x:v>
      </x:c>
      <x:c r="B47" s="967" t="str">
        <x:v>W1</x:v>
      </x:c>
      <x:c r="C47" s="967" t="str">
        <x:v>Diya Focus</x:v>
      </x:c>
      <x:c r="D47" s="967" t="n">
        <x:v>7</x:v>
      </x:c>
      <x:c r="E47" s="967" t="n">
        <x:f>14-D47</x:f>
        <x:v>7</x:v>
      </x:c>
      <x:c r="F47" s="967" t="n">
        <x:f>MIN(5,I46+1)</x:f>
        <x:v>5</x:v>
      </x:c>
      <x:c r="G47" s="967" t="n">
        <x:v>0</x:v>
      </x:c>
      <x:c r="H47" s="967" t="n">
        <x:v>0</x:v>
      </x:c>
      <x:c r="I47" s="967" t="n">
        <x:f>MAX(0,MIN(5,F47-G47+H47))</x:f>
        <x:v>5</x:v>
      </x:c>
      <x:c r="J47" s="967" t="n">
        <x:v>0</x:v>
      </x:c>
      <x:c r="K47" s="967" t="n">
        <x:f>K46+J47</x:f>
        <x:v>1</x:v>
      </x:c>
      <x:c r="L47" s="967" t="n">
        <x:v>0</x:v>
      </x:c>
      <x:c r="M47" s="967" t="n">
        <x:v>0</x:v>
      </x:c>
      <x:c r="N47" s="967" t="str"/>
      <x:c r="O47" s="967" t="str"/>
      <x:c r="P47" s="967" t="str">
        <x:f>IF(OR(E47&lt;0,F47&lt;G47),"FAIL","PASS")</x:f>
        <x:v>PASS</x:v>
      </x:c>
    </x:row>
    <x:row r="48" ht="21.600000381469727" hidden="0" customHeight="1">
      <x:c r="A48" s="967" t="n">
        <x:v>8</x:v>
      </x:c>
      <x:c r="B48" s="967" t="str">
        <x:v>W2</x:v>
      </x:c>
      <x:c r="C48" s="967" t="str">
        <x:v>폭풍발견+수리+거주1</x:v>
      </x:c>
      <x:c r="D48" s="967" t="n">
        <x:v>11</x:v>
      </x:c>
      <x:c r="E48" s="967" t="n">
        <x:f>14-D48</x:f>
        <x:v>3</x:v>
      </x:c>
      <x:c r="F48" s="967" t="n">
        <x:f>MIN(5,I47+1)</x:f>
        <x:v>5</x:v>
      </x:c>
      <x:c r="G48" s="967" t="n">
        <x:v>0</x:v>
      </x:c>
      <x:c r="H48" s="967" t="n">
        <x:v>0</x:v>
      </x:c>
      <x:c r="I48" s="967" t="n">
        <x:f>MAX(0,MIN(5,F48-G48+H48))</x:f>
        <x:v>5</x:v>
      </x:c>
      <x:c r="J48" s="967" t="n">
        <x:v>1</x:v>
      </x:c>
      <x:c r="K48" s="967" t="n">
        <x:f>K47+J48</x:f>
        <x:v>2</x:v>
      </x:c>
      <x:c r="L48" s="967" t="n">
        <x:v>0</x:v>
      </x:c>
      <x:c r="M48" s="967" t="n">
        <x:v>1</x:v>
      </x:c>
      <x:c r="N48" s="967" t="str"/>
      <x:c r="O48" s="967" t="str"/>
      <x:c r="P48" s="967" t="str">
        <x:f>IF(OR(E48&lt;0,F48&lt;G48),"FAIL","PASS")</x:f>
        <x:v>PASS</x:v>
      </x:c>
    </x:row>
    <x:row r="49" ht="21.600000381469727" hidden="0" customHeight="1">
      <x:c r="A49" s="967" t="n">
        <x:v>9</x:v>
      </x:c>
      <x:c r="B49" s="967" t="str">
        <x:v>W2</x:v>
      </x:c>
      <x:c r="C49" s="967" t="str">
        <x:v>수리+거주2+페이 Beat</x:v>
      </x:c>
      <x:c r="D49" s="967" t="n">
        <x:v>11</x:v>
      </x:c>
      <x:c r="E49" s="967" t="n">
        <x:f>14-D49</x:f>
        <x:v>3</x:v>
      </x:c>
      <x:c r="F49" s="967" t="n">
        <x:f>MIN(5,I48+1)</x:f>
        <x:v>5</x:v>
      </x:c>
      <x:c r="G49" s="967" t="n">
        <x:v>0</x:v>
      </x:c>
      <x:c r="H49" s="967" t="n">
        <x:v>0</x:v>
      </x:c>
      <x:c r="I49" s="967" t="n">
        <x:f>MAX(0,MIN(5,F49-G49+H49))</x:f>
        <x:v>5</x:v>
      </x:c>
      <x:c r="J49" s="967" t="n">
        <x:v>1</x:v>
      </x:c>
      <x:c r="K49" s="967" t="n">
        <x:f>K48+J49</x:f>
        <x:v>3</x:v>
      </x:c>
      <x:c r="L49" s="967" t="n">
        <x:v>0</x:v>
      </x:c>
      <x:c r="M49" s="967" t="n">
        <x:v>1</x:v>
      </x:c>
      <x:c r="N49" s="967" t="str"/>
      <x:c r="O49" s="967" t="str"/>
      <x:c r="P49" s="967" t="str">
        <x:f>IF(OR(E49&lt;0,F49&lt;G49),"FAIL","PASS")</x:f>
        <x:v>PASS</x:v>
      </x:c>
    </x:row>
    <x:row r="50" ht="21.600000381469727" hidden="0" customHeight="1">
      <x:c r="A50" s="967" t="n">
        <x:v>10</x:v>
      </x:c>
      <x:c r="B50" s="967" t="str">
        <x:v>W2</x:v>
      </x:c>
      <x:c r="C50" s="967" t="str">
        <x:v>수리+미라 수색/Jina+Ben Deep</x:v>
      </x:c>
      <x:c r="D50" s="967" t="n">
        <x:v>9.5</x:v>
      </x:c>
      <x:c r="E50" s="967" t="n">
        <x:f>14-D50</x:f>
        <x:v>4.5</x:v>
      </x:c>
      <x:c r="F50" s="967" t="n">
        <x:f>MIN(5,I49+1)</x:f>
        <x:v>5</x:v>
      </x:c>
      <x:c r="G50" s="967" t="n">
        <x:v>0</x:v>
      </x:c>
      <x:c r="H50" s="967" t="n">
        <x:v>0</x:v>
      </x:c>
      <x:c r="I50" s="967" t="n">
        <x:f>MAX(0,MIN(5,F50-G50+H50))</x:f>
        <x:v>5</x:v>
      </x:c>
      <x:c r="J50" s="967" t="n">
        <x:v>1</x:v>
      </x:c>
      <x:c r="K50" s="967" t="n">
        <x:f>K49+J50</x:f>
        <x:v>4</x:v>
      </x:c>
      <x:c r="L50" s="967" t="n">
        <x:v>0</x:v>
      </x:c>
      <x:c r="M50" s="967" t="n">
        <x:v>0</x:v>
      </x:c>
      <x:c r="N50" s="967" t="str"/>
      <x:c r="O50" s="967" t="str"/>
      <x:c r="P50" s="967" t="str">
        <x:f>IF(OR(E50&lt;0,F50&lt;G50),"FAIL","PASS")</x:f>
        <x:v>PASS</x:v>
      </x:c>
    </x:row>
    <x:row r="51" ht="15" hidden="0" customHeight="1">
      <x:c r="A51" s="967" t="n">
        <x:v>11</x:v>
      </x:c>
      <x:c r="B51" s="967" t="str">
        <x:v>W2</x:v>
      </x:c>
      <x:c r="C51" s="967" t="str">
        <x:v>수리+축제+Diya A</x:v>
      </x:c>
      <x:c r="D51" s="967" t="n">
        <x:v>10</x:v>
      </x:c>
      <x:c r="E51" s="967" t="n">
        <x:f>14-D51</x:f>
        <x:v>4</x:v>
      </x:c>
      <x:c r="F51" s="967" t="n">
        <x:f>MIN(5,I50+1)</x:f>
        <x:v>5</x:v>
      </x:c>
      <x:c r="G51" s="967" t="n">
        <x:v>0</x:v>
      </x:c>
      <x:c r="H51" s="967" t="n">
        <x:v>0</x:v>
      </x:c>
      <x:c r="I51" s="967" t="n">
        <x:f>MAX(0,MIN(5,F51-G51+H51))</x:f>
        <x:v>5</x:v>
      </x:c>
      <x:c r="J51" s="967" t="n">
        <x:v>1</x:v>
      </x:c>
      <x:c r="K51" s="967" t="n">
        <x:f>K50+J51</x:f>
        <x:v>5</x:v>
      </x:c>
      <x:c r="L51" s="967" t="n">
        <x:v>0</x:v>
      </x:c>
      <x:c r="M51" s="967" t="n">
        <x:v>0</x:v>
      </x:c>
      <x:c r="N51" s="967" t="str"/>
      <x:c r="O51" s="967" t="str"/>
      <x:c r="P51" s="967" t="str">
        <x:f>IF(OR(E51&lt;0,F51&lt;G51),"FAIL","PASS")</x:f>
        <x:v>PASS</x:v>
      </x:c>
    </x:row>
    <x:row r="52" ht="15" hidden="0" customHeight="1">
      <x:c r="A52" s="967" t="n">
        <x:v>12</x:v>
      </x:c>
      <x:c r="B52" s="967" t="str">
        <x:v>W2</x:v>
      </x:c>
      <x:c r="C52" s="967" t="str">
        <x:v>수리+Ben/Jina</x:v>
      </x:c>
      <x:c r="D52" s="967" t="n">
        <x:v>9.5</x:v>
      </x:c>
      <x:c r="E52" s="967" t="n">
        <x:f>14-D52</x:f>
        <x:v>4.5</x:v>
      </x:c>
      <x:c r="F52" s="967" t="n">
        <x:f>MIN(5,I51+1)</x:f>
        <x:v>5</x:v>
      </x:c>
      <x:c r="G52" s="967" t="n">
        <x:v>0</x:v>
      </x:c>
      <x:c r="H52" s="967" t="n">
        <x:v>0</x:v>
      </x:c>
      <x:c r="I52" s="967" t="n">
        <x:f>MAX(0,MIN(5,F52-G52+H52))</x:f>
        <x:v>5</x:v>
      </x:c>
      <x:c r="J52" s="967" t="n">
        <x:v>1</x:v>
      </x:c>
      <x:c r="K52" s="967" t="n">
        <x:f>K51+J52</x:f>
        <x:v>6</x:v>
      </x:c>
      <x:c r="L52" s="967" t="n">
        <x:v>0</x:v>
      </x:c>
      <x:c r="M52" s="967" t="n">
        <x:v>0</x:v>
      </x:c>
      <x:c r="N52" s="967" t="str"/>
      <x:c r="O52" s="967" t="str"/>
      <x:c r="P52" s="967" t="str">
        <x:f>IF(OR(E52&lt;0,F52&lt;G52),"FAIL","PASS")</x:f>
        <x:v>PASS</x:v>
      </x:c>
    </x:row>
    <x:row r="53" ht="15" hidden="0" customHeight="1">
      <x:c r="A53" s="967" t="n">
        <x:v>13</x:v>
      </x:c>
      <x:c r="B53" s="967" t="str">
        <x:v>W2</x:v>
      </x:c>
      <x:c r="C53" s="967" t="str">
        <x:v>수리+Faye장비+Sam</x:v>
      </x:c>
      <x:c r="D53" s="967" t="n">
        <x:v>9.5</x:v>
      </x:c>
      <x:c r="E53" s="967" t="n">
        <x:f>14-D53</x:f>
        <x:v>4.5</x:v>
      </x:c>
      <x:c r="F53" s="967" t="n">
        <x:f>MIN(5,I52+1)</x:f>
        <x:v>5</x:v>
      </x:c>
      <x:c r="G53" s="967" t="n">
        <x:v>0</x:v>
      </x:c>
      <x:c r="H53" s="967" t="n">
        <x:v>0</x:v>
      </x:c>
      <x:c r="I53" s="967" t="n">
        <x:f>MAX(0,MIN(5,F53-G53+H53))</x:f>
        <x:v>5</x:v>
      </x:c>
      <x:c r="J53" s="967" t="n">
        <x:v>1</x:v>
      </x:c>
      <x:c r="K53" s="967" t="n">
        <x:f>K52+J53</x:f>
        <x:v>7</x:v>
      </x:c>
      <x:c r="L53" s="967" t="n">
        <x:v>0</x:v>
      </x:c>
      <x:c r="M53" s="967" t="n">
        <x:v>0</x:v>
      </x:c>
      <x:c r="N53" s="967" t="str"/>
      <x:c r="O53" s="967" t="str"/>
      <x:c r="P53" s="967" t="str">
        <x:f>IF(OR(E53&lt;0,F53&lt;G53),"FAIL","PASS")</x:f>
        <x:v>PASS</x:v>
      </x:c>
    </x:row>
    <x:row r="54" ht="15" hidden="0" customHeight="1">
      <x:c r="A54" s="967" t="n">
        <x:v>14</x:v>
      </x:c>
      <x:c r="B54" s="967" t="str">
        <x:v>W2</x:v>
      </x:c>
      <x:c r="C54" s="967" t="str">
        <x:v>수리+마감</x:v>
      </x:c>
      <x:c r="D54" s="967" t="n">
        <x:v>10</x:v>
      </x:c>
      <x:c r="E54" s="967" t="n">
        <x:f>14-D54</x:f>
        <x:v>4</x:v>
      </x:c>
      <x:c r="F54" s="967" t="n">
        <x:f>MIN(5,I53+1)</x:f>
        <x:v>5</x:v>
      </x:c>
      <x:c r="G54" s="967" t="n">
        <x:v>0</x:v>
      </x:c>
      <x:c r="H54" s="967" t="n">
        <x:v>0</x:v>
      </x:c>
      <x:c r="I54" s="967" t="n">
        <x:f>MAX(0,MIN(5,F54-G54+H54))</x:f>
        <x:v>5</x:v>
      </x:c>
      <x:c r="J54" s="967" t="n">
        <x:v>1</x:v>
      </x:c>
      <x:c r="K54" s="967" t="n">
        <x:f>K53+J54</x:f>
        <x:v>8</x:v>
      </x:c>
      <x:c r="L54" s="967" t="n">
        <x:v>0</x:v>
      </x:c>
      <x:c r="M54" s="967" t="n">
        <x:v>0</x:v>
      </x:c>
      <x:c r="N54" s="967" t="str"/>
      <x:c r="O54" s="967" t="str">
        <x:v>Shelter PASS / Storm Buffer</x:v>
      </x:c>
      <x:c r="P54" s="967" t="str">
        <x:f>IF(OR(E54&lt;0,F54&lt;G54),"FAIL","PASS")</x:f>
        <x:v>PASS</x:v>
      </x:c>
    </x:row>
    <x:row r="55" ht="15" hidden="0" customHeight="1">
      <x:c r="A55" s="967" t="n">
        <x:v>15</x:v>
      </x:c>
      <x:c r="B55" s="967" t="str">
        <x:v>W3</x:v>
      </x:c>
      <x:c r="C55" s="967" t="str">
        <x:v>Wave2 + 수리</x:v>
      </x:c>
      <x:c r="D55" s="967" t="n">
        <x:v>9.5</x:v>
      </x:c>
      <x:c r="E55" s="967" t="n">
        <x:f>14-D55</x:f>
        <x:v>4.5</x:v>
      </x:c>
      <x:c r="F55" s="967" t="n">
        <x:f>MIN(5,I54+1)</x:f>
        <x:v>5</x:v>
      </x:c>
      <x:c r="G55" s="967" t="n">
        <x:v>4</x:v>
      </x:c>
      <x:c r="H55" s="967" t="n">
        <x:v>0</x:v>
      </x:c>
      <x:c r="I55" s="967" t="n">
        <x:f>MAX(0,MIN(5,F55-G55+H55))</x:f>
        <x:v>1</x:v>
      </x:c>
      <x:c r="J55" s="967" t="n">
        <x:v>1</x:v>
      </x:c>
      <x:c r="K55" s="967" t="n">
        <x:f>K54+J55</x:f>
        <x:v>9</x:v>
      </x:c>
      <x:c r="L55" s="967" t="n">
        <x:v>0</x:v>
      </x:c>
      <x:c r="M55" s="967" t="n">
        <x:v>0</x:v>
      </x:c>
      <x:c r="N55" s="967" t="str"/>
      <x:c r="O55" s="967" t="str"/>
      <x:c r="P55" s="967" t="str">
        <x:f>IF(OR(E55&lt;0,F55&lt;G55),"FAIL","PASS")</x:f>
        <x:v>PASS</x:v>
      </x:c>
    </x:row>
    <x:row r="56" ht="15" hidden="0" customHeight="1">
      <x:c r="A56" s="967" t="n">
        <x:v>16</x:v>
      </x:c>
      <x:c r="B56" s="967" t="str">
        <x:v>W3</x:v>
      </x:c>
      <x:c r="C56" s="967" t="str">
        <x:v>Sam Final+수리</x:v>
      </x:c>
      <x:c r="D56" s="967" t="n">
        <x:v>5</x:v>
      </x:c>
      <x:c r="E56" s="967" t="n">
        <x:f>14-D56</x:f>
        <x:v>9</x:v>
      </x:c>
      <x:c r="F56" s="967" t="n">
        <x:f>MIN(5,I55+1)</x:f>
        <x:v>2</x:v>
      </x:c>
      <x:c r="G56" s="967" t="n">
        <x:v>0</x:v>
      </x:c>
      <x:c r="H56" s="967" t="n">
        <x:v>2</x:v>
      </x:c>
      <x:c r="I56" s="967" t="n">
        <x:f>MAX(0,MIN(5,F56-G56+H56))</x:f>
        <x:v>4</x:v>
      </x:c>
      <x:c r="J56" s="967" t="n">
        <x:v>1</x:v>
      </x:c>
      <x:c r="K56" s="967" t="n">
        <x:f>K55+J56</x:f>
        <x:v>10</x:v>
      </x:c>
      <x:c r="L56" s="967" t="n">
        <x:v>0</x:v>
      </x:c>
      <x:c r="M56" s="967" t="n">
        <x:v>0</x:v>
      </x:c>
      <x:c r="N56" s="967" t="str">
        <x:v>Sam 강인함 +1</x:v>
      </x:c>
      <x:c r="O56" s="967" t="str"/>
      <x:c r="P56" s="967" t="str">
        <x:f>IF(OR(E56&lt;0,F56&lt;G56),"FAIL","PASS")</x:f>
        <x:v>PASS</x:v>
      </x:c>
    </x:row>
    <x:row r="57" ht="15" hidden="0" customHeight="1">
      <x:c r="A57" s="967" t="n">
        <x:v>17</x:v>
      </x:c>
      <x:c r="B57" s="967" t="str">
        <x:v>W3</x:v>
      </x:c>
      <x:c r="C57" s="967" t="str">
        <x:v>Jina Final+Wave2</x:v>
      </x:c>
      <x:c r="D57" s="967" t="n">
        <x:v>8.5</x:v>
      </x:c>
      <x:c r="E57" s="967" t="n">
        <x:f>14-D57</x:f>
        <x:v>5.5</x:v>
      </x:c>
      <x:c r="F57" s="967" t="n">
        <x:f>MIN(5,I56+1)</x:f>
        <x:v>5</x:v>
      </x:c>
      <x:c r="G57" s="967" t="n">
        <x:v>3</x:v>
      </x:c>
      <x:c r="H57" s="967" t="n">
        <x:v>2</x:v>
      </x:c>
      <x:c r="I57" s="967" t="n">
        <x:f>MAX(0,MIN(5,F57-G57+H57))</x:f>
        <x:v>4</x:v>
      </x:c>
      <x:c r="J57" s="967" t="n">
        <x:v>0</x:v>
      </x:c>
      <x:c r="K57" s="967" t="n">
        <x:f>K56+J57</x:f>
        <x:v>10</x:v>
      </x:c>
      <x:c r="L57" s="967" t="n">
        <x:v>0</x:v>
      </x:c>
      <x:c r="M57" s="967" t="n">
        <x:v>0</x:v>
      </x:c>
      <x:c r="N57" s="967" t="str"/>
      <x:c r="O57" s="967" t="str"/>
      <x:c r="P57" s="967" t="str">
        <x:f>IF(OR(E57&lt;0,F57&lt;G57),"FAIL","PASS")</x:f>
        <x:v>PASS</x:v>
      </x:c>
    </x:row>
    <x:row r="58" ht="21.600000381469727" hidden="0" customHeight="1">
      <x:c r="A58" s="967" t="n">
        <x:v>18</x:v>
      </x:c>
      <x:c r="B58" s="967" t="str">
        <x:v>W3</x:v>
      </x:c>
      <x:c r="C58" s="967" t="str">
        <x:v>Diya/Faye/Ben Final</x:v>
      </x:c>
      <x:c r="D58" s="967" t="n">
        <x:v>7</x:v>
      </x:c>
      <x:c r="E58" s="967" t="n">
        <x:f>14-D58</x:f>
        <x:v>7</x:v>
      </x:c>
      <x:c r="F58" s="967" t="n">
        <x:f>MIN(5,I57+1)</x:f>
        <x:v>5</x:v>
      </x:c>
      <x:c r="G58" s="967" t="n">
        <x:v>0</x:v>
      </x:c>
      <x:c r="H58" s="967" t="n">
        <x:v>7</x:v>
      </x:c>
      <x:c r="I58" s="967" t="n">
        <x:f>MAX(0,MIN(5,F58-G58+H58))</x:f>
        <x:v>5</x:v>
      </x:c>
      <x:c r="J58" s="967" t="n">
        <x:v>0</x:v>
      </x:c>
      <x:c r="K58" s="967" t="n">
        <x:f>K57+J58</x:f>
        <x:v>10</x:v>
      </x:c>
      <x:c r="L58" s="967" t="n">
        <x:v>0</x:v>
      </x:c>
      <x:c r="M58" s="967" t="n">
        <x:v>0</x:v>
      </x:c>
      <x:c r="N58" s="967" t="str">
        <x:v>Faye 기술 +1 / Diya 교감 +1</x:v>
      </x:c>
      <x:c r="O58" s="967" t="str">
        <x:v>Jina·Diya LEAVE/UNDECIDED / Faye LEAVE / Ben LEAVE/UNDECIDED</x:v>
      </x:c>
      <x:c r="P58" s="967" t="str">
        <x:f>IF(OR(E58&lt;0,F58&lt;G58),"FAIL","PASS")</x:f>
        <x:v>PASS</x:v>
      </x:c>
    </x:row>
    <x:row r="59" ht="21.600000381469727" hidden="0" customHeight="1">
      <x:c r="A59" s="967" t="n">
        <x:v>19</x:v>
      </x:c>
      <x:c r="B59" s="967" t="str">
        <x:v>W3</x:v>
      </x:c>
      <x:c r="C59" s="967" t="str">
        <x:v>Boss3 동시</x:v>
      </x:c>
      <x:c r="D59" s="967" t="n">
        <x:v>6.5</x:v>
      </x:c>
      <x:c r="E59" s="967" t="n">
        <x:f>14-D59</x:f>
        <x:v>7.5</x:v>
      </x:c>
      <x:c r="F59" s="967" t="n">
        <x:f>MIN(5,I58+1)</x:f>
        <x:v>5</x:v>
      </x:c>
      <x:c r="G59" s="967" t="n">
        <x:v>0</x:v>
      </x:c>
      <x:c r="H59" s="967" t="n">
        <x:v>0</x:v>
      </x:c>
      <x:c r="I59" s="967" t="n">
        <x:f>MAX(0,MIN(5,F59-G59+H59))</x:f>
        <x:v>5</x:v>
      </x:c>
      <x:c r="J59" s="967" t="n">
        <x:v>0</x:v>
      </x:c>
      <x:c r="K59" s="967" t="n">
        <x:f>K58+J59</x:f>
        <x:v>10</x:v>
      </x:c>
      <x:c r="L59" s="967" t="n">
        <x:v>0</x:v>
      </x:c>
      <x:c r="M59" s="967" t="n">
        <x:v>0</x:v>
      </x:c>
      <x:c r="N59" s="967" t="str"/>
      <x:c r="O59" s="967" t="str">
        <x:v>Boss: 전원생존+NPC 병렬 / 치명손실0 목표</x:v>
      </x:c>
      <x:c r="P59" s="967" t="str">
        <x:f>IF(OR(E59&lt;0,F59&lt;G59),"FAIL","PASS")</x:f>
        <x:v>PASS</x:v>
      </x:c>
    </x:row>
    <x:row r="60" ht="15" hidden="0" customHeight="1">
      <x:c r="A60" s="967" t="n">
        <x:v>20</x:v>
      </x:c>
      <x:c r="B60" s="967" t="str">
        <x:v>W3</x:v>
      </x:c>
      <x:c r="C60" s="967" t="str">
        <x:v>후유증+수리</x:v>
      </x:c>
      <x:c r="D60" s="967" t="n">
        <x:v>4.5</x:v>
      </x:c>
      <x:c r="E60" s="967" t="n">
        <x:f>14-D60</x:f>
        <x:v>9.5</x:v>
      </x:c>
      <x:c r="F60" s="967" t="n">
        <x:f>MIN(5,I59+1)</x:f>
        <x:v>5</x:v>
      </x:c>
      <x:c r="G60" s="967" t="n">
        <x:v>0</x:v>
      </x:c>
      <x:c r="H60" s="967" t="n">
        <x:v>0</x:v>
      </x:c>
      <x:c r="I60" s="967" t="n">
        <x:f>MAX(0,MIN(5,F60-G60+H60))</x:f>
        <x:v>5</x:v>
      </x:c>
      <x:c r="J60" s="967" t="n">
        <x:v>0</x:v>
      </x:c>
      <x:c r="K60" s="967" t="n">
        <x:f>K59+J60</x:f>
        <x:v>10</x:v>
      </x:c>
      <x:c r="L60" s="967" t="n">
        <x:v>0</x:v>
      </x:c>
      <x:c r="M60" s="967" t="n">
        <x:v>0</x:v>
      </x:c>
      <x:c r="N60" s="967" t="str"/>
      <x:c r="O60" s="967" t="str"/>
      <x:c r="P60" s="967" t="str">
        <x:f>IF(OR(E60&lt;0,F60&lt;G60),"FAIL","PASS")</x:f>
        <x:v>PASS</x:v>
      </x:c>
    </x:row>
    <x:row r="61" ht="21.600000381469727" hidden="0" customHeight="1">
      <x:c r="A61" s="967" t="n">
        <x:v>21</x:v>
      </x:c>
      <x:c r="B61" s="967" t="str">
        <x:v>W3</x:v>
      </x:c>
      <x:c r="C61" s="967" t="str">
        <x:v>True 판정</x:v>
      </x:c>
      <x:c r="D61" s="967" t="n">
        <x:v>5</x:v>
      </x:c>
      <x:c r="E61" s="967" t="n">
        <x:f>14-D61</x:f>
        <x:v>9</x:v>
      </x:c>
      <x:c r="F61" s="967" t="n">
        <x:f>MIN(5,I60+1)</x:f>
        <x:v>5</x:v>
      </x:c>
      <x:c r="G61" s="967" t="n">
        <x:v>0</x:v>
      </x:c>
      <x:c r="H61" s="967" t="n">
        <x:v>0</x:v>
      </x:c>
      <x:c r="I61" s="967" t="n">
        <x:f>MAX(0,MIN(5,F61-G61+H61))</x:f>
        <x:v>5</x:v>
      </x:c>
      <x:c r="J61" s="967" t="n">
        <x:v>0</x:v>
      </x:c>
      <x:c r="K61" s="967" t="n">
        <x:f>K60+J61</x:f>
        <x:v>10</x:v>
      </x:c>
      <x:c r="L61" s="967" t="n">
        <x:v>0</x:v>
      </x:c>
      <x:c r="M61" s="967" t="n">
        <x:v>0</x:v>
      </x:c>
      <x:c r="N61" s="967" t="str"/>
      <x:c r="O61" s="967" t="str">
        <x:v>All6 Alive + Ship Normal + TrueStanceSet → True</x:v>
      </x:c>
      <x:c r="P61" s="967" t="str">
        <x:f>IF(OR(E61&lt;0,F61&lt;G61),"FAIL","PASS")</x:f>
        <x:v>PASS</x:v>
      </x:c>
    </x:row>
    <x:row r="62" ht="15" hidden="0" customHeight="1">
      <x:c r="A62" s="969" t="str">
        <x:v>합계</x:v>
      </x:c>
      <x:c r="B62" s="969"/>
      <x:c r="C62" s="969" t="str"/>
      <x:c r="D62" s="969" t="n">
        <x:f>SUM(D41:D61)</x:f>
        <x:v>172</x:v>
      </x:c>
      <x:c r="E62" s="969" t="n">
        <x:f>SUM(E41:E61)</x:f>
        <x:v>122</x:v>
      </x:c>
      <x:c r="F62" s="969"/>
      <x:c r="G62" s="969" t="n">
        <x:f>SUM(G41:G61)</x:f>
        <x:v>9</x:v>
      </x:c>
      <x:c r="H62" s="969" t="n">
        <x:f>SUM(H41:H61)</x:f>
        <x:v>11</x:v>
      </x:c>
      <x:c r="I62" s="969"/>
      <x:c r="J62" s="969" t="n">
        <x:f>SUM(J41:J61)</x:f>
        <x:v>10</x:v>
      </x:c>
      <x:c r="K62" s="969"/>
      <x:c r="L62" s="969" t="n">
        <x:f>SUM(L41:L61)</x:f>
        <x:v>0</x:v>
      </x:c>
      <x:c r="M62" s="969" t="n">
        <x:f>SUM(M41:M61)</x:f>
        <x:v>2</x:v>
      </x:c>
      <x:c r="N62" s="969" t="str"/>
      <x:c r="O62" s="969" t="str"/>
      <x:c r="P62" s="969" t="str">
        <x:f>IF(COUNTIF(P41:P61,"FAIL")=0,"TIME/WILL PASS","FAIL")</x:f>
        <x:v>TIME/WILL PASS</x:v>
      </x:c>
    </x:row>
    <x:row r="63" ht="15" hidden="0" customHeight="1">
      <x:c r="A63" s="967"/>
      <x:c r="B63" s="967"/>
      <x:c r="C63" s="967"/>
      <x:c r="D63" s="967"/>
      <x:c r="E63" s="967"/>
      <x:c r="F63" s="967"/>
      <x:c r="G63" s="967"/>
      <x:c r="H63" s="967"/>
      <x:c r="I63" s="967"/>
      <x:c r="J63" s="967"/>
      <x:c r="K63" s="967"/>
      <x:c r="L63" s="967"/>
      <x:c r="M63" s="967"/>
      <x:c r="N63" s="967"/>
      <x:c r="O63" s="967"/>
      <x:c r="P63" s="967"/>
    </x:row>
    <x:row r="64" ht="26" hidden="0" customHeight="1">
      <x:c r="A64" s="980" t="str">
        <x:v>2C. Hidden 대표 Route — Research Focus + Preservation + Reanalysis</x:v>
      </x:c>
      <x:c r="B64" s="980"/>
      <x:c r="C64" s="980"/>
      <x:c r="D64" s="980"/>
      <x:c r="E64" s="980"/>
      <x:c r="F64" s="980"/>
      <x:c r="G64" s="980"/>
      <x:c r="H64" s="980"/>
      <x:c r="I64" s="980"/>
      <x:c r="J64" s="980"/>
      <x:c r="K64" s="980"/>
      <x:c r="L64" s="980"/>
      <x:c r="M64" s="980"/>
      <x:c r="N64" s="980"/>
      <x:c r="O64" s="980"/>
      <x:c r="P64" s="980"/>
      <x:c r="Q64" s="426"/>
      <x:c r="R64" s="426"/>
    </x:row>
    <x:row r="65" ht="30" hidden="0" customHeight="1">
      <x:c r="A65" s="983" t="str">
        <x:v>Day</x:v>
      </x:c>
      <x:c r="B65" s="983" t="str">
        <x:v>Week</x:v>
      </x:c>
      <x:c r="C65" s="983" t="str">
        <x:v>핵심 계획</x:v>
      </x:c>
      <x:c r="D65" s="983" t="str">
        <x:v>계획 h</x:v>
      </x:c>
      <x:c r="E65" s="983" t="str">
        <x:v>자유 h</x:v>
      </x:c>
      <x:c r="F65" s="983" t="str">
        <x:v>Will 시작</x:v>
      </x:c>
      <x:c r="G65" s="983" t="str">
        <x:v>Will 사용</x:v>
      </x:c>
      <x:c r="H65" s="983" t="str">
        <x:v>Will 회복</x:v>
      </x:c>
      <x:c r="I65" s="983" t="str">
        <x:v>Will 종료</x:v>
      </x:c>
      <x:c r="J65" s="983" t="str">
        <x:v>Repair Δ</x:v>
      </x:c>
      <x:c r="K65" s="983" t="str">
        <x:v>Repair 누적</x:v>
      </x:c>
      <x:c r="L65" s="983" t="str">
        <x:v>Oasis</x:v>
      </x:c>
      <x:c r="M65" s="983" t="str">
        <x:v>Settlement</x:v>
      </x:c>
      <x:c r="N65" s="983" t="str">
        <x:v>Mastery/Final</x:v>
      </x:c>
      <x:c r="O65" s="983" t="str">
        <x:v>통합 상태</x:v>
      </x:c>
      <x:c r="P65" s="983" t="str">
        <x:v>Day 판정</x:v>
      </x:c>
    </x:row>
    <x:row r="66" ht="15" hidden="0" customHeight="1">
      <x:c r="A66" s="967" t="n">
        <x:v>1</x:v>
      </x:c>
      <x:c r="B66" s="967" t="str">
        <x:v>W1</x:v>
      </x:c>
      <x:c r="C66" s="967" t="str">
        <x:v>벤자민 Seed</x:v>
      </x:c>
      <x:c r="D66" s="967" t="n">
        <x:v>6</x:v>
      </x:c>
      <x:c r="E66" s="967" t="n">
        <x:f>14-D66</x:f>
        <x:v>8</x:v>
      </x:c>
      <x:c r="F66" s="967" t="n">
        <x:v>5</x:v>
      </x:c>
      <x:c r="G66" s="967" t="n">
        <x:v>0</x:v>
      </x:c>
      <x:c r="H66" s="967" t="n">
        <x:v>0</x:v>
      </x:c>
      <x:c r="I66" s="967" t="n">
        <x:f>MAX(0,MIN(5,F66-G66+H66))</x:f>
        <x:v>5</x:v>
      </x:c>
      <x:c r="J66" s="967" t="n">
        <x:v>0</x:v>
      </x:c>
      <x:c r="K66" s="967" t="n">
        <x:f>J66</x:f>
        <x:v>0</x:v>
      </x:c>
      <x:c r="L66" s="967" t="n">
        <x:v>0</x:v>
      </x:c>
      <x:c r="M66" s="967" t="n">
        <x:v>0</x:v>
      </x:c>
      <x:c r="N66" s="967" t="str"/>
      <x:c r="O66" s="967" t="str"/>
      <x:c r="P66" s="967" t="str">
        <x:f>IF(OR(E66&lt;0,F66&lt;G66),"FAIL","PASS")</x:f>
        <x:v>PASS</x:v>
      </x:c>
    </x:row>
    <x:row r="67" ht="15" hidden="0" customHeight="1">
      <x:c r="A67" s="967" t="n">
        <x:v>2</x:v>
      </x:c>
      <x:c r="B67" s="967" t="str">
        <x:v>W1</x:v>
      </x:c>
      <x:c r="C67" s="967" t="str">
        <x:v>Diya/Borichi Seed</x:v>
      </x:c>
      <x:c r="D67" s="967" t="n">
        <x:v>8</x:v>
      </x:c>
      <x:c r="E67" s="967" t="n">
        <x:f>14-D67</x:f>
        <x:v>6</x:v>
      </x:c>
      <x:c r="F67" s="967" t="n">
        <x:f>MIN(5,I66+1)</x:f>
        <x:v>5</x:v>
      </x:c>
      <x:c r="G67" s="967" t="n">
        <x:v>0</x:v>
      </x:c>
      <x:c r="H67" s="967" t="n">
        <x:v>0</x:v>
      </x:c>
      <x:c r="I67" s="967" t="n">
        <x:f>MAX(0,MIN(5,F67-G67+H67))</x:f>
        <x:v>5</x:v>
      </x:c>
      <x:c r="J67" s="967" t="n">
        <x:v>0</x:v>
      </x:c>
      <x:c r="K67" s="967" t="n">
        <x:f>K66+J67</x:f>
        <x:v>0</x:v>
      </x:c>
      <x:c r="L67" s="967" t="n">
        <x:v>0</x:v>
      </x:c>
      <x:c r="M67" s="967" t="n">
        <x:v>0</x:v>
      </x:c>
      <x:c r="N67" s="967" t="str"/>
      <x:c r="O67" s="967" t="str"/>
      <x:c r="P67" s="967" t="str">
        <x:f>IF(OR(E67&lt;0,F67&lt;G67),"FAIL","PASS")</x:f>
        <x:v>PASS</x:v>
      </x:c>
    </x:row>
    <x:row r="68" ht="15" hidden="0" customHeight="1">
      <x:c r="A68" s="967" t="n">
        <x:v>3</x:v>
      </x:c>
      <x:c r="B68" s="967" t="str">
        <x:v>W1</x:v>
      </x:c>
      <x:c r="C68" s="967" t="str">
        <x:v>Borichi+Research1</x:v>
      </x:c>
      <x:c r="D68" s="967" t="n">
        <x:v>10</x:v>
      </x:c>
      <x:c r="E68" s="967" t="n">
        <x:f>14-D68</x:f>
        <x:v>4</x:v>
      </x:c>
      <x:c r="F68" s="967" t="n">
        <x:f>MIN(5,I67+1)</x:f>
        <x:v>5</x:v>
      </x:c>
      <x:c r="G68" s="967" t="n">
        <x:v>0</x:v>
      </x:c>
      <x:c r="H68" s="967" t="n">
        <x:v>0</x:v>
      </x:c>
      <x:c r="I68" s="967" t="n">
        <x:f>MAX(0,MIN(5,F68-G68+H68))</x:f>
        <x:v>5</x:v>
      </x:c>
      <x:c r="J68" s="967" t="n">
        <x:v>1</x:v>
      </x:c>
      <x:c r="K68" s="967" t="n">
        <x:f>K67+J68</x:f>
        <x:v>1</x:v>
      </x:c>
      <x:c r="L68" s="967" t="n">
        <x:v>0</x:v>
      </x:c>
      <x:c r="M68" s="967" t="n">
        <x:v>0</x:v>
      </x:c>
      <x:c r="N68" s="967" t="str"/>
      <x:c r="O68" s="967" t="str"/>
      <x:c r="P68" s="967" t="str">
        <x:f>IF(OR(E68&lt;0,F68&lt;G68),"FAIL","PASS")</x:f>
        <x:v>PASS</x:v>
      </x:c>
    </x:row>
    <x:row r="69" ht="15" hidden="0" customHeight="1">
      <x:c r="A69" s="967" t="n">
        <x:v>4</x:v>
      </x:c>
      <x:c r="B69" s="967" t="str">
        <x:v>W1</x:v>
      </x:c>
      <x:c r="C69" s="967" t="str">
        <x:v>Research2</x:v>
      </x:c>
      <x:c r="D69" s="967" t="n">
        <x:v>9</x:v>
      </x:c>
      <x:c r="E69" s="967" t="n">
        <x:f>14-D69</x:f>
        <x:v>5</x:v>
      </x:c>
      <x:c r="F69" s="967" t="n">
        <x:f>MIN(5,I68+1)</x:f>
        <x:v>5</x:v>
      </x:c>
      <x:c r="G69" s="967" t="n">
        <x:v>0</x:v>
      </x:c>
      <x:c r="H69" s="967" t="n">
        <x:v>0</x:v>
      </x:c>
      <x:c r="I69" s="967" t="n">
        <x:f>MAX(0,MIN(5,F69-G69+H69))</x:f>
        <x:v>5</x:v>
      </x:c>
      <x:c r="J69" s="967" t="n">
        <x:v>1</x:v>
      </x:c>
      <x:c r="K69" s="967" t="n">
        <x:f>K68+J69</x:f>
        <x:v>2</x:v>
      </x:c>
      <x:c r="L69" s="967" t="n">
        <x:v>0</x:v>
      </x:c>
      <x:c r="M69" s="967" t="n">
        <x:v>0</x:v>
      </x:c>
      <x:c r="N69" s="967" t="str"/>
      <x:c r="O69" s="967" t="str"/>
      <x:c r="P69" s="967" t="str">
        <x:f>IF(OR(E69&lt;0,F69&lt;G69),"FAIL","PASS")</x:f>
        <x:v>PASS</x:v>
      </x:c>
    </x:row>
    <x:row r="70" ht="21.600000381469727" hidden="0" customHeight="1">
      <x:c r="A70" s="967" t="n">
        <x:v>5</x:v>
      </x:c>
      <x:c r="B70" s="967" t="str">
        <x:v>W1</x:v>
      </x:c>
      <x:c r="C70" s="967" t="str">
        <x:v>Diya/Borichi+Research3</x:v>
      </x:c>
      <x:c r="D70" s="967" t="n">
        <x:v>8</x:v>
      </x:c>
      <x:c r="E70" s="967" t="n">
        <x:f>14-D70</x:f>
        <x:v>6</x:v>
      </x:c>
      <x:c r="F70" s="967" t="n">
        <x:f>MIN(5,I69+1)</x:f>
        <x:v>5</x:v>
      </x:c>
      <x:c r="G70" s="967" t="n">
        <x:v>0</x:v>
      </x:c>
      <x:c r="H70" s="967" t="n">
        <x:v>0</x:v>
      </x:c>
      <x:c r="I70" s="967" t="n">
        <x:f>MAX(0,MIN(5,F70-G70+H70))</x:f>
        <x:v>5</x:v>
      </x:c>
      <x:c r="J70" s="967" t="n">
        <x:v>1</x:v>
      </x:c>
      <x:c r="K70" s="967" t="n">
        <x:f>K69+J70</x:f>
        <x:v>3</x:v>
      </x:c>
      <x:c r="L70" s="967" t="n">
        <x:v>0</x:v>
      </x:c>
      <x:c r="M70" s="967" t="n">
        <x:v>0</x:v>
      </x:c>
      <x:c r="N70" s="967" t="str"/>
      <x:c r="O70" s="967" t="str"/>
      <x:c r="P70" s="967" t="str">
        <x:f>IF(OR(E70&lt;0,F70&lt;G70),"FAIL","PASS")</x:f>
        <x:v>PASS</x:v>
      </x:c>
    </x:row>
    <x:row r="71" ht="15" hidden="0" customHeight="1">
      <x:c r="A71" s="967" t="n">
        <x:v>6</x:v>
      </x:c>
      <x:c r="B71" s="967" t="str">
        <x:v>W1</x:v>
      </x:c>
      <x:c r="C71" s="967" t="str">
        <x:v>Borichi Focus</x:v>
      </x:c>
      <x:c r="D71" s="967" t="n">
        <x:v>7</x:v>
      </x:c>
      <x:c r="E71" s="967" t="n">
        <x:f>14-D71</x:f>
        <x:v>7</x:v>
      </x:c>
      <x:c r="F71" s="967" t="n">
        <x:f>MIN(5,I70+1)</x:f>
        <x:v>5</x:v>
      </x:c>
      <x:c r="G71" s="967" t="n">
        <x:v>0</x:v>
      </x:c>
      <x:c r="H71" s="967" t="n">
        <x:v>0</x:v>
      </x:c>
      <x:c r="I71" s="967" t="n">
        <x:f>MAX(0,MIN(5,F71-G71+H71))</x:f>
        <x:v>5</x:v>
      </x:c>
      <x:c r="J71" s="967" t="n">
        <x:v>0</x:v>
      </x:c>
      <x:c r="K71" s="967" t="n">
        <x:f>K70+J71</x:f>
        <x:v>3</x:v>
      </x:c>
      <x:c r="L71" s="967" t="n">
        <x:v>0</x:v>
      </x:c>
      <x:c r="M71" s="967" t="n">
        <x:v>0</x:v>
      </x:c>
      <x:c r="N71" s="967" t="str"/>
      <x:c r="O71" s="967" t="str"/>
      <x:c r="P71" s="967" t="str">
        <x:f>IF(OR(E71&lt;0,F71&lt;G71),"FAIL","PASS")</x:f>
        <x:v>PASS</x:v>
      </x:c>
    </x:row>
    <x:row r="72" ht="15" hidden="0" customHeight="1">
      <x:c r="A72" s="967" t="n">
        <x:v>7</x:v>
      </x:c>
      <x:c r="B72" s="967" t="str">
        <x:v>W1</x:v>
      </x:c>
      <x:c r="C72" s="967" t="str">
        <x:v>Diya Focus</x:v>
      </x:c>
      <x:c r="D72" s="967" t="n">
        <x:v>7</x:v>
      </x:c>
      <x:c r="E72" s="967" t="n">
        <x:f>14-D72</x:f>
        <x:v>7</x:v>
      </x:c>
      <x:c r="F72" s="967" t="n">
        <x:f>MIN(5,I71+1)</x:f>
        <x:v>5</x:v>
      </x:c>
      <x:c r="G72" s="967" t="n">
        <x:v>0</x:v>
      </x:c>
      <x:c r="H72" s="967" t="n">
        <x:v>0</x:v>
      </x:c>
      <x:c r="I72" s="967" t="n">
        <x:f>MAX(0,MIN(5,F72-G72+H72))</x:f>
        <x:v>5</x:v>
      </x:c>
      <x:c r="J72" s="967" t="n">
        <x:v>0</x:v>
      </x:c>
      <x:c r="K72" s="967" t="n">
        <x:f>K71+J72</x:f>
        <x:v>3</x:v>
      </x:c>
      <x:c r="L72" s="967" t="n">
        <x:v>0</x:v>
      </x:c>
      <x:c r="M72" s="967" t="n">
        <x:v>0</x:v>
      </x:c>
      <x:c r="N72" s="967" t="str"/>
      <x:c r="O72" s="967" t="str"/>
      <x:c r="P72" s="967" t="str">
        <x:f>IF(OR(E72&lt;0,F72&lt;G72),"FAIL","PASS")</x:f>
        <x:v>PASS</x:v>
      </x:c>
    </x:row>
    <x:row r="73" ht="15" hidden="0" customHeight="1">
      <x:c r="A73" s="967" t="n">
        <x:v>8</x:v>
      </x:c>
      <x:c r="B73" s="967" t="str">
        <x:v>W2</x:v>
      </x:c>
      <x:c r="C73" s="967" t="str">
        <x:v>Borichi 고백+거주1</x:v>
      </x:c>
      <x:c r="D73" s="967" t="n">
        <x:v>10</x:v>
      </x:c>
      <x:c r="E73" s="967" t="n">
        <x:f>14-D73</x:f>
        <x:v>4</x:v>
      </x:c>
      <x:c r="F73" s="967" t="n">
        <x:f>MIN(5,I72+1)</x:f>
        <x:v>5</x:v>
      </x:c>
      <x:c r="G73" s="967" t="n">
        <x:v>0</x:v>
      </x:c>
      <x:c r="H73" s="967" t="n">
        <x:v>0</x:v>
      </x:c>
      <x:c r="I73" s="967" t="n">
        <x:f>MAX(0,MIN(5,F73-G73+H73))</x:f>
        <x:v>5</x:v>
      </x:c>
      <x:c r="J73" s="967" t="n">
        <x:v>0</x:v>
      </x:c>
      <x:c r="K73" s="967" t="n">
        <x:f>K72+J73</x:f>
        <x:v>3</x:v>
      </x:c>
      <x:c r="L73" s="967" t="n">
        <x:v>0</x:v>
      </x:c>
      <x:c r="M73" s="967" t="n">
        <x:v>1</x:v>
      </x:c>
      <x:c r="N73" s="967" t="str"/>
      <x:c r="O73" s="967" t="str"/>
      <x:c r="P73" s="967" t="str">
        <x:f>IF(OR(E73&lt;0,F73&lt;G73),"FAIL","PASS")</x:f>
        <x:v>PASS</x:v>
      </x:c>
    </x:row>
    <x:row r="74" ht="15" hidden="0" customHeight="1">
      <x:c r="A74" s="967" t="n">
        <x:v>9</x:v>
      </x:c>
      <x:c r="B74" s="967" t="str">
        <x:v>W2</x:v>
      </x:c>
      <x:c r="C74" s="967" t="str">
        <x:v>수리+Oasis1+거주2</x:v>
      </x:c>
      <x:c r="D74" s="967" t="n">
        <x:v>12</x:v>
      </x:c>
      <x:c r="E74" s="967" t="n">
        <x:f>14-D74</x:f>
        <x:v>2</x:v>
      </x:c>
      <x:c r="F74" s="967" t="n">
        <x:f>MIN(5,I73+1)</x:f>
        <x:v>5</x:v>
      </x:c>
      <x:c r="G74" s="967" t="n">
        <x:v>0</x:v>
      </x:c>
      <x:c r="H74" s="967" t="n">
        <x:v>0</x:v>
      </x:c>
      <x:c r="I74" s="967" t="n">
        <x:f>MAX(0,MIN(5,F74-G74+H74))</x:f>
        <x:v>5</x:v>
      </x:c>
      <x:c r="J74" s="967" t="n">
        <x:v>1</x:v>
      </x:c>
      <x:c r="K74" s="967" t="n">
        <x:f>K73+J74</x:f>
        <x:v>4</x:v>
      </x:c>
      <x:c r="L74" s="967" t="n">
        <x:v>1</x:v>
      </x:c>
      <x:c r="M74" s="967" t="n">
        <x:v>1</x:v>
      </x:c>
      <x:c r="N74" s="967" t="str"/>
      <x:c r="O74" s="967" t="str"/>
      <x:c r="P74" s="967" t="str">
        <x:f>IF(OR(E74&lt;0,F74&lt;G74),"FAIL","PASS")</x:f>
        <x:v>PASS</x:v>
      </x:c>
    </x:row>
    <x:row r="75" ht="15" hidden="0" customHeight="1">
      <x:c r="A75" s="967" t="n">
        <x:v>10</x:v>
      </x:c>
      <x:c r="B75" s="967" t="str">
        <x:v>W2</x:v>
      </x:c>
      <x:c r="C75" s="967" t="str">
        <x:v>수리+Oasis2</x:v>
      </x:c>
      <x:c r="D75" s="967" t="n">
        <x:v>10.5</x:v>
      </x:c>
      <x:c r="E75" s="967" t="n">
        <x:f>14-D75</x:f>
        <x:v>3.5</x:v>
      </x:c>
      <x:c r="F75" s="967" t="n">
        <x:f>MIN(5,I74+1)</x:f>
        <x:v>5</x:v>
      </x:c>
      <x:c r="G75" s="967" t="n">
        <x:v>0</x:v>
      </x:c>
      <x:c r="H75" s="967" t="n">
        <x:v>0</x:v>
      </x:c>
      <x:c r="I75" s="967" t="n">
        <x:f>MAX(0,MIN(5,F75-G75+H75))</x:f>
        <x:v>5</x:v>
      </x:c>
      <x:c r="J75" s="967" t="n">
        <x:v>1</x:v>
      </x:c>
      <x:c r="K75" s="967" t="n">
        <x:f>K74+J75</x:f>
        <x:v>5</x:v>
      </x:c>
      <x:c r="L75" s="967" t="n">
        <x:v>1</x:v>
      </x:c>
      <x:c r="M75" s="967" t="n">
        <x:v>0</x:v>
      </x:c>
      <x:c r="N75" s="967" t="str"/>
      <x:c r="O75" s="967" t="str"/>
      <x:c r="P75" s="967" t="str">
        <x:f>IF(OR(E75&lt;0,F75&lt;G75),"FAIL","PASS")</x:f>
        <x:v>PASS</x:v>
      </x:c>
    </x:row>
    <x:row r="76" ht="15" hidden="0" customHeight="1">
      <x:c r="A76" s="967" t="n">
        <x:v>11</x:v>
      </x:c>
      <x:c r="B76" s="967" t="str">
        <x:v>W2</x:v>
      </x:c>
      <x:c r="C76" s="967" t="str">
        <x:v>Oasis3+거주3+Diya B</x:v>
      </x:c>
      <x:c r="D76" s="967" t="n">
        <x:v>12</x:v>
      </x:c>
      <x:c r="E76" s="967" t="n">
        <x:f>14-D76</x:f>
        <x:v>2</x:v>
      </x:c>
      <x:c r="F76" s="967" t="n">
        <x:f>MIN(5,I75+1)</x:f>
        <x:v>5</x:v>
      </x:c>
      <x:c r="G76" s="967" t="n">
        <x:v>0</x:v>
      </x:c>
      <x:c r="H76" s="967" t="n">
        <x:v>0</x:v>
      </x:c>
      <x:c r="I76" s="967" t="n">
        <x:f>MAX(0,MIN(5,F76-G76+H76))</x:f>
        <x:v>5</x:v>
      </x:c>
      <x:c r="J76" s="967" t="n">
        <x:v>0</x:v>
      </x:c>
      <x:c r="K76" s="967" t="n">
        <x:f>K75+J76</x:f>
        <x:v>5</x:v>
      </x:c>
      <x:c r="L76" s="967" t="n">
        <x:v>1</x:v>
      </x:c>
      <x:c r="M76" s="967" t="n">
        <x:v>1</x:v>
      </x:c>
      <x:c r="N76" s="967" t="str"/>
      <x:c r="O76" s="967" t="str"/>
      <x:c r="P76" s="967" t="str">
        <x:f>IF(OR(E76&lt;0,F76&lt;G76),"FAIL","PASS")</x:f>
        <x:v>PASS</x:v>
      </x:c>
    </x:row>
    <x:row r="77" ht="15" hidden="0" customHeight="1">
      <x:c r="A77" s="967" t="n">
        <x:v>12</x:v>
      </x:c>
      <x:c r="B77" s="967" t="str">
        <x:v>W2</x:v>
      </x:c>
      <x:c r="C77" s="967" t="str">
        <x:v>수리+시험재배</x:v>
      </x:c>
      <x:c r="D77" s="967" t="n">
        <x:v>7.5</x:v>
      </x:c>
      <x:c r="E77" s="967" t="n">
        <x:f>14-D77</x:f>
        <x:v>6.5</x:v>
      </x:c>
      <x:c r="F77" s="967" t="n">
        <x:f>MIN(5,I76+1)</x:f>
        <x:v>5</x:v>
      </x:c>
      <x:c r="G77" s="967" t="n">
        <x:v>0</x:v>
      </x:c>
      <x:c r="H77" s="967" t="n">
        <x:v>0</x:v>
      </x:c>
      <x:c r="I77" s="967" t="n">
        <x:f>MAX(0,MIN(5,F77-G77+H77))</x:f>
        <x:v>5</x:v>
      </x:c>
      <x:c r="J77" s="967" t="n">
        <x:v>1</x:v>
      </x:c>
      <x:c r="K77" s="967" t="n">
        <x:f>K76+J77</x:f>
        <x:v>6</x:v>
      </x:c>
      <x:c r="L77" s="967" t="n">
        <x:v>0</x:v>
      </x:c>
      <x:c r="M77" s="967" t="n">
        <x:v>0</x:v>
      </x:c>
      <x:c r="N77" s="967" t="str"/>
      <x:c r="O77" s="967" t="str"/>
      <x:c r="P77" s="967" t="str">
        <x:f>IF(OR(E77&lt;0,F77&lt;G77),"FAIL","PASS")</x:f>
        <x:v>PASS</x:v>
      </x:c>
    </x:row>
    <x:row r="78" ht="15" hidden="0" customHeight="1">
      <x:c r="A78" s="967" t="n">
        <x:v>13</x:v>
      </x:c>
      <x:c r="B78" s="967" t="str">
        <x:v>W2</x:v>
      </x:c>
      <x:c r="C78" s="967" t="str">
        <x:v>수리+Sam 선택</x:v>
      </x:c>
      <x:c r="D78" s="967" t="n">
        <x:v>7.5</x:v>
      </x:c>
      <x:c r="E78" s="967" t="n">
        <x:f>14-D78</x:f>
        <x:v>6.5</x:v>
      </x:c>
      <x:c r="F78" s="967" t="n">
        <x:f>MIN(5,I77+1)</x:f>
        <x:v>5</x:v>
      </x:c>
      <x:c r="G78" s="967" t="n">
        <x:v>0</x:v>
      </x:c>
      <x:c r="H78" s="967" t="n">
        <x:v>0</x:v>
      </x:c>
      <x:c r="I78" s="967" t="n">
        <x:f>MAX(0,MIN(5,F78-G78+H78))</x:f>
        <x:v>5</x:v>
      </x:c>
      <x:c r="J78" s="967" t="n">
        <x:v>1</x:v>
      </x:c>
      <x:c r="K78" s="967" t="n">
        <x:f>K77+J78</x:f>
        <x:v>7</x:v>
      </x:c>
      <x:c r="L78" s="967" t="n">
        <x:v>0</x:v>
      </x:c>
      <x:c r="M78" s="967" t="n">
        <x:v>0</x:v>
      </x:c>
      <x:c r="N78" s="967" t="str"/>
      <x:c r="O78" s="967" t="str"/>
      <x:c r="P78" s="967" t="str">
        <x:f>IF(OR(E78&lt;0,F78&lt;G78),"FAIL","PASS")</x:f>
        <x:v>PASS</x:v>
      </x:c>
    </x:row>
    <x:row r="79" ht="15" hidden="0" customHeight="1">
      <x:c r="A79" s="967" t="n">
        <x:v>14</x:v>
      </x:c>
      <x:c r="B79" s="967" t="str">
        <x:v>W2</x:v>
      </x:c>
      <x:c r="C79" s="967" t="str">
        <x:v>수리+마감</x:v>
      </x:c>
      <x:c r="D79" s="967" t="n">
        <x:v>10</x:v>
      </x:c>
      <x:c r="E79" s="967" t="n">
        <x:f>14-D79</x:f>
        <x:v>4</x:v>
      </x:c>
      <x:c r="F79" s="967" t="n">
        <x:f>MIN(5,I78+1)</x:f>
        <x:v>5</x:v>
      </x:c>
      <x:c r="G79" s="967" t="n">
        <x:v>0</x:v>
      </x:c>
      <x:c r="H79" s="967" t="n">
        <x:v>0</x:v>
      </x:c>
      <x:c r="I79" s="967" t="n">
        <x:f>MAX(0,MIN(5,F79-G79+H79))</x:f>
        <x:v>5</x:v>
      </x:c>
      <x:c r="J79" s="967" t="n">
        <x:v>1</x:v>
      </x:c>
      <x:c r="K79" s="967" t="n">
        <x:f>K78+J79</x:f>
        <x:v>8</x:v>
      </x:c>
      <x:c r="L79" s="967" t="n">
        <x:v>0</x:v>
      </x:c>
      <x:c r="M79" s="967" t="n">
        <x:v>0</x:v>
      </x:c>
      <x:c r="N79" s="967" t="str"/>
      <x:c r="O79" s="967" t="str">
        <x:v>Shelter PASS / Hidden-Recheck / O3 S3</x:v>
      </x:c>
      <x:c r="P79" s="967" t="str">
        <x:f>IF(OR(E79&lt;0,F79&lt;G79),"FAIL","PASS")</x:f>
        <x:v>PASS</x:v>
      </x:c>
    </x:row>
    <x:row r="80" ht="15" hidden="0" customHeight="1">
      <x:c r="A80" s="967" t="n">
        <x:v>15</x:v>
      </x:c>
      <x:c r="B80" s="967" t="str">
        <x:v>W3</x:v>
      </x:c>
      <x:c r="C80" s="967" t="str">
        <x:v>Wave2 + 수리</x:v>
      </x:c>
      <x:c r="D80" s="967" t="n">
        <x:v>9.5</x:v>
      </x:c>
      <x:c r="E80" s="967" t="n">
        <x:f>14-D80</x:f>
        <x:v>4.5</x:v>
      </x:c>
      <x:c r="F80" s="967" t="n">
        <x:f>MIN(5,I79+1)</x:f>
        <x:v>5</x:v>
      </x:c>
      <x:c r="G80" s="967" t="n">
        <x:v>4</x:v>
      </x:c>
      <x:c r="H80" s="967" t="n">
        <x:v>0</x:v>
      </x:c>
      <x:c r="I80" s="967" t="n">
        <x:f>MAX(0,MIN(5,F80-G80+H80))</x:f>
        <x:v>1</x:v>
      </x:c>
      <x:c r="J80" s="967" t="n">
        <x:v>1</x:v>
      </x:c>
      <x:c r="K80" s="967" t="n">
        <x:f>K79+J80</x:f>
        <x:v>9</x:v>
      </x:c>
      <x:c r="L80" s="967" t="n">
        <x:v>0</x:v>
      </x:c>
      <x:c r="M80" s="967" t="n">
        <x:v>0</x:v>
      </x:c>
      <x:c r="N80" s="967" t="str"/>
      <x:c r="O80" s="967" t="str"/>
      <x:c r="P80" s="967" t="str">
        <x:f>IF(OR(E80&lt;0,F80&lt;G80),"FAIL","PASS")</x:f>
        <x:v>PASS</x:v>
      </x:c>
    </x:row>
    <x:row r="81" ht="15" hidden="0" customHeight="1">
      <x:c r="A81" s="967" t="n">
        <x:v>16</x:v>
      </x:c>
      <x:c r="B81" s="967" t="str">
        <x:v>W3</x:v>
      </x:c>
      <x:c r="C81" s="967" t="str">
        <x:v>회복/배치</x:v>
      </x:c>
      <x:c r="D81" s="967" t="n">
        <x:v>4</x:v>
      </x:c>
      <x:c r="E81" s="967" t="n">
        <x:f>14-D81</x:f>
        <x:v>10</x:v>
      </x:c>
      <x:c r="F81" s="967" t="n">
        <x:f>MIN(5,I80+1)</x:f>
        <x:v>2</x:v>
      </x:c>
      <x:c r="G81" s="967" t="n">
        <x:v>0</x:v>
      </x:c>
      <x:c r="H81" s="967" t="n">
        <x:v>0</x:v>
      </x:c>
      <x:c r="I81" s="967" t="n">
        <x:f>MAX(0,MIN(5,F81-G81+H81))</x:f>
        <x:v>2</x:v>
      </x:c>
      <x:c r="J81" s="967" t="n">
        <x:v>0</x:v>
      </x:c>
      <x:c r="K81" s="967" t="n">
        <x:f>K80+J81</x:f>
        <x:v>9</x:v>
      </x:c>
      <x:c r="L81" s="967" t="n">
        <x:v>0</x:v>
      </x:c>
      <x:c r="M81" s="967" t="n">
        <x:v>0</x:v>
      </x:c>
      <x:c r="N81" s="967" t="str"/>
      <x:c r="O81" s="967" t="str"/>
      <x:c r="P81" s="967" t="str">
        <x:f>IF(OR(E81&lt;0,F81&lt;G81),"FAIL","PASS")</x:f>
        <x:v>PASS</x:v>
      </x:c>
    </x:row>
    <x:row r="82" ht="15" hidden="0" customHeight="1">
      <x:c r="A82" s="967" t="n">
        <x:v>17</x:v>
      </x:c>
      <x:c r="B82" s="967" t="str">
        <x:v>W3</x:v>
      </x:c>
      <x:c r="C82" s="967" t="str">
        <x:v>Wave2 + 수리</x:v>
      </x:c>
      <x:c r="D82" s="967" t="n">
        <x:v>6.5</x:v>
      </x:c>
      <x:c r="E82" s="967" t="n">
        <x:f>14-D82</x:f>
        <x:v>7.5</x:v>
      </x:c>
      <x:c r="F82" s="967" t="n">
        <x:f>MIN(5,I81+1)</x:f>
        <x:v>3</x:v>
      </x:c>
      <x:c r="G82" s="967" t="n">
        <x:v>2</x:v>
      </x:c>
      <x:c r="H82" s="967" t="n">
        <x:v>0</x:v>
      </x:c>
      <x:c r="I82" s="967" t="n">
        <x:f>MAX(0,MIN(5,F82-G82+H82))</x:f>
        <x:v>1</x:v>
      </x:c>
      <x:c r="J82" s="967" t="n">
        <x:v>1</x:v>
      </x:c>
      <x:c r="K82" s="967" t="n">
        <x:f>K81+J82</x:f>
        <x:v>10</x:v>
      </x:c>
      <x:c r="L82" s="967" t="n">
        <x:v>0</x:v>
      </x:c>
      <x:c r="M82" s="967" t="n">
        <x:v>0</x:v>
      </x:c>
      <x:c r="N82" s="967" t="str"/>
      <x:c r="O82" s="967" t="str"/>
      <x:c r="P82" s="967" t="str">
        <x:f>IF(OR(E82&lt;0,F82&lt;G82),"FAIL","PASS")</x:f>
        <x:v>PASS</x:v>
      </x:c>
    </x:row>
    <x:row r="83" ht="21.600000381469727" hidden="0" customHeight="1">
      <x:c r="A83" s="967" t="n">
        <x:v>18</x:v>
      </x:c>
      <x:c r="B83" s="967" t="str">
        <x:v>W3</x:v>
      </x:c>
      <x:c r="C83" s="967" t="str">
        <x:v>재분석+Borichi/Diya Final</x:v>
      </x:c>
      <x:c r="D83" s="967" t="n">
        <x:v>8</x:v>
      </x:c>
      <x:c r="E83" s="967" t="n">
        <x:f>14-D83</x:f>
        <x:v>6</x:v>
      </x:c>
      <x:c r="F83" s="967" t="n">
        <x:f>MIN(5,I82+1)</x:f>
        <x:v>2</x:v>
      </x:c>
      <x:c r="G83" s="967" t="n">
        <x:v>0</x:v>
      </x:c>
      <x:c r="H83" s="967" t="n">
        <x:v>4</x:v>
      </x:c>
      <x:c r="I83" s="967" t="n">
        <x:f>MAX(0,MIN(5,F83-G83+H83))</x:f>
        <x:v>5</x:v>
      </x:c>
      <x:c r="J83" s="967" t="n">
        <x:v>0</x:v>
      </x:c>
      <x:c r="K83" s="967" t="n">
        <x:f>K82+J83</x:f>
        <x:v>10</x:v>
      </x:c>
      <x:c r="L83" s="967" t="n">
        <x:v>0</x:v>
      </x:c>
      <x:c r="M83" s="967" t="n">
        <x:v>0</x:v>
      </x:c>
      <x:c r="N83" s="967" t="str">
        <x:v>Borichi 기술 +1 / Diya 교감 +1</x:v>
      </x:c>
      <x:c r="O83" s="967" t="str">
        <x:v>Sustainability HIGH Proxy / Diya STAY / Borichi recheck</x:v>
      </x:c>
      <x:c r="P83" s="967" t="str">
        <x:f>IF(OR(E83&lt;0,F83&lt;G83),"FAIL","PASS")</x:f>
        <x:v>PASS</x:v>
      </x:c>
    </x:row>
    <x:row r="84" ht="21.600000381469727" hidden="0" customHeight="1">
      <x:c r="A84" s="967" t="n">
        <x:v>19</x:v>
      </x:c>
      <x:c r="B84" s="967" t="str">
        <x:v>W3</x:v>
      </x:c>
      <x:c r="C84" s="967" t="str">
        <x:v>Boss3 동시</x:v>
      </x:c>
      <x:c r="D84" s="967" t="n">
        <x:v>6.5</x:v>
      </x:c>
      <x:c r="E84" s="967" t="n">
        <x:f>14-D84</x:f>
        <x:v>7.5</x:v>
      </x:c>
      <x:c r="F84" s="967" t="n">
        <x:f>MIN(5,I83+1)</x:f>
        <x:v>5</x:v>
      </x:c>
      <x:c r="G84" s="967" t="n">
        <x:v>1</x:v>
      </x:c>
      <x:c r="H84" s="967" t="n">
        <x:v>0</x:v>
      </x:c>
      <x:c r="I84" s="967" t="n">
        <x:f>MAX(0,MIN(5,F84-G84+H84))</x:f>
        <x:v>4</x:v>
      </x:c>
      <x:c r="J84" s="967" t="n">
        <x:v>0</x:v>
      </x:c>
      <x:c r="K84" s="967" t="n">
        <x:f>K83+J84</x:f>
        <x:v>10</x:v>
      </x:c>
      <x:c r="L84" s="967" t="n">
        <x:v>0</x:v>
      </x:c>
      <x:c r="M84" s="967" t="n">
        <x:v>0</x:v>
      </x:c>
      <x:c r="N84" s="967" t="str"/>
      <x:c r="O84" s="967" t="str">
        <x:v>Boss: Freezer+2 Crisis / Tech9+Will1 + NPC</x:v>
      </x:c>
      <x:c r="P84" s="967" t="str">
        <x:f>IF(OR(E84&lt;0,F84&lt;G84),"FAIL","PASS")</x:f>
        <x:v>PASS</x:v>
      </x:c>
    </x:row>
    <x:row r="85" ht="15" hidden="0" customHeight="1">
      <x:c r="A85" s="967" t="n">
        <x:v>20</x:v>
      </x:c>
      <x:c r="B85" s="967" t="str">
        <x:v>W3</x:v>
      </x:c>
      <x:c r="C85" s="967" t="str">
        <x:v>후유증+수리</x:v>
      </x:c>
      <x:c r="D85" s="967" t="n">
        <x:v>5</x:v>
      </x:c>
      <x:c r="E85" s="967" t="n">
        <x:f>14-D85</x:f>
        <x:v>9</x:v>
      </x:c>
      <x:c r="F85" s="967" t="n">
        <x:f>MIN(5,I84+1)</x:f>
        <x:v>5</x:v>
      </x:c>
      <x:c r="G85" s="967" t="n">
        <x:v>0</x:v>
      </x:c>
      <x:c r="H85" s="967" t="n">
        <x:v>0</x:v>
      </x:c>
      <x:c r="I85" s="967" t="n">
        <x:f>MAX(0,MIN(5,F85-G85+H85))</x:f>
        <x:v>5</x:v>
      </x:c>
      <x:c r="J85" s="967" t="n">
        <x:v>1</x:v>
      </x:c>
      <x:c r="K85" s="967" t="n">
        <x:f>K84+J85</x:f>
        <x:v>11</x:v>
      </x:c>
      <x:c r="L85" s="967" t="n">
        <x:v>0</x:v>
      </x:c>
      <x:c r="M85" s="967" t="n">
        <x:v>0</x:v>
      </x:c>
      <x:c r="N85" s="967" t="str"/>
      <x:c r="O85" s="967" t="str"/>
      <x:c r="P85" s="967" t="str">
        <x:f>IF(OR(E85&lt;0,F85&lt;G85),"FAIL","PASS")</x:f>
        <x:v>PASS</x:v>
      </x:c>
    </x:row>
    <x:row r="86" ht="21.600000381469727" hidden="0" customHeight="1">
      <x:c r="A86" s="967" t="n">
        <x:v>21</x:v>
      </x:c>
      <x:c r="B86" s="967" t="str">
        <x:v>W3</x:v>
      </x:c>
      <x:c r="C86" s="967" t="str">
        <x:v>Hidden 판정</x:v>
      </x:c>
      <x:c r="D86" s="967" t="n">
        <x:v>5</x:v>
      </x:c>
      <x:c r="E86" s="967" t="n">
        <x:f>14-D86</x:f>
        <x:v>9</x:v>
      </x:c>
      <x:c r="F86" s="967" t="n">
        <x:f>MIN(5,I85+1)</x:f>
        <x:v>5</x:v>
      </x:c>
      <x:c r="G86" s="967" t="n">
        <x:v>0</x:v>
      </x:c>
      <x:c r="H86" s="967" t="n">
        <x:v>0</x:v>
      </x:c>
      <x:c r="I86" s="967" t="n">
        <x:f>MAX(0,MIN(5,F86-G86+H86))</x:f>
        <x:v>5</x:v>
      </x:c>
      <x:c r="J86" s="967" t="n">
        <x:v>0</x:v>
      </x:c>
      <x:c r="K86" s="967" t="n">
        <x:f>K85+J86</x:f>
        <x:v>11</x:v>
      </x:c>
      <x:c r="L86" s="967" t="n">
        <x:v>0</x:v>
      </x:c>
      <x:c r="M86" s="967" t="n">
        <x:v>0</x:v>
      </x:c>
      <x:c r="N86" s="967" t="str"/>
      <x:c r="O86" s="967" t="str">
        <x:v>Ship Normal + HIGH + HiddenEvidence → Hidden</x:v>
      </x:c>
      <x:c r="P86" s="967" t="str">
        <x:f>IF(OR(E86&lt;0,F86&lt;G86),"FAIL","PASS")</x:f>
        <x:v>PASS</x:v>
      </x:c>
    </x:row>
    <x:row r="87" ht="15" hidden="0" customHeight="1">
      <x:c r="A87" s="969" t="str">
        <x:v>합계</x:v>
      </x:c>
      <x:c r="B87" s="969"/>
      <x:c r="C87" s="969" t="str"/>
      <x:c r="D87" s="969" t="n">
        <x:f>SUM(D66:D86)</x:f>
        <x:v>169</x:v>
      </x:c>
      <x:c r="E87" s="969" t="n">
        <x:f>SUM(E66:E86)</x:f>
        <x:v>125</x:v>
      </x:c>
      <x:c r="F87" s="969"/>
      <x:c r="G87" s="969" t="n">
        <x:f>SUM(G66:G86)</x:f>
        <x:v>7</x:v>
      </x:c>
      <x:c r="H87" s="969" t="n">
        <x:f>SUM(H66:H86)</x:f>
        <x:v>4</x:v>
      </x:c>
      <x:c r="I87" s="969"/>
      <x:c r="J87" s="969" t="n">
        <x:f>SUM(J66:J86)</x:f>
        <x:v>11</x:v>
      </x:c>
      <x:c r="K87" s="969"/>
      <x:c r="L87" s="969" t="n">
        <x:f>SUM(L66:L86)</x:f>
        <x:v>3</x:v>
      </x:c>
      <x:c r="M87" s="969" t="n">
        <x:f>SUM(M66:M86)</x:f>
        <x:v>3</x:v>
      </x:c>
      <x:c r="N87" s="969" t="str"/>
      <x:c r="O87" s="969" t="str"/>
      <x:c r="P87" s="969" t="str">
        <x:f>IF(COUNTIF(P66:P86,"FAIL")=0,"TIME/WILL PASS","FAIL")</x:f>
        <x:v>TIME/WILL PASS</x:v>
      </x:c>
    </x:row>
    <x:row r="88" ht="15" hidden="0" customHeight="1">
      <x:c r="A88" s="967"/>
      <x:c r="B88" s="967"/>
      <x:c r="C88" s="967"/>
      <x:c r="D88" s="967"/>
      <x:c r="E88" s="967"/>
      <x:c r="F88" s="967"/>
      <x:c r="G88" s="967"/>
      <x:c r="H88" s="967"/>
      <x:c r="I88" s="967"/>
      <x:c r="J88" s="967"/>
      <x:c r="K88" s="967"/>
      <x:c r="L88" s="967"/>
      <x:c r="M88" s="967"/>
      <x:c r="N88" s="967"/>
      <x:c r="O88" s="967"/>
      <x:c r="P88" s="967"/>
    </x:row>
    <x:row r="89" ht="26" hidden="0" customHeight="1">
      <x:c r="A89" s="980" t="str">
        <x:v>3. 통합 결과 요약</x:v>
      </x:c>
      <x:c r="B89" s="980"/>
      <x:c r="C89" s="980"/>
      <x:c r="D89" s="980"/>
      <x:c r="E89" s="980"/>
      <x:c r="F89" s="980"/>
      <x:c r="G89" s="980"/>
      <x:c r="H89" s="980"/>
      <x:c r="I89" s="980"/>
      <x:c r="J89" s="980"/>
      <x:c r="K89" s="980"/>
      <x:c r="L89" s="980"/>
      <x:c r="M89" s="980"/>
      <x:c r="N89" s="980"/>
      <x:c r="O89" s="980"/>
      <x:c r="P89" s="980"/>
      <x:c r="Q89" s="426"/>
      <x:c r="R89" s="426"/>
    </x:row>
    <x:row r="90" ht="30" hidden="0" customHeight="1">
      <x:c r="A90" s="983" t="str">
        <x:v>Route</x:v>
      </x:c>
      <x:c r="B90" s="983" t="str">
        <x:v>총 계획 h</x:v>
      </x:c>
      <x:c r="C90" s="983" t="str">
        <x:v>총 자유 h</x:v>
      </x:c>
      <x:c r="D90" s="983" t="str">
        <x:v>Repair 총</x:v>
      </x:c>
      <x:c r="E90" s="983" t="str">
        <x:v>Oasis</x:v>
      </x:c>
      <x:c r="F90" s="983" t="str">
        <x:v>Settlement</x:v>
      </x:c>
      <x:c r="G90" s="983" t="str">
        <x:v>D19 Will 시작</x:v>
      </x:c>
      <x:c r="H90" s="983" t="str">
        <x:v>Mastery</x:v>
      </x:c>
      <x:c r="I90" s="983" t="str">
        <x:v>D15 Ship</x:v>
      </x:c>
      <x:c r="J90" s="983" t="str">
        <x:v>D21 Ship</x:v>
      </x:c>
      <x:c r="K90" s="983" t="str">
        <x:v>Sustainability</x:v>
      </x:c>
      <x:c r="L90" s="983" t="str">
        <x:v>Stance/People</x:v>
      </x:c>
      <x:c r="M90" s="983" t="str">
        <x:v>예상 Ending</x:v>
      </x:c>
      <x:c r="N90" s="983" t="str">
        <x:v>통합 판정</x:v>
      </x:c>
      <x:c r="O90" s="983"/>
      <x:c r="P90" s="983"/>
    </x:row>
    <x:row r="91" ht="21.600000381469727" hidden="0" customHeight="1">
      <x:c r="A91" s="967" t="str">
        <x:v>Normal1</x:v>
      </x:c>
      <x:c r="B91" s="967" t="n">
        <x:f>D37</x:f>
        <x:v>143.5</x:v>
      </x:c>
      <x:c r="C91" s="967" t="n">
        <x:f>E37</x:f>
        <x:v>150.5</x:v>
      </x:c>
      <x:c r="D91" s="967" t="n">
        <x:f>J37</x:f>
        <x:v>9</x:v>
      </x:c>
      <x:c r="E91" s="967" t="n">
        <x:f>L37</x:f>
        <x:v>0</x:v>
      </x:c>
      <x:c r="F91" s="967" t="n">
        <x:f>M37</x:f>
        <x:v>0</x:v>
      </x:c>
      <x:c r="G91" s="967" t="n">
        <x:f>F34</x:f>
        <x:v>3</x:v>
      </x:c>
      <x:c r="H91" s="967" t="str">
        <x:v>0</x:v>
      </x:c>
      <x:c r="I91" s="967" t="str">
        <x:v>Departure Normal34</x:v>
      </x:c>
      <x:c r="J91" s="967" t="str">
        <x:v>보통(4회 복구 가정)</x:v>
      </x:c>
      <x:c r="K91" s="967" t="str">
        <x:v>LOW</x:v>
      </x:c>
      <x:c r="L91" s="967" t="str">
        <x:v>Sam/Borichi LEAVE, Stay-side 유지</x:v>
      </x:c>
      <x:c r="M91" s="967" t="str">
        <x:v>Normal 1</x:v>
      </x:c>
      <x:c r="N91" s="967" t="str">
        <x:v>PASS*</x:v>
      </x:c>
      <x:c r="O91" s="967"/>
      <x:c r="P91" s="967"/>
    </x:row>
    <x:row r="92" ht="15" hidden="0" customHeight="1">
      <x:c r="A92" s="967" t="str">
        <x:v>True</x:v>
      </x:c>
      <x:c r="B92" s="967" t="n">
        <x:f>D62</x:f>
        <x:v>172</x:v>
      </x:c>
      <x:c r="C92" s="967" t="n">
        <x:f>E62</x:f>
        <x:v>122</x:v>
      </x:c>
      <x:c r="D92" s="967" t="n">
        <x:f>J62</x:f>
        <x:v>10</x:v>
      </x:c>
      <x:c r="E92" s="967" t="n">
        <x:f>L62</x:f>
        <x:v>0</x:v>
      </x:c>
      <x:c r="F92" s="967" t="n">
        <x:f>M62</x:f>
        <x:v>2</x:v>
      </x:c>
      <x:c r="G92" s="967" t="n">
        <x:f>F59</x:f>
        <x:v>5</x:v>
      </x:c>
      <x:c r="H92" s="967" t="str">
        <x:v>3 (Sam/Faye/Diya)</x:v>
      </x:c>
      <x:c r="I92" s="967" t="str">
        <x:v>Storm Buffer37</x:v>
      </x:c>
      <x:c r="J92" s="967" t="str">
        <x:v>보통 이상</x:v>
      </x:c>
      <x:c r="K92" s="967" t="str">
        <x:v>LOW~MEDIUM 무관</x:v>
      </x:c>
      <x:c r="L92" s="967" t="str">
        <x:v>All6 + TrueStanceSet</x:v>
      </x:c>
      <x:c r="M92" s="967" t="str">
        <x:v>True</x:v>
      </x:c>
      <x:c r="N92" s="967" t="str">
        <x:v>PASS*</x:v>
      </x:c>
      <x:c r="O92" s="967"/>
      <x:c r="P92" s="967"/>
    </x:row>
    <x:row r="93" ht="21.600000381469727" hidden="0" customHeight="1">
      <x:c r="A93" s="967" t="str">
        <x:v>Hidden</x:v>
      </x:c>
      <x:c r="B93" s="967" t="n">
        <x:f>D87</x:f>
        <x:v>169</x:v>
      </x:c>
      <x:c r="C93" s="967" t="n">
        <x:f>E87</x:f>
        <x:v>125</x:v>
      </x:c>
      <x:c r="D93" s="967" t="n">
        <x:f>J87</x:f>
        <x:v>11</x:v>
      </x:c>
      <x:c r="E93" s="967" t="n">
        <x:f>L87</x:f>
        <x:v>3</x:v>
      </x:c>
      <x:c r="F93" s="967" t="n">
        <x:f>M87</x:f>
        <x:v>3</x:v>
      </x:c>
      <x:c r="G93" s="967" t="n">
        <x:f>F84</x:f>
        <x:v>5</x:v>
      </x:c>
      <x:c r="H93" s="967" t="str">
        <x:v>2 (Borichi/Diya)</x:v>
      </x:c>
      <x:c r="I93" s="967" t="str">
        <x:v>Hidden/Recheck37</x:v>
      </x:c>
      <x:c r="J93" s="967" t="str">
        <x:v>보통</x:v>
      </x:c>
      <x:c r="K93" s="967" t="str">
        <x:v>HIGH Proxy</x:v>
      </x:c>
      <x:c r="L93" s="967" t="str">
        <x:v>Borichi recheck + Diya STAY + Faye/Ben STAY</x:v>
      </x:c>
      <x:c r="M93" s="967" t="str">
        <x:v>Hidden</x:v>
      </x:c>
      <x:c r="N93" s="967" t="str">
        <x:v>PASS*</x:v>
      </x:c>
      <x:c r="O93" s="967"/>
      <x:c r="P93" s="967"/>
    </x:row>
    <x:row r="94" ht="15" hidden="0" customHeight="1">
      <x:c r="A94" s="967"/>
      <x:c r="B94" s="967"/>
      <x:c r="C94" s="967"/>
      <x:c r="D94" s="967"/>
      <x:c r="E94" s="967"/>
      <x:c r="F94" s="967"/>
      <x:c r="G94" s="967"/>
      <x:c r="H94" s="967"/>
      <x:c r="I94" s="967"/>
      <x:c r="J94" s="967"/>
      <x:c r="K94" s="967"/>
      <x:c r="L94" s="967"/>
      <x:c r="M94" s="967"/>
      <x:c r="N94" s="967"/>
      <x:c r="O94" s="967"/>
      <x:c r="P94" s="967"/>
    </x:row>
    <x:row r="95" ht="15" hidden="0" customHeight="1">
      <x:c r="A95" s="969" t="str">
        <x:v>* PASS의 의미</x:v>
      </x:c>
      <x:c r="B95" s="969"/>
      <x:c r="C95" s="969"/>
      <x:c r="D95" s="969"/>
      <x:c r="E95" s="969"/>
      <x:c r="F95" s="969"/>
      <x:c r="G95" s="969"/>
      <x:c r="H95" s="969"/>
      <x:c r="I95" s="969"/>
      <x:c r="J95" s="969"/>
      <x:c r="K95" s="969"/>
      <x:c r="L95" s="969"/>
      <x:c r="M95" s="969"/>
      <x:c r="N95" s="969"/>
      <x:c r="O95" s="969"/>
      <x:c r="P95" s="969"/>
      <x:c r="Q95" s="426"/>
      <x:c r="R95" s="426"/>
    </x:row>
    <x:row r="96">
      <x:c r="A96" s="967" t="str">
        <x:v>현재 작성된 시간·Will·Repair·Preservation·Final 조건만 놓고 보면 세 Route 모두 D1~21에 들어가며 대표 Ending까지 연결된다. 다만 NPC 이동용 Affinity, 실제 XP 공급, Freezer 성공 후 Integrity, Sustainability HIGH 판정 등 아직 정확 수치가 없는 부분은 '가정'으로 연결했다. 따라서 PASS*는 밸런스 확정이 아니라 **구조적 소프트락이 발견되지 않았음**을 뜻한다.</x:v>
      </x:c>
      <x:c r="B96" s="967"/>
      <x:c r="C96" s="967"/>
      <x:c r="D96" s="967"/>
      <x:c r="E96" s="967"/>
      <x:c r="F96" s="967"/>
      <x:c r="G96" s="967"/>
      <x:c r="H96" s="967"/>
      <x:c r="I96" s="967"/>
      <x:c r="J96" s="967"/>
      <x:c r="K96" s="967"/>
      <x:c r="L96" s="967"/>
      <x:c r="M96" s="967"/>
      <x:c r="N96" s="967"/>
      <x:c r="O96" s="967"/>
      <x:c r="P96" s="967"/>
      <x:c r="Q96" s="434"/>
      <x:c r="R96" s="434"/>
    </x:row>
    <x:row r="97">
      <x:c r="A97" s="967"/>
      <x:c r="B97" s="967"/>
      <x:c r="C97" s="967"/>
      <x:c r="D97" s="967"/>
      <x:c r="E97" s="967"/>
      <x:c r="F97" s="967"/>
      <x:c r="G97" s="967"/>
      <x:c r="H97" s="967"/>
      <x:c r="I97" s="967"/>
      <x:c r="J97" s="967"/>
      <x:c r="K97" s="967"/>
      <x:c r="L97" s="967"/>
      <x:c r="M97" s="967"/>
      <x:c r="N97" s="967"/>
      <x:c r="O97" s="967"/>
      <x:c r="P97" s="967"/>
      <x:c r="Q97" s="434"/>
      <x:c r="R97" s="434"/>
    </x:row>
    <x:row r="98">
      <x:c r="A98" s="967"/>
      <x:c r="B98" s="967"/>
      <x:c r="C98" s="967"/>
      <x:c r="D98" s="967"/>
      <x:c r="E98" s="967"/>
      <x:c r="F98" s="967"/>
      <x:c r="G98" s="967"/>
      <x:c r="H98" s="967"/>
      <x:c r="I98" s="967"/>
      <x:c r="J98" s="967"/>
      <x:c r="K98" s="967"/>
      <x:c r="L98" s="967"/>
      <x:c r="M98" s="967"/>
      <x:c r="N98" s="967"/>
      <x:c r="O98" s="967"/>
      <x:c r="P98" s="967"/>
      <x:c r="Q98" s="434"/>
      <x:c r="R98" s="434"/>
    </x:row>
    <x:row r="99">
      <x:c r="A99" s="967"/>
      <x:c r="B99" s="967"/>
      <x:c r="C99" s="967"/>
      <x:c r="D99" s="967"/>
      <x:c r="E99" s="967"/>
      <x:c r="F99" s="967"/>
      <x:c r="G99" s="967"/>
      <x:c r="H99" s="967"/>
      <x:c r="I99" s="967"/>
      <x:c r="J99" s="967"/>
      <x:c r="K99" s="967"/>
      <x:c r="L99" s="967"/>
      <x:c r="M99" s="967"/>
      <x:c r="N99" s="967"/>
      <x:c r="O99" s="967"/>
      <x:c r="P99" s="967"/>
      <x:c r="Q99" s="434"/>
      <x:c r="R99" s="434"/>
    </x:row>
    <x:row r="100" ht="15" hidden="0" customHeight="1">
      <x:c r="A100" s="967"/>
      <x:c r="B100" s="967"/>
      <x:c r="C100" s="967"/>
      <x:c r="D100" s="967"/>
      <x:c r="E100" s="967"/>
      <x:c r="F100" s="967"/>
      <x:c r="G100" s="967"/>
      <x:c r="H100" s="967"/>
      <x:c r="I100" s="967"/>
      <x:c r="J100" s="967"/>
      <x:c r="K100" s="967"/>
      <x:c r="L100" s="967"/>
      <x:c r="M100" s="967"/>
      <x:c r="N100" s="967"/>
      <x:c r="O100" s="967"/>
      <x:c r="P100" s="967"/>
    </x:row>
    <x:row r="101" ht="26" hidden="0" customHeight="1">
      <x:c r="A101" s="980" t="str">
        <x:v>4. 통합 후 패치 후보 — 지금은 수정하지 않음</x:v>
      </x:c>
      <x:c r="B101" s="980"/>
      <x:c r="C101" s="980"/>
      <x:c r="D101" s="980"/>
      <x:c r="E101" s="980"/>
      <x:c r="F101" s="980"/>
      <x:c r="G101" s="980"/>
      <x:c r="H101" s="980"/>
      <x:c r="I101" s="980"/>
      <x:c r="J101" s="980"/>
      <x:c r="K101" s="980"/>
      <x:c r="L101" s="980"/>
      <x:c r="M101" s="980"/>
      <x:c r="N101" s="980"/>
      <x:c r="O101" s="980"/>
      <x:c r="P101" s="980"/>
      <x:c r="Q101" s="426"/>
      <x:c r="R101" s="426"/>
    </x:row>
    <x:row r="102" ht="30" hidden="0" customHeight="1">
      <x:c r="A102" s="983" t="str">
        <x:v>우선</x:v>
      </x:c>
      <x:c r="B102" s="983" t="str">
        <x:v>문제/미확정</x:v>
      </x:c>
      <x:c r="C102" s="983" t="str">
        <x:v>통합에서 드러난 영향</x:v>
      </x:c>
      <x:c r="D102" s="983" t="str">
        <x:v>현재 시뮬 처리</x:v>
      </x:c>
      <x:c r="E102" s="983" t="str">
        <x:v>패치 단계에서 볼 질문</x:v>
      </x:c>
      <x:c r="F102" s="983" t="str">
        <x:v>상태</x:v>
      </x:c>
      <x:c r="G102" s="983"/>
      <x:c r="H102" s="983"/>
      <x:c r="I102" s="983"/>
      <x:c r="J102" s="983"/>
      <x:c r="K102" s="983"/>
      <x:c r="L102" s="983"/>
      <x:c r="M102" s="983"/>
      <x:c r="N102" s="983"/>
      <x:c r="O102" s="983"/>
      <x:c r="P102" s="983"/>
    </x:row>
    <x:row r="103" ht="30" hidden="0" customHeight="1">
      <x:c r="A103" s="971" t="str">
        <x:v>HIGH</x:v>
      </x:c>
      <x:c r="B103" s="971" t="str">
        <x:v>NPC 이동 Affinity 지급량 미작성</x:v>
      </x:c>
      <x:c r="C103" s="971" t="str">
        <x:v>D19 Normal/True/Hidden 모두 '필요 NPC를 09:00에 보낼 수 있는가'를 수치로 증명할 수 없음</x:v>
      </x:c>
      <x:c r="D103" s="971" t="str">
        <x:v>대표 Route가 이동 접근권을 확보했다고 가정</x:v>
      </x:c>
      <x:c r="E103" s="971" t="str">
        <x:v>Character Route 진행이 Affinity&gt;=3을 자연스럽게 보장하는가?</x:v>
      </x:c>
      <x:c r="F103" s="971" t="str">
        <x:v>v1.1 규칙 정의 완료 / 재시뮬 필요</x:v>
      </x:c>
      <x:c r="G103" s="971"/>
      <x:c r="H103" s="971"/>
      <x:c r="I103" s="971"/>
      <x:c r="J103" s="971"/>
      <x:c r="K103" s="971"/>
      <x:c r="L103" s="971"/>
      <x:c r="M103" s="971"/>
      <x:c r="N103" s="971"/>
      <x:c r="O103" s="971"/>
      <x:c r="P103" s="971"/>
    </x:row>
    <x:row r="104" ht="64.80000305175781" hidden="0" customHeight="1">
      <x:c r="A104" s="967" t="str">
        <x:v>HIGH</x:v>
      </x:c>
      <x:c r="B104" s="967" t="str">
        <x:v>실제 XP 공급표 미작성</x:v>
      </x:c>
      <x:c r="C104" s="967" t="str">
        <x:v>True 기술10 / Hidden 기술9 같은 D19 Stat Proxy가 현재 성장곡선 목표일 뿐 실제 Action 보상 합계가 아님</x:v>
      </x:c>
      <x:c r="D104" s="967" t="str">
        <x:v>09_StatGrowth 목표곡선 사용</x:v>
      </x:c>
      <x:c r="E104" s="967" t="str">
        <x:v>D1~18 Action별 XP를 합쳐 요구치와 정확히 맞는가?</x:v>
      </x:c>
      <x:c r="F104" s="967" t="str">
        <x:v>v1.1 XP Pivot 정의 / Action별 전체 배분·재시뮬 필요</x:v>
      </x:c>
      <x:c r="G104" s="967"/>
      <x:c r="H104" s="967"/>
      <x:c r="I104" s="967"/>
      <x:c r="J104" s="967"/>
      <x:c r="K104" s="967"/>
      <x:c r="L104" s="967"/>
      <x:c r="M104" s="967"/>
      <x:c r="N104" s="967"/>
      <x:c r="O104" s="967"/>
      <x:c r="P104" s="967"/>
    </x:row>
    <x:row r="105" ht="32.400001525878906" hidden="0" customHeight="1">
      <x:c r="A105" s="967" t="str">
        <x:v>HIGH</x:v>
      </x:c>
      <x:c r="B105" s="967" t="str">
        <x:v>Freezer Core Critical 성공 후 Integrity 값 미정</x:v>
      </x:c>
      <x:c r="C105" s="967" t="str">
        <x:v>Boss 성공 뒤 ShipCondition 계산에 직접 영향</x:v>
      </x:c>
      <x:c r="D105" s="967" t="str">
        <x:v>기존 Stress Proxy처럼 '기능 유지'만 가정</x:v>
      </x:c>
      <x:c r="E105" s="967" t="str">
        <x:v>성공 시 1/2/기존값 중 무엇으로 남는가?</x:v>
      </x:c>
      <x:c r="F105" s="967" t="str">
        <x:v>해결: 성공 시 Freezer=2 고정</x:v>
      </x:c>
      <x:c r="G105" s="967"/>
      <x:c r="H105" s="967"/>
      <x:c r="I105" s="967"/>
      <x:c r="J105" s="967"/>
      <x:c r="K105" s="967"/>
      <x:c r="L105" s="967"/>
      <x:c r="M105" s="967"/>
      <x:c r="N105" s="967"/>
      <x:c r="O105" s="967"/>
      <x:c r="P105" s="967"/>
    </x:row>
    <x:row r="106" ht="30" hidden="0" customHeight="1">
      <x:c r="A106" s="971" t="str">
        <x:v>HIGH</x:v>
      </x:c>
      <x:c r="B106" s="971" t="str">
        <x:v>Global Hull0 Emergency 문법이 최신 2/2/3 Crisis grammar와 불일치</x:v>
      </x:c>
      <x:c r="C106" s="971" t="str">
        <x:v>Boss Tick 연쇄 시 실제 소요시간/Will/사망 가능성을 통합 계산할 수 없음</x:v>
      </x:c>
      <x:c r="D106" s="971" t="str">
        <x:v>대표 성공 Route에서는 Hull0 미발생 가정</x:v>
      </x:c>
      <x:c r="E106" s="971" t="str">
        <x:v>최신 Stat/Will/NPC 문법으로 다시 닫을 필요</x:v>
      </x:c>
      <x:c r="F106" s="971" t="str">
        <x:v>해결: Forced Phase + Root Timer PAUSE + 신규 해법</x:v>
      </x:c>
      <x:c r="G106" s="971"/>
      <x:c r="H106" s="971"/>
      <x:c r="I106" s="971"/>
      <x:c r="J106" s="971"/>
      <x:c r="K106" s="971"/>
      <x:c r="L106" s="971"/>
      <x:c r="M106" s="971"/>
      <x:c r="N106" s="971"/>
      <x:c r="O106" s="971"/>
      <x:c r="P106" s="971"/>
    </x:row>
    <x:row r="107" ht="64.80000305175781" hidden="0" customHeight="1">
      <x:c r="A107" s="967" t="str">
        <x:v>HIGH</x:v>
      </x:c>
      <x:c r="B107" s="967" t="str">
        <x:v>Sustainability HIGH 정확 계산식이 Proxy</x:v>
      </x:c>
      <x:c r="C107" s="967" t="str">
        <x:v>Hidden 3/3 Preservation이 정말 HIGH인지 Evaluator를 수식으로 증명할 수 없음</x:v>
      </x:c>
      <x:c r="D107" s="967" t="str">
        <x:v>Oasis3+Settlement3=HIGH로 가정</x:v>
      </x:c>
      <x:c r="E107" s="967" t="str">
        <x:v>MEDIUM/HIGH 경계와 재분석 결과식을 확정해야 함</x:v>
      </x:c>
      <x:c r="F107" s="967" t="str">
        <x:v>해결: MEDIUM/HIGH 정확식 정의</x:v>
      </x:c>
      <x:c r="G107" s="967"/>
      <x:c r="H107" s="967"/>
      <x:c r="I107" s="967"/>
      <x:c r="J107" s="967"/>
      <x:c r="K107" s="967"/>
      <x:c r="L107" s="967"/>
      <x:c r="M107" s="967"/>
      <x:c r="N107" s="967"/>
      <x:c r="O107" s="967"/>
      <x:c r="P107" s="967"/>
    </x:row>
    <x:row r="108" ht="30" hidden="0" customHeight="1">
      <x:c r="A108" s="971" t="str">
        <x:v>MED</x:v>
      </x:c>
      <x:c r="B108" s="971" t="str">
        <x:v>D18 Final Will 보상 집중</x:v>
      </x:c>
      <x:c r="C108" s="971" t="str">
        <x:v>True는 Diya+Faye+Benjamin 보상이 같은 날 몰려 Max5 때문에 상당량이 소멸 가능</x:v>
      </x:c>
      <x:c r="D108" s="971" t="str">
        <x:v>Cap5 그대로 적용</x:v>
      </x:c>
      <x:c r="E108" s="971" t="str">
        <x:v>보상 순서/일정이 플레이 선택으로 체감되는가?</x:v>
      </x:c>
      <x:c r="F108" s="971" t="str">
        <x:v>구조 변경: Benjamin Will+3을 D19로 이동 / 재시뮬 필요</x:v>
      </x:c>
      <x:c r="G108" s="971"/>
      <x:c r="H108" s="971"/>
      <x:c r="I108" s="971"/>
      <x:c r="J108" s="971"/>
      <x:c r="K108" s="971"/>
      <x:c r="L108" s="971"/>
      <x:c r="M108" s="971"/>
      <x:c r="N108" s="971"/>
      <x:c r="O108" s="971"/>
      <x:c r="P108" s="971"/>
    </x:row>
    <x:row r="109" ht="30" hidden="0" customHeight="1">
      <x:c r="A109" s="971" t="str">
        <x:v>MED</x:v>
      </x:c>
      <x:c r="B109" s="971" t="str">
        <x:v>Faye 공연 시설 조건 함교&gt;=2/엔진&gt;=2</x:v>
      </x:c>
      <x:c r="C109" s="971" t="str">
        <x:v>D15/D17 Wave Target에 따라 True 핵심 Final이 D18 전에 닫힐 수 있음</x:v>
      </x:c>
      <x:c r="D109" s="971" t="str">
        <x:v>필요 수리로 복구 가능하다고 가정</x:v>
      </x:c>
      <x:c r="E109" s="971" t="str">
        <x:v>의도한 고난도인지, 지나친 Route 절단인지 QA 필요</x:v>
      </x:c>
      <x:c r="F109" s="971" t="str">
        <x:v>해결 방향: 공연 조건 함교/엔진&gt;=1, 대체불가 / AUDIO_LINK 필요</x:v>
      </x:c>
      <x:c r="G109" s="971"/>
      <x:c r="H109" s="971"/>
      <x:c r="I109" s="971"/>
      <x:c r="J109" s="971"/>
      <x:c r="K109" s="971"/>
      <x:c r="L109" s="971"/>
      <x:c r="M109" s="971"/>
      <x:c r="N109" s="971"/>
      <x:c r="O109" s="971"/>
      <x:c r="P109" s="971"/>
    </x:row>
    <x:row r="110" ht="54" hidden="0" customHeight="1">
      <x:c r="A110" s="967" t="str">
        <x:v>MED</x:v>
      </x:c>
      <x:c r="B110" s="967" t="str">
        <x:v>D19 Boss '6h'의 의미</x:v>
      </x:c>
      <x:c r="C110" s="967" t="str">
        <x:v>ActionBudget은 6h지만 실제 Jay 직접시간은 NPC/Stat에 따라 0~12h까지 달라짐</x:v>
      </x:c>
      <x:c r="D110" s="967" t="str">
        <x:v>6h를 Boss Window로 해석</x:v>
      </x:c>
      <x:c r="E110" s="967" t="str">
        <x:v>UI/Timeline에서 'Encounter Window'와 Jay Occupied Time을 분리해야 함</x:v>
      </x:c>
      <x:c r="F110" s="967" t="str">
        <x:v>해결: Boss Window와 Jay TimeCost 분리</x:v>
      </x:c>
      <x:c r="G110" s="967"/>
      <x:c r="H110" s="967"/>
      <x:c r="I110" s="967"/>
      <x:c r="J110" s="967"/>
      <x:c r="K110" s="967"/>
      <x:c r="L110" s="967"/>
      <x:c r="M110" s="967"/>
      <x:c r="N110" s="967"/>
      <x:c r="O110" s="967"/>
      <x:c r="P110" s="967"/>
    </x:row>
    <x:row r="111" ht="30" hidden="0" customHeight="1">
      <x:c r="A111" s="971" t="str">
        <x:v>LOW</x:v>
      </x:c>
      <x:c r="B111" s="971" t="str">
        <x:v>전 주차 총 자유시간이 큼</x:v>
      </x:c>
      <x:c r="C111" s="971" t="str">
        <x:v>대표 Route는 목표 핵심 행동만 넣었기 때문에 120h+의 미사용 시간이 계산됨</x:v>
      </x:c>
      <x:c r="D111" s="971" t="str">
        <x:v>일상/인카운터/추가 성장 미포함</x:v>
      </x:c>
      <x:c r="E111" s="971" t="str">
        <x:v>최종 콘텐츠 밀도 평가 때만 판단</x:v>
      </x:c>
      <x:c r="F111" s="971" t="str">
        <x:v>Affinity 갈등/회복 콘텐츠로 일부 흡수 / 콘텐츠 밀도 재검증 필요</x:v>
      </x:c>
      <x:c r="G111" s="971"/>
      <x:c r="H111" s="971"/>
      <x:c r="I111" s="971"/>
      <x:c r="J111" s="971"/>
      <x:c r="K111" s="971"/>
      <x:c r="L111" s="971"/>
      <x:c r="M111" s="971"/>
      <x:c r="N111" s="971"/>
      <x:c r="O111" s="971"/>
      <x:c r="P111" s="971"/>
    </x:row>
    <x:row r="112" ht="15" hidden="0" customHeight="1">
      <x:c r="A112" s="967"/>
      <x:c r="B112" s="967"/>
      <x:c r="C112" s="967"/>
      <x:c r="D112" s="967"/>
      <x:c r="E112" s="967"/>
      <x:c r="F112" s="967"/>
      <x:c r="G112" s="967"/>
      <x:c r="H112" s="967"/>
      <x:c r="I112" s="967"/>
      <x:c r="J112" s="967"/>
      <x:c r="K112" s="967"/>
      <x:c r="L112" s="967"/>
      <x:c r="M112" s="967"/>
      <x:c r="N112" s="967"/>
      <x:c r="O112" s="967"/>
      <x:c r="P112" s="967"/>
    </x:row>
    <x:row r="113" ht="26" hidden="0" customHeight="1">
      <x:c r="A113" s="980" t="str">
        <x:v>5. 통합 결론 — 밸런스 수정 전 상태</x:v>
      </x:c>
      <x:c r="B113" s="980"/>
      <x:c r="C113" s="980"/>
      <x:c r="D113" s="980"/>
      <x:c r="E113" s="980"/>
      <x:c r="F113" s="980"/>
      <x:c r="G113" s="980"/>
      <x:c r="H113" s="980"/>
      <x:c r="I113" s="980"/>
      <x:c r="J113" s="980"/>
      <x:c r="K113" s="980"/>
      <x:c r="L113" s="980"/>
      <x:c r="M113" s="980"/>
      <x:c r="N113" s="980"/>
      <x:c r="O113" s="980"/>
      <x:c r="P113" s="980"/>
      <x:c r="Q113" s="426"/>
      <x:c r="R113" s="426"/>
    </x:row>
    <x:row r="114" ht="30" hidden="0" customHeight="1">
      <x:c r="A114" s="983" t="str">
        <x:v>항목</x:v>
      </x:c>
      <x:c r="B114" s="983" t="str">
        <x:v>결론</x:v>
      </x:c>
      <x:c r="C114" s="983"/>
      <x:c r="D114" s="983"/>
      <x:c r="E114" s="983"/>
      <x:c r="F114" s="983"/>
      <x:c r="G114" s="983"/>
      <x:c r="H114" s="983"/>
      <x:c r="I114" s="983"/>
      <x:c r="J114" s="983"/>
      <x:c r="K114" s="983"/>
      <x:c r="L114" s="983"/>
      <x:c r="M114" s="983"/>
      <x:c r="N114" s="983"/>
      <x:c r="O114" s="983"/>
      <x:c r="P114" s="983"/>
    </x:row>
    <x:row r="115" ht="43.20000076293945" hidden="0" customHeight="1">
      <x:c r="A115" s="967" t="str">
        <x:v>21일 구조</x:v>
      </x:c>
      <x:c r="B115" s="967" t="str">
        <x:v>Normal / True / Hidden 대표 Route 모두 일별 14h와 Will 비음수 조건을 통과.</x:v>
      </x:c>
      <x:c r="C115" s="967"/>
      <x:c r="D115" s="967"/>
      <x:c r="E115" s="967"/>
      <x:c r="F115" s="967"/>
      <x:c r="G115" s="967"/>
      <x:c r="H115" s="967"/>
      <x:c r="I115" s="967"/>
      <x:c r="J115" s="967"/>
      <x:c r="K115" s="967"/>
      <x:c r="L115" s="967"/>
      <x:c r="M115" s="967"/>
      <x:c r="N115" s="967"/>
      <x:c r="O115" s="967"/>
      <x:c r="P115" s="967"/>
    </x:row>
    <x:row r="116" ht="64.80000305175781" hidden="0" customHeight="1">
      <x:c r="A116" s="967" t="str">
        <x:v>역산 연결</x:v>
      </x:c>
      <x:c r="B116" s="967" t="str">
        <x:v>W1 Focus → W2 Deepening/Repair/Preservation → W3 Final/Boss → Ending Evaluator가 한 줄로 연결됨.</x:v>
      </x:c>
      <x:c r="C116" s="967"/>
      <x:c r="D116" s="967"/>
      <x:c r="E116" s="967"/>
      <x:c r="F116" s="967"/>
      <x:c r="G116" s="967"/>
      <x:c r="H116" s="967"/>
      <x:c r="I116" s="967"/>
      <x:c r="J116" s="967"/>
      <x:c r="K116" s="967"/>
      <x:c r="L116" s="967"/>
      <x:c r="M116" s="967"/>
      <x:c r="N116" s="967"/>
      <x:c r="O116" s="967"/>
      <x:c r="P116" s="967"/>
    </x:row>
    <x:row r="117" ht="64.80000305175781" hidden="0" customHeight="1">
      <x:c r="A117" s="967" t="str">
        <x:v>True</x:v>
      </x:c>
      <x:c r="B117" s="967" t="str">
        <x:v>Faye Focus A, Diya Focus B, Sam 반복지원까지 하면 Mastery3 가능. Stance Final과 D19 All Alive가 핵심 난이도.</x:v>
      </x:c>
      <x:c r="C117" s="967"/>
      <x:c r="D117" s="967"/>
      <x:c r="E117" s="967"/>
      <x:c r="F117" s="967"/>
      <x:c r="G117" s="967"/>
      <x:c r="H117" s="967"/>
      <x:c r="I117" s="967"/>
      <x:c r="J117" s="967"/>
      <x:c r="K117" s="967"/>
      <x:c r="L117" s="967"/>
      <x:c r="M117" s="967"/>
      <x:c r="N117" s="967"/>
      <x:c r="O117" s="967"/>
      <x:c r="P117" s="967"/>
    </x:row>
    <x:row r="118" ht="64.80000305175781" hidden="0" customHeight="1">
      <x:c r="A118" s="967" t="str">
        <x:v>Hidden</x:v>
      </x:c>
      <x:c r="B118" s="967" t="str">
        <x:v>Research3회 + Oasis3(오아시스 펌프·취수정 보존)/Settlement3 + Borichi/Diya Focus가 W3 재분석/HiddenEvidence로 연결.</x:v>
      </x:c>
      <x:c r="C118" s="967"/>
      <x:c r="D118" s="967"/>
      <x:c r="E118" s="967"/>
      <x:c r="F118" s="967"/>
      <x:c r="G118" s="967"/>
      <x:c r="H118" s="967"/>
      <x:c r="I118" s="967"/>
      <x:c r="J118" s="967"/>
      <x:c r="K118" s="967"/>
      <x:c r="L118" s="967"/>
      <x:c r="M118" s="967"/>
      <x:c r="N118" s="967"/>
      <x:c r="O118" s="967"/>
      <x:c r="P118" s="967"/>
    </x:row>
    <x:row r="119" ht="64.80000305175781" hidden="0" customHeight="1">
      <x:c r="A119" s="967" t="str">
        <x:v>Normal</x:v>
      </x:c>
      <x:c r="B119" s="967" t="str">
        <x:v>Special Route 보상 없이도 Repair/NPC/Tick 감수로 Normal1에 도달하는 구조는 성립.</x:v>
      </x:c>
      <x:c r="C119" s="967"/>
      <x:c r="D119" s="967"/>
      <x:c r="E119" s="967"/>
      <x:c r="F119" s="967"/>
      <x:c r="G119" s="967"/>
      <x:c r="H119" s="967"/>
      <x:c r="I119" s="967"/>
      <x:c r="J119" s="967"/>
      <x:c r="K119" s="967"/>
      <x:c r="L119" s="967"/>
      <x:c r="M119" s="967"/>
      <x:c r="N119" s="967"/>
      <x:c r="O119" s="967"/>
      <x:c r="P119" s="967"/>
    </x:row>
    <x:row r="120" ht="86.4000015258789" hidden="0" customHeight="1">
      <x:c r="A120" s="967" t="str">
        <x:v>현재 판단</x:v>
      </x:c>
      <x:c r="B120" s="967" t="str">
        <x:v>**구조 통합 PASS / 수치 밸런스 미확정.** 위 Diagnostic을 패치 리스트로 고정하고 다음 단계에서 한꺼번에 수정하는 것이 맞음.</x:v>
      </x:c>
      <x:c r="C120" s="967"/>
      <x:c r="D120" s="967"/>
      <x:c r="E120" s="967"/>
      <x:c r="F120" s="967"/>
      <x:c r="G120" s="967"/>
      <x:c r="H120" s="967"/>
      <x:c r="I120" s="967"/>
      <x:c r="J120" s="967"/>
      <x:c r="K120" s="967"/>
      <x:c r="L120" s="967"/>
      <x:c r="M120" s="967"/>
      <x:c r="N120" s="967"/>
      <x:c r="O120" s="967"/>
      <x:c r="P120" s="967"/>
    </x:row>
  </x:sheetData>
  <x:mergeCells>
    <x:mergeCell ref="A1:R1"/>
    <x:mergeCell ref="A2:R2"/>
    <x:mergeCell ref="A4:R4"/>
    <x:mergeCell ref="A14:R14"/>
    <x:mergeCell ref="A39:R39"/>
    <x:mergeCell ref="A64:R64"/>
    <x:mergeCell ref="A89:R89"/>
    <x:mergeCell ref="A95:R95"/>
    <x:mergeCell ref="A96:R99"/>
    <x:mergeCell ref="A101:R101"/>
    <x:mergeCell ref="A113:R113"/>
  </x:mergeCells>
  <x:conditionalFormatting sqref="E16:E36">
    <x:cfRule type="cellIs" dxfId="57" priority="1" operator="lessThan">
      <x:formula>0</x:formula>
    </x:cfRule>
  </x:conditionalFormatting>
  <x:conditionalFormatting sqref="E41:E61">
    <x:cfRule type="cellIs" dxfId="58" priority="2" operator="lessThan">
      <x:formula>0</x:formula>
    </x:cfRule>
  </x:conditionalFormatting>
  <x:conditionalFormatting sqref="E66:E86">
    <x:cfRule type="cellIs" dxfId="59" priority="3" operator="lessThan">
      <x:formula>0</x:formula>
    </x:cfRule>
  </x:conditionalFormatting>
  <x:conditionalFormatting sqref="A103:A107">
    <x:cfRule type="expression" dxfId="60" priority="4">
      <x:formula>A103="HIGH"</x:formula>
    </x:cfRule>
  </x:conditionalFormatting>
  <x:conditionalFormatting sqref="A108:A110">
    <x:cfRule type="expression" dxfId="61" priority="5">
      <x:formula>A108="MED"</x:formula>
    </x:cfRule>
  </x:conditionalFormatting>
  <x:pageMargins left="0.7" right="0.7" top="0.75" bottom="0.75" header="0.3" footer="0.3"/>
  <x:drawing xmlns:r="http://schemas.openxmlformats.org/officeDocument/2006/relationships" r:id="Rf18add8a11844c99"/>
</x:worksheet>
</file>

<file path=xl/worksheets/sheet2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18" hidden="0" customWidth="1"/>
    <x:col min="5" max="5" width="26" hidden="0" customWidth="1"/>
    <x:col min="6" max="6" width="18" hidden="0" customWidth="1"/>
    <x:col min="7" max="7" width="2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ht="30" hidden="0" customHeight="1">
      <x:c r="A1" s="974" t="str">
        <x:v>Balance Patch v1.1 — Dynamic Affinity / Strategic XP Pivots / D19 Character-System Integration</x:v>
      </x:c>
      <x:c r="B1" s="974"/>
      <x:c r="C1" s="974"/>
      <x:c r="D1" s="974"/>
      <x:c r="E1" s="974"/>
      <x:c r="F1" s="974"/>
      <x:c r="G1" s="974"/>
      <x:c r="H1" s="974"/>
      <x:c r="I1" s="974"/>
      <x:c r="J1" s="974"/>
      <x:c r="K1" s="974"/>
      <x:c r="L1" s="974"/>
      <x:c r="M1" s="974"/>
      <x:c r="N1" s="974"/>
      <x:c r="O1" s="974"/>
      <x:c r="P1" s="439"/>
      <x:c r="Q1" s="439"/>
      <x:c r="R1" s="439"/>
    </x:row>
    <x:row r="2" ht="42" hidden="0" customHeight="1">
      <x:c r="A2" s="977" t="str">
        <x:v>전제: 내러티브가 시스템보다 우선한다. True/Hidden용 '공략법'은 대사에 정답처럼 표시하지 않고, 실제 관계·시간·Will·XP·Route Flag의 결과로만 드러난다. 2~3개의 불리한 선택은 후속 관계 회복/추가 시간/Will로 만회 가능하게 하고, 그 이상 누적되면 고난도 엔딩이 크게 어려워지는 것을 목표로 한다.</x:v>
      </x:c>
      <x:c r="B2" s="977"/>
      <x:c r="C2" s="977"/>
      <x:c r="D2" s="977"/>
      <x:c r="E2" s="977"/>
      <x:c r="F2" s="977"/>
      <x:c r="G2" s="977"/>
      <x:c r="H2" s="977"/>
      <x:c r="I2" s="977"/>
      <x:c r="J2" s="977"/>
      <x:c r="K2" s="977"/>
      <x:c r="L2" s="977"/>
      <x:c r="M2" s="977"/>
      <x:c r="N2" s="977"/>
      <x:c r="O2" s="977"/>
      <x:c r="P2" s="442"/>
      <x:c r="Q2" s="442"/>
      <x:c r="R2" s="442"/>
    </x:row>
    <x:row r="3" ht="15" hidden="0" customHeight="1">
      <x:c r="A3" s="967"/>
      <x:c r="B3" s="967"/>
      <x:c r="C3" s="967"/>
      <x:c r="D3" s="967"/>
      <x:c r="E3" s="967"/>
      <x:c r="F3" s="967"/>
      <x:c r="G3" s="967"/>
      <x:c r="H3" s="967"/>
      <x:c r="I3" s="967"/>
      <x:c r="J3" s="967"/>
      <x:c r="K3" s="967"/>
      <x:c r="L3" s="967"/>
      <x:c r="M3" s="967"/>
      <x:c r="N3" s="967"/>
      <x:c r="O3" s="967"/>
    </x:row>
    <x:row r="4" ht="26" hidden="0" customHeight="1">
      <x:c r="A4" s="980" t="str">
        <x:v>1. Affinity — 고정 체크가 아니라 오르내리는 신뢰 자원</x:v>
      </x:c>
      <x:c r="B4" s="980"/>
      <x:c r="C4" s="980"/>
      <x:c r="D4" s="980"/>
      <x:c r="E4" s="980"/>
      <x:c r="F4" s="980"/>
      <x:c r="G4" s="980"/>
      <x:c r="H4" s="980"/>
      <x:c r="I4" s="980"/>
      <x:c r="J4" s="980"/>
      <x:c r="K4" s="980"/>
      <x:c r="L4" s="980"/>
      <x:c r="M4" s="980"/>
      <x:c r="N4" s="980"/>
      <x:c r="O4" s="980"/>
      <x:c r="P4" s="443"/>
      <x:c r="Q4" s="443"/>
      <x:c r="R4" s="443"/>
    </x:row>
    <x:row r="5" ht="30" hidden="0" customHeight="1">
      <x:c r="A5" s="983" t="str">
        <x:v>항목</x:v>
      </x:c>
      <x:c r="B5" s="983" t="str">
        <x:v>v1.1 규칙</x:v>
      </x:c>
      <x:c r="C5" s="983" t="str">
        <x:v>의도</x:v>
      </x:c>
      <x:c r="D5" s="983" t="str">
        <x:v>상태</x:v>
      </x:c>
      <x:c r="E5" s="983"/>
      <x:c r="F5" s="983"/>
      <x:c r="G5" s="983"/>
      <x:c r="H5" s="983"/>
      <x:c r="I5" s="983"/>
      <x:c r="J5" s="983"/>
      <x:c r="K5" s="983"/>
      <x:c r="L5" s="983"/>
      <x:c r="M5" s="983"/>
      <x:c r="N5" s="983"/>
      <x:c r="O5" s="983"/>
    </x:row>
    <x:row r="6" ht="24" hidden="0" customHeight="1">
      <x:c r="A6" s="967" t="str">
        <x:v>범위</x:v>
      </x:c>
      <x:c r="B6" s="967" t="str">
        <x:v>핵심6 각각 0~5 정수 / 재회 완료 시 기본 1</x:v>
      </x:c>
      <x:c r="C6" s="967" t="str">
        <x:v>초반부터 0→5 파밍이 아니라 이미 아는 공동체 안에서 신뢰가 변함</x:v>
      </x:c>
      <x:c r="D6" s="967" t="str">
        <x:v>채택</x:v>
      </x:c>
      <x:c r="E6" s="967"/>
      <x:c r="F6" s="967"/>
      <x:c r="G6" s="967"/>
      <x:c r="H6" s="967"/>
      <x:c r="I6" s="967"/>
      <x:c r="J6" s="967"/>
      <x:c r="K6" s="967"/>
      <x:c r="L6" s="967"/>
      <x:c r="M6" s="967"/>
      <x:c r="N6" s="967"/>
      <x:c r="O6" s="967"/>
    </x:row>
    <x:row r="7" ht="48" hidden="0" customHeight="1">
      <x:c r="A7" s="967" t="str">
        <x:v>상승</x:v>
      </x:c>
      <x:c r="B7" s="967" t="str">
        <x:v>+1: 의미 있는 Character Seed/Deepening/갈등 회복. Focus/Final은 해당 장면에서 +1 가능</x:v>
      </x:c>
      <x:c r="C7" s="967" t="str">
        <x:v>반복 대화 파밍 금지</x:v>
      </x:c>
      <x:c r="D7" s="967" t="str">
        <x:v>채택</x:v>
      </x:c>
      <x:c r="E7" s="967"/>
      <x:c r="F7" s="967"/>
      <x:c r="G7" s="967"/>
      <x:c r="H7" s="967"/>
      <x:c r="I7" s="967"/>
      <x:c r="J7" s="967"/>
      <x:c r="K7" s="967"/>
      <x:c r="L7" s="967"/>
      <x:c r="M7" s="967"/>
      <x:c r="N7" s="967"/>
      <x:c r="O7" s="967"/>
    </x:row>
    <x:row r="8" ht="36" hidden="0" customHeight="1">
      <x:c r="A8" s="967" t="str">
        <x:v>하락</x:v>
      </x:c>
      <x:c r="B8" s="967" t="str">
        <x:v>-1~-2: 무리한 부탁, 감정 무시, 사람보다 효율을 우선하는 일부 해결, 약속 파기</x:v>
      </x:c>
      <x:c r="C8" s="967" t="str">
        <x:v>관계를 실제 비용으로 사용</x:v>
      </x:c>
      <x:c r="D8" s="967" t="str">
        <x:v>채택</x:v>
      </x:c>
      <x:c r="E8" s="967"/>
      <x:c r="F8" s="967"/>
      <x:c r="G8" s="967"/>
      <x:c r="H8" s="967"/>
      <x:c r="I8" s="967"/>
      <x:c r="J8" s="967"/>
      <x:c r="K8" s="967"/>
      <x:c r="L8" s="967"/>
      <x:c r="M8" s="967"/>
      <x:c r="N8" s="967"/>
      <x:c r="O8" s="967"/>
    </x:row>
    <x:row r="9" ht="24" hidden="0" customHeight="1">
      <x:c r="A9" s="967" t="str">
        <x:v>자연감소</x:v>
      </x:c>
      <x:c r="B9" s="967" t="str">
        <x:v>없음</x:v>
      </x:c>
      <x:c r="C9" s="967" t="str">
        <x:v>매일 만나지 않았다고 관계가 자동 하락하지 않음</x:v>
      </x:c>
      <x:c r="D9" s="967" t="str">
        <x:v>채택</x:v>
      </x:c>
      <x:c r="E9" s="967"/>
      <x:c r="F9" s="967"/>
      <x:c r="G9" s="967"/>
      <x:c r="H9" s="967"/>
      <x:c r="I9" s="967"/>
      <x:c r="J9" s="967"/>
      <x:c r="K9" s="967"/>
      <x:c r="L9" s="967"/>
      <x:c r="M9" s="967"/>
      <x:c r="N9" s="967"/>
      <x:c r="O9" s="967"/>
    </x:row>
    <x:row r="10" ht="30" hidden="0" customHeight="1">
      <x:c r="A10" s="971" t="str">
        <x:v>일반 NPC 이동</x:v>
      </x:c>
      <x:c r="B10" s="971" t="str">
        <x:v>Affinity&gt;=3 → Will0 / Affinity=2 → Will1 / Affinity=1 → Will2 / Affinity=0 → 불가</x:v>
      </x:c>
      <x:c r="C10" s="971" t="str">
        <x:v>관계에 투자한 Run은 D19 병렬대응에서 Will을 아낌</x:v>
      </x:c>
      <x:c r="D10" s="971" t="str">
        <x:v>채택</x:v>
      </x:c>
      <x:c r="E10" s="971"/>
      <x:c r="F10" s="971"/>
      <x:c r="G10" s="971"/>
      <x:c r="H10" s="971"/>
      <x:c r="I10" s="971"/>
      <x:c r="J10" s="971"/>
      <x:c r="K10" s="971"/>
      <x:c r="L10" s="971"/>
      <x:c r="M10" s="971"/>
      <x:c r="N10" s="971"/>
      <x:c r="O10" s="971"/>
    </x:row>
    <x:row r="11" ht="36" hidden="0" customHeight="1">
      <x:c r="A11" s="967" t="str">
        <x:v>고호감도 특수 부탁</x:v>
      </x:c>
      <x:c r="B11" s="967" t="str">
        <x:v>Affinity&gt;=4인 특정 authored 장면에서 1h 위험/과부하 부탁 가능 → 해결 후 Affinity-1</x:v>
      </x:c>
      <x:c r="C11" s="967" t="str">
        <x:v>호감도를 '쌓고 끝'이 아니라 필요할 때 지불하는 자원으로</x:v>
      </x:c>
      <x:c r="D11" s="967" t="str">
        <x:v>채택</x:v>
      </x:c>
      <x:c r="E11" s="967"/>
      <x:c r="F11" s="967"/>
      <x:c r="G11" s="967"/>
      <x:c r="H11" s="967"/>
      <x:c r="I11" s="967"/>
      <x:c r="J11" s="967"/>
      <x:c r="K11" s="967"/>
      <x:c r="L11" s="967"/>
      <x:c r="M11" s="967"/>
      <x:c r="N11" s="967"/>
      <x:c r="O11" s="967"/>
    </x:row>
    <x:row r="12" ht="36" hidden="0" customHeight="1">
      <x:c r="A12" s="967" t="str">
        <x:v>대체 해법</x:v>
      </x:c>
      <x:c r="B12" s="967" t="str">
        <x:v>고호감도 선택이 없으면 Jay Stat/시간 해법 또는 명시된 [Will] 대체 선택 제공</x:v>
      </x:c>
      <x:c r="C12" s="967" t="str">
        <x:v>Affinity가 Main 진행을 하드락하지 않음</x:v>
      </x:c>
      <x:c r="D12" s="967" t="str">
        <x:v>채택</x:v>
      </x:c>
      <x:c r="E12" s="967"/>
      <x:c r="F12" s="967"/>
      <x:c r="G12" s="967"/>
      <x:c r="H12" s="967"/>
      <x:c r="I12" s="967"/>
      <x:c r="J12" s="967"/>
      <x:c r="K12" s="967"/>
      <x:c r="L12" s="967"/>
      <x:c r="M12" s="967"/>
      <x:c r="N12" s="967"/>
      <x:c r="O12" s="967"/>
    </x:row>
    <x:row r="13" ht="36" hidden="0" customHeight="1">
      <x:c r="A13" s="967" t="str">
        <x:v>갈등 회복</x:v>
      </x:c>
      <x:c r="B13" s="967" t="str">
        <x:v>Affinity 감소를 만든 장면에만 1회성 후속 1.5~2h 오픈 → 대화/행동으로 +1</x:v>
      </x:c>
      <x:c r="C13" s="967" t="str">
        <x:v>2~3회 실수를 시간으로 만회. 무한 파밍 불가</x:v>
      </x:c>
      <x:c r="D13" s="967" t="str">
        <x:v>채택</x:v>
      </x:c>
      <x:c r="E13" s="967"/>
      <x:c r="F13" s="967"/>
      <x:c r="G13" s="967"/>
      <x:c r="H13" s="967"/>
      <x:c r="I13" s="967"/>
      <x:c r="J13" s="967"/>
      <x:c r="K13" s="967"/>
      <x:c r="L13" s="967"/>
      <x:c r="M13" s="967"/>
      <x:c r="N13" s="967"/>
      <x:c r="O13" s="967"/>
    </x:row>
    <x:row r="14" ht="30" hidden="0" customHeight="1">
      <x:c r="A14" s="983" t="str">
        <x:v>Stance</x:v>
      </x:c>
      <x:c r="B14" s="983" t="str">
        <x:v>Affinity로 자동 변하지 않음</x:v>
      </x:c>
      <x:c r="C14" s="983" t="str">
        <x:v>'나를 믿는다'와 '행성을 떠나고 싶다'를 끝까지 분리</x:v>
      </x:c>
      <x:c r="D14" s="983" t="str">
        <x:v>기존 유지</x:v>
      </x:c>
      <x:c r="E14" s="983"/>
      <x:c r="F14" s="983"/>
      <x:c r="G14" s="983"/>
      <x:c r="H14" s="983"/>
      <x:c r="I14" s="983"/>
      <x:c r="J14" s="983"/>
      <x:c r="K14" s="983"/>
      <x:c r="L14" s="983"/>
      <x:c r="M14" s="983"/>
      <x:c r="N14" s="983"/>
      <x:c r="O14" s="983"/>
    </x:row>
    <x:row r="15" ht="15" hidden="0" customHeight="1">
      <x:c r="A15" s="967"/>
      <x:c r="B15" s="967"/>
      <x:c r="C15" s="967"/>
      <x:c r="D15" s="967"/>
      <x:c r="E15" s="967"/>
      <x:c r="F15" s="967"/>
      <x:c r="G15" s="967"/>
      <x:c r="H15" s="967"/>
      <x:c r="I15" s="967"/>
      <x:c r="J15" s="967"/>
      <x:c r="K15" s="967"/>
      <x:c r="L15" s="967"/>
      <x:c r="M15" s="967"/>
      <x:c r="N15" s="967"/>
      <x:c r="O15" s="967"/>
    </x:row>
    <x:row r="16" ht="26" hidden="0" customHeight="1">
      <x:c r="A16" s="980" t="str">
        <x:v>2. 전략적 내러티브 Pivot 8개 — XP와 관계/Route를 맞교환</x:v>
      </x:c>
      <x:c r="B16" s="980"/>
      <x:c r="C16" s="980"/>
      <x:c r="D16" s="980"/>
      <x:c r="E16" s="980"/>
      <x:c r="F16" s="980"/>
      <x:c r="G16" s="980"/>
      <x:c r="H16" s="980"/>
      <x:c r="I16" s="980"/>
      <x:c r="J16" s="980"/>
      <x:c r="K16" s="980"/>
      <x:c r="L16" s="980"/>
      <x:c r="M16" s="980"/>
      <x:c r="N16" s="980"/>
      <x:c r="O16" s="980"/>
      <x:c r="P16" s="443"/>
      <x:c r="Q16" s="443"/>
      <x:c r="R16" s="443"/>
    </x:row>
    <x:row r="17" ht="30" hidden="0" customHeight="1">
      <x:c r="A17" s="971" t="str">
        <x:v>#</x:v>
      </x:c>
      <x:c r="B17" s="971" t="str">
        <x:v>Day</x:v>
      </x:c>
      <x:c r="C17" s="971" t="str">
        <x:v>Quest/Type</x:v>
      </x:c>
      <x:c r="D17" s="971" t="str">
        <x:v>선택 A</x:v>
      </x:c>
      <x:c r="E17" s="971" t="str">
        <x:v>A 결과</x:v>
      </x:c>
      <x:c r="F17" s="971" t="str">
        <x:v>선택 B</x:v>
      </x:c>
      <x:c r="G17" s="971" t="str">
        <x:v>B 결과</x:v>
      </x:c>
      <x:c r="H17" s="971" t="str">
        <x:v>True 관점</x:v>
      </x:c>
      <x:c r="I17" s="971" t="str">
        <x:v>Hidden 관점</x:v>
      </x:c>
      <x:c r="J17" s="971" t="str">
        <x:v>복구성</x:v>
      </x:c>
      <x:c r="K17" s="971" t="str">
        <x:v>서사 안전장치</x:v>
      </x:c>
      <x:c r="L17" s="971"/>
      <x:c r="M17" s="971" t="str">
        <x:v>공략 난이도 목표: 목표 Ending과 반대되는 선택을 1~2개 했다면 해당 인물 갈등 후속(1.5~2h), 추가 Will, D13 복구 작업 등으로 비교적 안정적으로 만회한다. 3번째 실수부터는 회복이 가능해도 W2 수리/보존/Final 시간과 강하게 충돌하고, 4개 이상이면 True/Hidden은 사실상 고난도 재설계가 필요해지는 정도를 목표로 한다. 별도의 '실수 카운터'는 만들지 않고 실제 자원 손실이 이 난이도를 만든다.</x:v>
      </x:c>
      <x:c r="N17" s="971"/>
      <x:c r="O17" s="971"/>
      <x:c r="P17" s="449"/>
      <x:c r="Q17" s="449"/>
      <x:c r="R17" s="449"/>
    </x:row>
    <x:row r="18" ht="48" hidden="0" customHeight="1">
      <x:c r="A18" s="967" t="n">
        <x:v>1</x:v>
      </x:c>
      <x:c r="B18" s="967" t="str">
        <x:v>D6</x:v>
      </x:c>
      <x:c r="C18" s="967" t="str">
        <x:v>오아시스 보고 / MAIN</x:v>
      </x:c>
      <x:c r="D18" s="967" t="str">
        <x:v>운영 위험을 앞세워 '지금 방식으로는 못 버틴다'고 단호히 말한다</x:v>
      </x:c>
      <x:c r="E18" s="967" t="str">
        <x:v>강인함 XP+2 / Sam Aff+1</x:v>
      </x:c>
      <x:c r="F18" s="967" t="str">
        <x:v>결론은 같되 '조건이 바뀌면 재검증 가능'을 기록에 남긴다</x:v>
      </x:c>
      <x:c r="G18" s="967" t="str">
        <x:v>기술 XP+2 / Borichi Aff+1 / RECHECK_CAVEAT</x:v>
      </x:c>
      <x:c r="H18" s="967" t="str">
        <x:v>출항 준비를 빠르게 읽기 쉬움</x:v>
      </x:c>
      <x:c r="I18" s="967" t="str">
        <x:v>후일 재분석 복선 강화</x:v>
      </x:c>
      <x:c r="J18" s="967" t="str">
        <x:v>높음</x:v>
      </x:c>
      <x:c r="K18" s="967" t="str">
        <x:v>둘 다 '현재 방식은 장기거주 보장 불가'라는 동일 사실을 말함</x:v>
      </x:c>
      <x:c r="L18" s="967"/>
      <x:c r="M18" s="967"/>
      <x:c r="N18" s="967"/>
      <x:c r="O18" s="967"/>
      <x:c r="P18" s="449"/>
      <x:c r="Q18" s="449"/>
      <x:c r="R18" s="449"/>
    </x:row>
    <x:row r="19" ht="36" hidden="0" customHeight="1">
      <x:c r="A19" s="967" t="n">
        <x:v>2</x:v>
      </x:c>
      <x:c r="B19" s="967" t="str">
        <x:v>D7</x:v>
      </x:c>
      <x:c r="C19" s="967" t="str">
        <x:v>공동체 공개 / MAIN</x:v>
      </x:c>
      <x:c r="D19" s="967" t="str">
        <x:v>전체 공개하고 혼란도 감당한다</x:v>
      </x:c>
      <x:c r="E19" s="967" t="str">
        <x:v>강인함 XP+2 / Sam Aff+1 / Diya Aff-1</x:v>
      </x:c>
      <x:c r="F19" s="967" t="str">
        <x:v>제한 공개로 필요한 사람부터 설득한다</x:v>
      </x:c>
      <x:c r="G19" s="967" t="str">
        <x:v>교감 XP+2 / Diya Aff+1 / Sam Aff-1</x:v>
      </x:c>
      <x:c r="H19" s="967" t="str">
        <x:v>전원 결정 준비에 유리하나 관계비용 존재</x:v>
      </x:c>
      <x:c r="I19" s="967" t="str">
        <x:v>공동체 안정/정착 관계에 유리</x:v>
      </x:c>
      <x:c r="J19" s="967" t="str">
        <x:v>높음</x:v>
      </x:c>
      <x:c r="K19" s="967" t="str">
        <x:v>공개 범위 선택은 기존 W1 핵심 선택을 그대로 확장</x:v>
      </x:c>
      <x:c r="L19" s="967"/>
      <x:c r="M19" s="967"/>
      <x:c r="N19" s="967"/>
      <x:c r="O19" s="967"/>
      <x:c r="P19" s="449"/>
      <x:c r="Q19" s="449"/>
      <x:c r="R19" s="449"/>
    </x:row>
    <x:row r="20" ht="48" hidden="0" customHeight="1">
      <x:c r="A20" s="967" t="n">
        <x:v>3</x:v>
      </x:c>
      <x:c r="B20" s="967" t="str">
        <x:v>D8</x:v>
      </x:c>
      <x:c r="C20" s="967" t="str">
        <x:v>보리치 폭풍 분석 / CHARACTER</x:v>
      </x:c>
      <x:c r="D20" s="967" t="str">
        <x:v>「오늘은 여기까지 하자. 기록은 내가 보관할게.」</x:v>
      </x:c>
      <x:c r="E20" s="967" t="str">
        <x:v>Borichi Aff+1 / 단서 획득 지연</x:v>
      </x:c>
      <x:c r="F20" s="967" t="str">
        <x:v>「한 번만 더 같이 보자. 네가 혼자 보게 두진 않을게.」</x:v>
      </x:c>
      <x:c r="G20" s="967" t="str">
        <x:v>기술 XP+3 / Borichi Aff-1 / 폭풍 단서 즉시</x:v>
      </x:c>
      <x:c r="H20" s="967" t="str">
        <x:v>기술 성장에 도움</x:v>
      </x:c>
      <x:c r="I20" s="967" t="str">
        <x:v>Hidden도 단서는 좋지만 Affinity를 다시 복구해야 함</x:v>
      </x:c>
      <x:c r="J20" s="967" t="str">
        <x:v>높음</x:v>
      </x:c>
      <x:c r="K20" s="967" t="str">
        <x:v>필요를 솔직히 부탁하고 함께 감당하지만 Borichi가 도구처럼 느낀 비용은 남음</x:v>
      </x:c>
      <x:c r="L20" s="967"/>
      <x:c r="M20" s="967"/>
      <x:c r="N20" s="967"/>
      <x:c r="O20" s="967"/>
      <x:c r="P20" s="449"/>
      <x:c r="Q20" s="449"/>
      <x:c r="R20" s="449"/>
    </x:row>
    <x:row r="21" ht="48" hidden="0" customHeight="1">
      <x:c r="A21" s="967" t="n">
        <x:v>4</x:v>
      </x:c>
      <x:c r="B21" s="967" t="str">
        <x:v>D9</x:v>
      </x:c>
      <x:c r="C21" s="967" t="str">
        <x:v>페이 전력·방송 연결 / CHARACTER+SIDE</x:v>
      </x:c>
      <x:c r="D21" s="967" t="str">
        <x:v>엔진 보조전원과 함교 방송망에 음악용 회선을 따로 남긴다</x:v>
      </x:c>
      <x:c r="E21" s="967" t="str">
        <x:v>Faye Aff+1 / AUDIO_LINK_READY / 기술 XP+1</x:v>
      </x:c>
      <x:c r="F21" s="967" t="str">
        <x:v>증폭기·신시 부품을 피난 설비에 돌린다</x:v>
      </x:c>
      <x:c r="G21" s="967" t="str">
        <x:v>기술 XP+3 / Faye Aff-2 / AUDIO_LINK_DAMAGED / 즉시 수리 효율 보조</x:v>
      </x:c>
      <x:c r="H21" s="967" t="str">
        <x:v>True에 치명적으로 불리하지만 D13 추가작업으로 복구 가능</x:v>
      </x:c>
      <x:c r="I21" s="967" t="str">
        <x:v>Hidden/생존 위주 Run에는 유혹적인 선택</x:v>
      </x:c>
      <x:c r="J21" s="967" t="str">
        <x:v>중간</x:v>
      </x:c>
      <x:c r="K21" s="967" t="str">
        <x:v>페이가 왜 상처받는지 명확하고, 생존 압박 때문에 B도 충분히 합리적</x:v>
      </x:c>
      <x:c r="L21" s="967"/>
      <x:c r="M21" s="967"/>
      <x:c r="N21" s="967"/>
      <x:c r="O21" s="967"/>
      <x:c r="P21" s="449"/>
      <x:c r="Q21" s="449"/>
      <x:c r="R21" s="449"/>
    </x:row>
    <x:row r="22" ht="36" hidden="0" customHeight="1">
      <x:c r="A22" s="967" t="n">
        <x:v>5</x:v>
      </x:c>
      <x:c r="B22" s="967" t="str">
        <x:v>D10</x:v>
      </x:c>
      <x:c r="C22" s="967" t="str">
        <x:v>미라 수색·발견 후 지나 / CHARACTER</x:v>
      </x:c>
      <x:c r="D22" s="967" t="str">
        <x:v>지나에게 미라 곁에 있으라고 한다</x:v>
      </x:c>
      <x:c r="E22" s="967" t="str">
        <x:v>Jina Aff+1 / 추가2h 소요</x:v>
      </x:c>
      <x:c r="F22" s="967" t="str">
        <x:v>대피 책임으로 바로 돌려보낸다</x:v>
      </x:c>
      <x:c r="G22" s="967" t="str">
        <x:v>강인함 XP+2 / Jina Aff-1 / 2h 절약</x:v>
      </x:c>
      <x:c r="H22" s="967" t="str">
        <x:v>True Jina 신뢰에는 A가 안전</x:v>
      </x:c>
      <x:c r="I22" s="967" t="str">
        <x:v>다른 준비시간 확보엔 B가 유리</x:v>
      </x:c>
      <x:c r="J22" s="967" t="str">
        <x:v>높음</x:v>
      </x:c>
      <x:c r="K22" s="967" t="str">
        <x:v>미라 발견 결과 자체와 분리. 수색 성공을 뒤집지 않음</x:v>
      </x:c>
      <x:c r="L22" s="967"/>
      <x:c r="M22" s="967"/>
      <x:c r="N22" s="967"/>
      <x:c r="O22" s="967"/>
      <x:c r="P22" s="449"/>
      <x:c r="Q22" s="449"/>
      <x:c r="R22" s="449"/>
    </x:row>
    <x:row r="23" ht="48" hidden="0" customHeight="1">
      <x:c r="A23" s="967" t="n">
        <x:v>6</x:v>
      </x:c>
      <x:c r="B23" s="967" t="str">
        <x:v>D11</x:v>
      </x:c>
      <x:c r="C23" s="967" t="str">
        <x:v>디야 축제 후 대면 / CHARACTER</x:v>
      </x:c>
      <x:c r="D23" s="967" t="str">
        <x:v>'아이들에게도 직접 물어보자'</x:v>
      </x:c>
      <x:c r="E23" s="967" t="str">
        <x:v>교감 XP+2 / TRUE_CHILD_CHOICE / Diya Aff-1</x:v>
      </x:c>
      <x:c r="F23" s="967" t="str">
        <x:v>'네 말이 맞아. 여기가 아이들의 집이야'</x:v>
      </x:c>
      <x:c r="G23" s="967" t="str">
        <x:v>Diya Aff+1 / HIDDEN_HOME_CHOICE</x:v>
      </x:c>
      <x:c r="H23" s="967" t="str">
        <x:v>True 핵심</x:v>
      </x:c>
      <x:c r="I23" s="967" t="str">
        <x:v>Hidden 핵심</x:v>
      </x:c>
      <x:c r="J23" s="967" t="str">
        <x:v>낮음(의도된 Route Fork)</x:v>
      </x:c>
      <x:c r="K23" s="967" t="str">
        <x:v>둘 다 디야의 가치관을 존중하며, 한쪽을 거짓말/악으로 만들지 않음</x:v>
      </x:c>
      <x:c r="L23" s="967"/>
      <x:c r="M23" s="967"/>
      <x:c r="N23" s="967"/>
      <x:c r="O23" s="967"/>
      <x:c r="P23" s="449"/>
      <x:c r="Q23" s="449"/>
      <x:c r="R23" s="449"/>
    </x:row>
    <x:row r="24" ht="48" hidden="0" customHeight="1">
      <x:c r="A24" s="967" t="n">
        <x:v>7</x:v>
      </x:c>
      <x:c r="B24" s="967" t="str">
        <x:v>D12</x:v>
      </x:c>
      <x:c r="C24" s="967" t="str">
        <x:v>벤자민 Living Ship / CHARACTER</x:v>
      </x:c>
      <x:c r="D24" s="967" t="str">
        <x:v>「묘지는 사라지지 않아. 지금은 살아 있는 사람들이 돌아올 배를 같이 보자.」</x:v>
      </x:c>
      <x:c r="E24" s="967" t="str">
        <x:v>강인함 XP+2 / Benjamin Aff-1 / LIVING_SHIP_OPEN</x:v>
      </x:c>
      <x:c r="F24" s="967" t="str">
        <x:v>「먼저 남겨질 이름부터 챙기자. 배 이야기는 그 다음에 해도 돼.」</x:v>
      </x:c>
      <x:c r="G24" s="967" t="str">
        <x:v>Benjamin Aff+1 / STAY_MEMORY_REINFORCED</x:v>
      </x:c>
      <x:c r="H24" s="967" t="str">
        <x:v>True Final 접근 빠름</x:v>
      </x:c>
      <x:c r="I24" s="967" t="str">
        <x:v>Hidden의 STAY 근거 강화</x:v>
      </x:c>
      <x:c r="J24" s="967" t="str">
        <x:v>중간</x:v>
      </x:c>
      <x:c r="K24" s="967" t="str">
        <x:v>약혼자의 기억 가치를 부정하지 않고 '무엇을 먼저 할지'만 선택</x:v>
      </x:c>
      <x:c r="L24" s="967"/>
      <x:c r="M24" s="967"/>
      <x:c r="N24" s="967"/>
      <x:c r="O24" s="967"/>
      <x:c r="P24" s="449"/>
      <x:c r="Q24" s="449"/>
      <x:c r="R24" s="449"/>
    </x:row>
    <x:row r="25" ht="48" hidden="0" customHeight="1">
      <x:c r="A25" s="967" t="n">
        <x:v>8</x:v>
      </x:c>
      <x:c r="B25" s="967" t="str">
        <x:v>D13</x:v>
      </x:c>
      <x:c r="C25" s="967" t="str">
        <x:v>샘 야간 인계 전 / CHARACTER</x:v>
      </x:c>
      <x:c r="D25" s="967" t="str">
        <x:v>「기준을 같이 적자. 네가 혼자 결정하는 게 아니야.」</x:v>
      </x:c>
      <x:c r="E25" s="967" t="str">
        <x:v>Sam Aff+1 / BURDEN-1 / 1.5h</x:v>
      </x:c>
      <x:c r="F25" s="967" t="str">
        <x:v>「기준을 정했으면 다음엔 망설이지 마. 모두를 살리려다 둘 다 잃지 마.」</x:v>
      </x:c>
      <x:c r="G25" s="967" t="str">
        <x:v>강인함 XP+3 / Sam Aff-1 / BURDEN+1 / 시간 절약</x:v>
      </x:c>
      <x:c r="H25" s="967" t="str">
        <x:v>True/생존 안정은 A가 안전</x:v>
      </x:c>
      <x:c r="I25" s="967" t="str">
        <x:v>B는 성장엔 강하지만 D17 붕괴 위험 증가</x:v>
      </x:c>
      <x:c r="J25" s="967" t="str">
        <x:v>중간</x:v>
      </x:c>
      <x:c r="K25" s="967" t="str">
        <x:v>샘에게 책임을 떠넘기는 말이 아니라 D13 비극을 예비하는 냉정한 리더십 조언</x:v>
      </x:c>
      <x:c r="L25" s="967"/>
      <x:c r="M25" s="967"/>
      <x:c r="N25" s="967"/>
      <x:c r="O25" s="967"/>
      <x:c r="P25" s="449"/>
      <x:c r="Q25" s="449"/>
      <x:c r="R25" s="449"/>
    </x:row>
    <x:row r="26" ht="15" hidden="0" customHeight="1">
      <x:c r="A26" s="967"/>
      <x:c r="B26" s="967"/>
      <x:c r="C26" s="967"/>
      <x:c r="D26" s="967"/>
      <x:c r="E26" s="967"/>
      <x:c r="F26" s="967"/>
      <x:c r="G26" s="967"/>
      <x:c r="H26" s="967"/>
      <x:c r="I26" s="967"/>
      <x:c r="J26" s="967"/>
      <x:c r="K26" s="967"/>
      <x:c r="L26" s="967"/>
      <x:c r="M26" s="967"/>
      <x:c r="N26" s="967"/>
      <x:c r="O26" s="967"/>
    </x:row>
    <x:row r="27" ht="26" hidden="0" customHeight="1">
      <x:c r="A27" s="980" t="str">
        <x:v>3. XP 공급 — 자연스럽게 다 주지 않고, 선택을 읽은 사람이 더 잘 성장</x:v>
      </x:c>
      <x:c r="B27" s="980"/>
      <x:c r="C27" s="980"/>
      <x:c r="D27" s="980"/>
      <x:c r="E27" s="980"/>
      <x:c r="F27" s="980"/>
      <x:c r="G27" s="980"/>
      <x:c r="H27" s="980"/>
      <x:c r="I27" s="980"/>
      <x:c r="J27" s="980"/>
      <x:c r="K27" s="980"/>
      <x:c r="L27" s="980"/>
      <x:c r="M27" s="980"/>
      <x:c r="N27" s="980"/>
      <x:c r="O27" s="980"/>
      <x:c r="P27" s="443"/>
      <x:c r="Q27" s="443"/>
      <x:c r="R27" s="443"/>
    </x:row>
    <x:row r="28" ht="30" hidden="0" customHeight="1">
      <x:c r="A28" s="983" t="str">
        <x:v>구분</x:v>
      </x:c>
      <x:c r="B28" s="983" t="str">
        <x:v>XP 규칙</x:v>
      </x:c>
      <x:c r="C28" s="983" t="str">
        <x:v>목적</x:v>
      </x:c>
      <x:c r="D28" s="983" t="str">
        <x:v>상태</x:v>
      </x:c>
      <x:c r="E28" s="983"/>
      <x:c r="F28" s="983"/>
      <x:c r="G28" s="983"/>
      <x:c r="H28" s="983"/>
      <x:c r="I28" s="983"/>
      <x:c r="J28" s="983"/>
      <x:c r="K28" s="983"/>
      <x:c r="L28" s="983"/>
      <x:c r="M28" s="983" t="str">
        <x:v>공급</x:v>
      </x:c>
      <x:c r="N28" s="983" t="str">
        <x:v>대표XP</x:v>
      </x:c>
      <x:c r="O28" s="983" t="str">
        <x:v>성격</x:v>
      </x:c>
    </x:row>
    <x:row r="29" ht="24" hidden="0" customHeight="1">
      <x:c r="A29" s="967" t="str">
        <x:v>일반 생활/반복</x:v>
      </x:c>
      <x:c r="B29" s="967" t="str">
        <x:v>대부분 0~1XP</x:v>
      </x:c>
      <x:c r="C29" s="967" t="str">
        <x:v>시간만 남는다고 무한 성장하는 느낌 방지</x:v>
      </x:c>
      <x:c r="D29" s="967" t="str">
        <x:v>채택</x:v>
      </x:c>
      <x:c r="E29" s="967"/>
      <x:c r="F29" s="967"/>
      <x:c r="G29" s="967"/>
      <x:c r="H29" s="967"/>
      <x:c r="I29" s="967"/>
      <x:c r="J29" s="967"/>
      <x:c r="K29" s="967"/>
      <x:c r="L29" s="967"/>
      <x:c r="M29" s="967" t="str">
        <x:v>일반</x:v>
      </x:c>
      <x:c r="N29" s="967" t="n">
        <x:v>1</x:v>
      </x:c>
      <x:c r="O29" s="967" t="str">
        <x:v>낮음</x:v>
      </x:c>
    </x:row>
    <x:row r="30" ht="24" hidden="0" customHeight="1">
      <x:c r="A30" s="967" t="str">
        <x:v>Main/Character Pivot</x:v>
      </x:c>
      <x:c r="B30" s="967" t="str">
        <x:v>위 8개 중 성장 선택은 보통 +2~3XP</x:v>
      </x:c>
      <x:c r="C30" s="967" t="str">
        <x:v>공략에서 '어떤 대가를 감수하고 성장할지' 선택</x:v>
      </x:c>
      <x:c r="D30" s="967" t="str">
        <x:v>채택</x:v>
      </x:c>
      <x:c r="E30" s="967"/>
      <x:c r="F30" s="967"/>
      <x:c r="G30" s="967"/>
      <x:c r="H30" s="967"/>
      <x:c r="I30" s="967"/>
      <x:c r="J30" s="967"/>
      <x:c r="K30" s="967"/>
      <x:c r="L30" s="967"/>
      <x:c r="M30" s="967" t="str">
        <x:v>Pivot</x:v>
      </x:c>
      <x:c r="N30" s="967" t="n">
        <x:v>3</x:v>
      </x:c>
      <x:c r="O30" s="967" t="str">
        <x:v>중심</x:v>
      </x:c>
    </x:row>
    <x:row r="31" ht="24" hidden="0" customHeight="1">
      <x:c r="A31" s="967" t="str">
        <x:v>Focus/Deepening</x:v>
      </x:c>
      <x:c r="B31" s="967" t="str">
        <x:v>조건 충족 시 1~2XP 후보, 주차별 XP 예산 안에서 배분</x:v>
      </x:c>
      <x:c r="C31" s="967" t="str">
        <x:v>Route를 따라간 보상</x:v>
      </x:c>
      <x:c r="D31" s="967" t="str">
        <x:v>TEMP</x:v>
      </x:c>
      <x:c r="E31" s="967"/>
      <x:c r="F31" s="967"/>
      <x:c r="G31" s="967"/>
      <x:c r="H31" s="967"/>
      <x:c r="I31" s="967"/>
      <x:c r="J31" s="967"/>
      <x:c r="K31" s="967"/>
      <x:c r="L31" s="967"/>
      <x:c r="M31" s="967" t="str">
        <x:v>Mastery</x:v>
      </x:c>
      <x:c r="N31" s="967" t="n">
        <x:v>6</x:v>
      </x:c>
      <x:c r="O31" s="967" t="str">
        <x:v>클라이맥스</x:v>
      </x:c>
    </x:row>
    <x:row r="32" ht="15" hidden="0" customHeight="1">
      <x:c r="A32" s="967" t="str">
        <x:v>Route Mastery</x:v>
      </x:c>
      <x:c r="B32" s="967" t="str">
        <x:v>+6XP = +1Lv</x:v>
      </x:c>
      <x:c r="C32" s="967" t="str">
        <x:v>W3 Final 직전/중 즉시 체감</x:v>
      </x:c>
      <x:c r="D32" s="967" t="str">
        <x:v>기존 유지</x:v>
      </x:c>
      <x:c r="E32" s="967"/>
      <x:c r="F32" s="967"/>
      <x:c r="G32" s="967"/>
      <x:c r="H32" s="967"/>
      <x:c r="I32" s="967"/>
      <x:c r="J32" s="967"/>
      <x:c r="K32" s="967"/>
      <x:c r="L32" s="967"/>
      <x:c r="M32" s="967" t="str">
        <x:v>Affinity 회복</x:v>
      </x:c>
      <x:c r="N32" s="967" t="n">
        <x:v>0</x:v>
      </x:c>
      <x:c r="O32" s="967" t="str">
        <x:v>관계</x:v>
      </x:c>
    </x:row>
    <x:row r="33" ht="24" hidden="0" customHeight="1">
      <x:c r="A33" s="967" t="str">
        <x:v>주차별 목표곡선</x:v>
      </x:c>
      <x:c r="B33" s="967" t="str">
        <x:v>D4~7 집중분야 +12 / D8~10 +6 / D11~14 +6 / D15~17 +6 / D18~20 +6</x:v>
      </x:c>
      <x:c r="C33" s="967" t="str">
        <x:v>기존 성장곡선 유지. Pivot XP가 이 총량 안에 포함</x:v>
      </x:c>
      <x:c r="D33" s="967" t="str">
        <x:v>유지</x:v>
      </x:c>
      <x:c r="E33" s="967"/>
      <x:c r="F33" s="967"/>
      <x:c r="G33" s="967"/>
      <x:c r="H33" s="967"/>
      <x:c r="I33" s="967"/>
      <x:c r="J33" s="967"/>
      <x:c r="K33" s="967"/>
      <x:c r="L33" s="967"/>
      <x:c r="M33" s="967" t="str">
        <x:v>위험 부탁</x:v>
      </x:c>
      <x:c r="N33" s="967" t="n">
        <x:v>0</x:v>
      </x:c>
      <x:c r="O33" s="967" t="str">
        <x:v>시간절약</x:v>
      </x:c>
    </x:row>
    <x:row r="34" ht="36" hidden="0" customHeight="1">
      <x:c r="A34" s="967" t="str">
        <x:v>초과 공급</x:v>
      </x:c>
      <x:c r="B34" s="967" t="str">
        <x:v>한 구간에서 목표치를 넘어도 XP 획득은 가능하지만 authored Action 총량으로 통제</x:v>
      </x:c>
      <x:c r="C34" s="967" t="str">
        <x:v>완벽 공략의 소폭 초과 허용 여부는 재시뮬 후 판단</x:v>
      </x:c>
      <x:c r="D34" s="967" t="str">
        <x:v>재시뮬 필요</x:v>
      </x:c>
      <x:c r="E34" s="967"/>
      <x:c r="F34" s="967"/>
      <x:c r="G34" s="967"/>
      <x:c r="H34" s="967"/>
      <x:c r="I34" s="967"/>
      <x:c r="J34" s="967"/>
      <x:c r="K34" s="967"/>
      <x:c r="L34" s="967"/>
      <x:c r="M34" s="967"/>
      <x:c r="N34" s="967"/>
      <x:c r="O34" s="967"/>
    </x:row>
    <x:row r="35" ht="15" hidden="0" customHeight="1">
      <x:c r="A35" s="967"/>
      <x:c r="B35" s="967"/>
      <x:c r="C35" s="967"/>
      <x:c r="D35" s="967"/>
      <x:c r="E35" s="967"/>
      <x:c r="F35" s="967"/>
      <x:c r="G35" s="967"/>
      <x:c r="H35" s="967"/>
      <x:c r="I35" s="967"/>
      <x:c r="J35" s="967"/>
      <x:c r="K35" s="967"/>
      <x:c r="L35" s="967"/>
      <x:c r="M35" s="967"/>
      <x:c r="N35" s="967"/>
      <x:c r="O35" s="967"/>
    </x:row>
    <x:row r="36" ht="26" hidden="0" customHeight="1">
      <x:c r="A36" s="980" t="str">
        <x:v>4. HIGH 패치 확정 — Freezer / Global Hull0 / Sustainability</x:v>
      </x:c>
      <x:c r="B36" s="980"/>
      <x:c r="C36" s="980"/>
      <x:c r="D36" s="980"/>
      <x:c r="E36" s="980"/>
      <x:c r="F36" s="980"/>
      <x:c r="G36" s="980"/>
      <x:c r="H36" s="980"/>
      <x:c r="I36" s="980"/>
      <x:c r="J36" s="980"/>
      <x:c r="K36" s="980"/>
      <x:c r="L36" s="980"/>
      <x:c r="M36" s="980"/>
      <x:c r="N36" s="980"/>
      <x:c r="O36" s="980"/>
      <x:c r="P36" s="443"/>
      <x:c r="Q36" s="443"/>
      <x:c r="R36" s="443"/>
    </x:row>
    <x:row r="37" ht="30" hidden="0" customHeight="1">
      <x:c r="A37" s="983" t="str">
        <x:v>항목</x:v>
      </x:c>
      <x:c r="B37" s="983" t="str">
        <x:v>v1.1 규칙</x:v>
      </x:c>
      <x:c r="C37" s="983" t="str">
        <x:v>결과</x:v>
      </x:c>
      <x:c r="D37" s="983" t="str">
        <x:v>상태</x:v>
      </x:c>
      <x:c r="E37" s="983"/>
      <x:c r="F37" s="983"/>
      <x:c r="G37" s="983"/>
      <x:c r="H37" s="983"/>
      <x:c r="I37" s="983"/>
      <x:c r="J37" s="983"/>
      <x:c r="K37" s="983"/>
      <x:c r="L37" s="983"/>
      <x:c r="M37" s="983"/>
      <x:c r="N37" s="983"/>
      <x:c r="O37" s="983"/>
    </x:row>
    <x:row r="38" ht="24" hidden="0" customHeight="1">
      <x:c r="A38" s="967" t="str">
        <x:v>Freezer D19 성공</x:v>
      </x:c>
      <x:c r="B38" s="967" t="str">
        <x:v>어떤 성공 해법이든 Recovery 종료 시 Freezer Integrity=2 고정</x:v>
      </x:c>
      <x:c r="C38" s="967" t="str">
        <x:v>살렸지만 여전히 손상된 상태. 이후 일반 수리 가능</x:v>
      </x:c>
      <x:c r="D38" s="967" t="str">
        <x:v>확정</x:v>
      </x:c>
      <x:c r="E38" s="967"/>
      <x:c r="F38" s="967"/>
      <x:c r="G38" s="967"/>
      <x:c r="H38" s="967"/>
      <x:c r="I38" s="967"/>
      <x:c r="J38" s="967"/>
      <x:c r="K38" s="967"/>
      <x:c r="L38" s="967"/>
      <x:c r="M38" s="967"/>
      <x:c r="N38" s="967"/>
      <x:c r="O38" s="967"/>
    </x:row>
    <x:row r="39" ht="24" hidden="0" customHeight="1">
      <x:c r="A39" s="967" t="str">
        <x:v>Global Hull0 Trigger</x:v>
      </x:c>
      <x:c r="B39" s="967" t="str">
        <x:v>Hull 1+→0 즉시 모든 일반 Root보다 우선하는 Forced Phase</x:v>
      </x:c>
      <x:c r="C39" s="967" t="str">
        <x:v>Collapse Deadline 4h</x:v>
      </x:c>
      <x:c r="D39" s="967" t="str">
        <x:v>확정 후보</x:v>
      </x:c>
      <x:c r="E39" s="967"/>
      <x:c r="F39" s="967"/>
      <x:c r="G39" s="967"/>
      <x:c r="H39" s="967"/>
      <x:c r="I39" s="967"/>
      <x:c r="J39" s="967"/>
      <x:c r="K39" s="967"/>
      <x:c r="L39" s="967"/>
      <x:c r="M39" s="967"/>
      <x:c r="N39" s="967"/>
      <x:c r="O39" s="967"/>
    </x:row>
    <x:row r="40" ht="36" hidden="0" customHeight="1">
      <x:c r="A40" s="967" t="str">
        <x:v>Hull0 타이머</x:v>
      </x:c>
      <x:c r="B40" s="967" t="str">
        <x:v>Forced Phase 동안 기존 Breach/Oxygen/Panic/Freezer 일반 Root Tick의 남은시간을 PAUSE</x:v>
      </x:c>
      <x:c r="C40" s="967" t="str">
        <x:v>Hull0 하나 때문에 연쇄 사망이 사실상 확정되는 문제 방지</x:v>
      </x:c>
      <x:c r="D40" s="967" t="str">
        <x:v>채택</x:v>
      </x:c>
      <x:c r="E40" s="967"/>
      <x:c r="F40" s="967"/>
      <x:c r="G40" s="967"/>
      <x:c r="H40" s="967"/>
      <x:c r="I40" s="967"/>
      <x:c r="J40" s="967"/>
      <x:c r="K40" s="967"/>
      <x:c r="L40" s="967"/>
      <x:c r="M40" s="967"/>
      <x:c r="N40" s="967"/>
      <x:c r="O40" s="967"/>
    </x:row>
    <x:row r="41" ht="30" hidden="0" customHeight="1">
      <x:c r="A41" s="971" t="str">
        <x:v>Hull0 Jay</x:v>
      </x:c>
      <x:c r="B41" s="971" t="str">
        <x:v>[기술8] 2h→Hull4 / [기술10 또는 Will 보완] 1h→Hull4 / [의지2] 4h 전원 비상지지→Hull1</x:v>
      </x:c>
      <x:c r="C41" s="971" t="str">
        <x:v>현재 Crisis 문법과 통일</x:v>
      </x:c>
      <x:c r="D41" s="971" t="str">
        <x:v>채택</x:v>
      </x:c>
      <x:c r="E41" s="971"/>
      <x:c r="F41" s="971"/>
      <x:c r="G41" s="971"/>
      <x:c r="H41" s="971"/>
      <x:c r="I41" s="971"/>
      <x:c r="J41" s="971"/>
      <x:c r="K41" s="971"/>
      <x:c r="L41" s="971"/>
      <x:c r="M41" s="971"/>
      <x:c r="N41" s="971"/>
      <x:c r="O41" s="971"/>
    </x:row>
    <x:row r="42" ht="24" hidden="0" customHeight="1">
      <x:c r="A42" s="967" t="str">
        <x:v>Hull0 NPC</x:v>
      </x:c>
      <x:c r="B42" s="967" t="str">
        <x:v>Benjamin 또는 Faye 2h→Hull4 / 둘 다 1h→Hull4</x:v>
      </x:c>
      <x:c r="C42" s="967" t="str">
        <x:v>전문가 생존 보상</x:v>
      </x:c>
      <x:c r="D42" s="967" t="str">
        <x:v>채택</x:v>
      </x:c>
      <x:c r="E42" s="967"/>
      <x:c r="F42" s="967"/>
      <x:c r="G42" s="967"/>
      <x:c r="H42" s="967"/>
      <x:c r="I42" s="967"/>
      <x:c r="J42" s="967"/>
      <x:c r="K42" s="967"/>
      <x:c r="L42" s="967"/>
      <x:c r="M42" s="967"/>
      <x:c r="N42" s="967"/>
      <x:c r="O42" s="967"/>
    </x:row>
    <x:row r="43" ht="24" hidden="0" customHeight="1">
      <x:c r="A43" s="967" t="str">
        <x:v>Hull0 희생</x:v>
      </x:c>
      <x:c r="B43" s="967" t="str">
        <x:v>기존 전문가 희생 해법 제거</x:v>
      </x:c>
      <x:c r="C43" s="967" t="str">
        <x:v>타이머 Pause 후 안전2h가 있는데 희생이 합리적 선택이 아니게 됨</x:v>
      </x:c>
      <x:c r="D43" s="967" t="str">
        <x:v>폐기</x:v>
      </x:c>
      <x:c r="E43" s="967"/>
      <x:c r="F43" s="967"/>
      <x:c r="G43" s="967"/>
      <x:c r="H43" s="967"/>
      <x:c r="I43" s="967"/>
      <x:c r="J43" s="967"/>
      <x:c r="K43" s="967"/>
      <x:c r="L43" s="967"/>
      <x:c r="M43" s="967"/>
      <x:c r="N43" s="967"/>
      <x:c r="O43" s="967"/>
    </x:row>
    <x:row r="44" ht="36" hidden="0" customHeight="1">
      <x:c r="A44" s="967" t="str">
        <x:v>Hull0 재발</x:v>
      </x:c>
      <x:c r="B44" s="967" t="str">
        <x:v>같은 Day에 다시 Hull0가 되면 Emergency Bracing이 이미 소진되어 Bad1</x:v>
      </x:c>
      <x:c r="C44" s="967" t="str">
        <x:v>무한 복구 루프 방지 / 한 번의 구조 기회</x:v>
      </x:c>
      <x:c r="D44" s="967" t="str">
        <x:v>채택</x:v>
      </x:c>
      <x:c r="E44" s="967"/>
      <x:c r="F44" s="967"/>
      <x:c r="G44" s="967"/>
      <x:c r="H44" s="967"/>
      <x:c r="I44" s="967"/>
      <x:c r="J44" s="967"/>
      <x:c r="K44" s="967"/>
      <x:c r="L44" s="967"/>
      <x:c r="M44" s="967"/>
      <x:c r="N44" s="967"/>
      <x:c r="O44" s="967"/>
    </x:row>
    <x:row r="45" ht="24" hidden="0" customHeight="1">
      <x:c r="A45" s="967" t="str">
        <x:v>Sustainability 재점검 전</x:v>
      </x:c>
      <x:c r="B45" s="967" t="str">
        <x:v>항상 LOW</x:v>
      </x:c>
      <x:c r="C45" s="967" t="str">
        <x:v>보존만 했다고 자동으로 거주가능 판정하지 않음</x:v>
      </x:c>
      <x:c r="D45" s="967" t="str">
        <x:v>확정</x:v>
      </x:c>
      <x:c r="E45" s="967"/>
      <x:c r="F45" s="967"/>
      <x:c r="G45" s="967"/>
      <x:c r="H45" s="967"/>
      <x:c r="I45" s="967"/>
      <x:c r="J45" s="967"/>
      <x:c r="K45" s="967"/>
      <x:c r="L45" s="967"/>
      <x:c r="M45" s="967"/>
      <x:c r="N45" s="967"/>
      <x:c r="O45" s="967"/>
    </x:row>
    <x:row r="46" ht="24" hidden="0" customHeight="1">
      <x:c r="A46" s="967" t="str">
        <x:v>Sustainability MEDIUM</x:v>
      </x:c>
      <x:c r="B46" s="967" t="str">
        <x:v>재점검 완료 AND Oasis&gt;=1 AND Settlement&gt;=1 AND 합계&gt;=3</x:v>
      </x:c>
      <x:c r="C46" s="967" t="str">
        <x:v>한쪽만 좋은 경우는 장기정착 근거 부족</x:v>
      </x:c>
      <x:c r="D46" s="967" t="str">
        <x:v>채택</x:v>
      </x:c>
      <x:c r="E46" s="967"/>
      <x:c r="F46" s="967"/>
      <x:c r="G46" s="967"/>
      <x:c r="H46" s="967"/>
      <x:c r="I46" s="967"/>
      <x:c r="J46" s="967"/>
      <x:c r="K46" s="967"/>
      <x:c r="L46" s="967"/>
      <x:c r="M46" s="967"/>
      <x:c r="N46" s="967"/>
      <x:c r="O46" s="967"/>
    </x:row>
    <x:row r="47" ht="24" hidden="0" customHeight="1">
      <x:c r="A47" s="967" t="str">
        <x:v>Sustainability HIGH</x:v>
      </x:c>
      <x:c r="B47" s="967" t="str">
        <x:v>재점검 완료 AND Oasis&gt;=2 AND Settlement&gt;=2 AND 합계&gt;=5</x:v>
      </x:c>
      <x:c r="C47" s="967" t="str">
        <x:v>3+2 / 2+3 / 3+3. 완벽3+3 강제 아님</x:v>
      </x:c>
      <x:c r="D47" s="967" t="str">
        <x:v>채택</x:v>
      </x:c>
      <x:c r="E47" s="967"/>
      <x:c r="F47" s="967"/>
      <x:c r="G47" s="967"/>
      <x:c r="H47" s="967"/>
      <x:c r="I47" s="967"/>
      <x:c r="J47" s="967"/>
      <x:c r="K47" s="967"/>
      <x:c r="L47" s="967"/>
      <x:c r="M47" s="967"/>
      <x:c r="N47" s="967"/>
      <x:c r="O47" s="967"/>
    </x:row>
    <x:row r="48" ht="15" hidden="0" customHeight="1">
      <x:c r="A48" s="967"/>
      <x:c r="B48" s="967"/>
      <x:c r="C48" s="967"/>
      <x:c r="D48" s="967"/>
      <x:c r="E48" s="967"/>
      <x:c r="F48" s="967"/>
      <x:c r="G48" s="967"/>
      <x:c r="H48" s="967"/>
      <x:c r="I48" s="967"/>
      <x:c r="J48" s="967"/>
      <x:c r="K48" s="967"/>
      <x:c r="L48" s="967"/>
      <x:c r="M48" s="967"/>
      <x:c r="N48" s="967"/>
      <x:c r="O48" s="967"/>
    </x:row>
    <x:row r="49" ht="26" hidden="0" customHeight="1">
      <x:c r="A49" s="980" t="str">
        <x:v>5. Character-System 결합 패치 — Benjamin D19 / Faye W2→D18</x:v>
      </x:c>
      <x:c r="B49" s="980"/>
      <x:c r="C49" s="980"/>
      <x:c r="D49" s="980"/>
      <x:c r="E49" s="980"/>
      <x:c r="F49" s="980"/>
      <x:c r="G49" s="980"/>
      <x:c r="H49" s="980"/>
      <x:c r="I49" s="980"/>
      <x:c r="J49" s="980"/>
      <x:c r="K49" s="980"/>
      <x:c r="L49" s="980"/>
      <x:c r="M49" s="980"/>
      <x:c r="N49" s="980"/>
      <x:c r="O49" s="980"/>
      <x:c r="P49" s="443"/>
      <x:c r="Q49" s="443"/>
      <x:c r="R49" s="443"/>
    </x:row>
    <x:row r="50" ht="30" hidden="0" customHeight="1">
      <x:c r="A50" s="983" t="str">
        <x:v>인물</x:v>
      </x:c>
      <x:c r="B50" s="983" t="str">
        <x:v>구간</x:v>
      </x:c>
      <x:c r="C50" s="983" t="str">
        <x:v>새 구조</x:v>
      </x:c>
      <x:c r="D50" s="983" t="str">
        <x:v>기계적 효과</x:v>
      </x:c>
      <x:c r="E50" s="983" t="str">
        <x:v>서사 효과</x:v>
      </x:c>
      <x:c r="F50" s="983" t="str">
        <x:v>상태</x:v>
      </x:c>
      <x:c r="G50" s="983"/>
      <x:c r="H50" s="983"/>
      <x:c r="I50" s="983"/>
      <x:c r="J50" s="983"/>
      <x:c r="K50" s="983"/>
      <x:c r="L50" s="983"/>
      <x:c r="M50" s="983"/>
      <x:c r="N50" s="983"/>
      <x:c r="O50" s="983"/>
    </x:row>
    <x:row r="51" ht="30" hidden="0" customHeight="1">
      <x:c r="A51" s="971" t="str">
        <x:v>벤자민</x:v>
      </x:c>
      <x:c r="B51" s="971" t="str">
        <x:v>D19 Boss 중</x:v>
      </x:c>
      <x:c r="C51" s="971" t="str">
        <x:v>1h '벤자민 Crisis Final'을 Boss가 끝나기 전 언제든 1회 사용. 단 Benjamin이 다른 Crisis 작업 중이면 먼저 Available 상태여야 함.</x:v>
      </x:c>
      <x:c r="D51" s="971" t="str">
        <x:v>Will +3(Max5). Full Route면 강인함 XP+6 즉시. 이 1h 동안 Boss 타이머는 정상 진행.</x:v>
      </x:c>
      <x:c r="E51" s="971" t="str">
        <x:v>대화를 멈춰 세우는 장면이 아니라 제이와 비상 보강을 함께 하며 '죽은 사람을 기억하되 산 사람을 고친다'는 결론이 위기 속에서 나옴.</x:v>
      </x:c>
      <x:c r="F51" s="971" t="str">
        <x:v>채택</x:v>
      </x:c>
      <x:c r="G51" s="971"/>
      <x:c r="H51" s="971"/>
      <x:c r="I51" s="971"/>
      <x:c r="J51" s="971"/>
      <x:c r="K51" s="971"/>
      <x:c r="L51" s="971"/>
      <x:c r="M51" s="971"/>
      <x:c r="N51" s="971"/>
      <x:c r="O51" s="971"/>
    </x:row>
    <x:row r="52" ht="60" hidden="0" customHeight="1">
      <x:c r="A52" s="967" t="str">
        <x:v>벤자민</x:v>
      </x:c>
      <x:c r="B52" s="967" t="str">
        <x:v>D20</x:v>
      </x:c>
      <x:c r="C52" s="967" t="str">
        <x:v>D19 Crisis Final 사용 여부를 반영한 Epilogue에서 Stance 결론</x:v>
      </x:c>
      <x:c r="D52" s="967" t="str">
        <x:v>Living Ship→UNDECIDED / +Faye 공연 경험이면 LEAVE 가능. Hidden은 D19 Final을 쓰지 않거나 STAY 결론 유지 가능</x:v>
      </x:c>
      <x:c r="E52" s="967" t="str">
        <x:v>D19=절정, D20=결</x:v>
      </x:c>
      <x:c r="F52" s="967" t="str">
        <x:v>채택</x:v>
      </x:c>
      <x:c r="G52" s="967"/>
      <x:c r="H52" s="967"/>
      <x:c r="I52" s="967"/>
      <x:c r="J52" s="967"/>
      <x:c r="K52" s="967"/>
      <x:c r="L52" s="967"/>
      <x:c r="M52" s="967"/>
      <x:c r="N52" s="967"/>
      <x:c r="O52" s="967"/>
    </x:row>
    <x:row r="53" ht="36" hidden="0" customHeight="1">
      <x:c r="A53" s="967" t="str">
        <x:v>페이</x:v>
      </x:c>
      <x:c r="B53" s="967" t="str">
        <x:v>W2 D9</x:v>
      </x:c>
      <x:c r="C53" s="967" t="str">
        <x:v>엔진 보조전원↔함교 방송망을 연결해 음악을 보내보는 2h Character/Side</x:v>
      </x:c>
      <x:c r="D53" s="967" t="str">
        <x:v>AUDIO_LINK_READY. Pivot에서 부품 전용 선택 시 DAMAGED</x:v>
      </x:c>
      <x:c r="E53" s="967" t="str">
        <x:v>'어, 이렇게도 되네'라는 발견이 D18 공연의 기술적 복선</x:v>
      </x:c>
      <x:c r="F53" s="967" t="str">
        <x:v>채택</x:v>
      </x:c>
      <x:c r="G53" s="967"/>
      <x:c r="H53" s="967"/>
      <x:c r="I53" s="967"/>
      <x:c r="J53" s="967"/>
      <x:c r="K53" s="967"/>
      <x:c r="L53" s="967"/>
      <x:c r="M53" s="967"/>
      <x:c r="N53" s="967"/>
      <x:c r="O53" s="967"/>
    </x:row>
    <x:row r="54" ht="30" hidden="0" customHeight="1">
      <x:c r="A54" s="971" t="str">
        <x:v>페이</x:v>
      </x:c>
      <x:c r="B54" s="971" t="str">
        <x:v>W2 D13</x:v>
      </x:c>
      <x:c r="C54" s="971" t="str">
        <x:v>음악 장비/회선을 살려두는 2h Deepening. D9에서 DAMAGED면 복구까지 포함</x:v>
      </x:c>
      <x:c r="D54" s="971" t="str">
        <x:v>FAYE_AUDIO_LINK_READY + Full Route 자격</x:v>
      </x:c>
      <x:c r="E54" s="971" t="str">
        <x:v>생존에 직접 필요 없어 보이는 걸 끝까지 지키는 선택</x:v>
      </x:c>
      <x:c r="F54" s="971" t="str">
        <x:v>채택</x:v>
      </x:c>
      <x:c r="G54" s="971"/>
      <x:c r="H54" s="971"/>
      <x:c r="I54" s="971"/>
      <x:c r="J54" s="971"/>
      <x:c r="K54" s="971"/>
      <x:c r="L54" s="971"/>
      <x:c r="M54" s="971"/>
      <x:c r="N54" s="971"/>
      <x:c r="O54" s="971"/>
    </x:row>
    <x:row r="55" ht="30" hidden="0" customHeight="1">
      <x:c r="A55" s="971" t="str">
        <x:v>페이</x:v>
      </x:c>
      <x:c r="B55" s="971" t="str">
        <x:v>D18 공연</x:v>
      </x:c>
      <x:c r="C55" s="971" t="str">
        <x:v>조건: Faye+Sam 생존 AND 함교&gt;=1 AND 엔진&gt;=1 AND AUDIO_LINK_READY</x:v>
      </x:c>
      <x:c r="D55" s="971" t="str">
        <x:v>1h / Will+3 / Full Route Tech XP+6 / Faye LEAVE</x:v>
      </x:c>
      <x:c r="E55" s="971" t="str">
        <x:v>함교와 엔진은 대체 불가. 1이라도 남아 있으면 불안정한 방송으로 공연 가능</x:v>
      </x:c>
      <x:c r="F55" s="971" t="str">
        <x:v>채택</x:v>
      </x:c>
      <x:c r="G55" s="971"/>
      <x:c r="H55" s="971"/>
      <x:c r="I55" s="971"/>
      <x:c r="J55" s="971"/>
      <x:c r="K55" s="971"/>
      <x:c r="L55" s="971"/>
      <x:c r="M55" s="971"/>
      <x:c r="N55" s="971"/>
      <x:c r="O55" s="971"/>
    </x:row>
    <x:row r="56" ht="15" hidden="0" customHeight="1">
      <x:c r="A56" s="967"/>
      <x:c r="B56" s="967"/>
      <x:c r="C56" s="967"/>
      <x:c r="D56" s="967"/>
      <x:c r="E56" s="967"/>
      <x:c r="F56" s="967"/>
      <x:c r="G56" s="967"/>
      <x:c r="H56" s="967"/>
      <x:c r="I56" s="967"/>
      <x:c r="J56" s="967"/>
      <x:c r="K56" s="967"/>
      <x:c r="L56" s="967"/>
      <x:c r="M56" s="967"/>
      <x:c r="N56" s="967"/>
      <x:c r="O56" s="967"/>
    </x:row>
    <x:row r="57" ht="26" hidden="0" customHeight="1">
      <x:c r="A57" s="980" t="str">
        <x:v>6. D19 시간 모델 + 남는 시간 사용</x:v>
      </x:c>
      <x:c r="B57" s="980"/>
      <x:c r="C57" s="980"/>
      <x:c r="D57" s="980"/>
      <x:c r="E57" s="980"/>
      <x:c r="F57" s="980"/>
      <x:c r="G57" s="980"/>
      <x:c r="H57" s="980"/>
      <x:c r="I57" s="980"/>
      <x:c r="J57" s="980"/>
      <x:c r="K57" s="980"/>
      <x:c r="L57" s="980"/>
      <x:c r="M57" s="980"/>
      <x:c r="N57" s="980"/>
      <x:c r="O57" s="980"/>
      <x:c r="P57" s="443"/>
      <x:c r="Q57" s="443"/>
      <x:c r="R57" s="443"/>
    </x:row>
    <x:row r="58" ht="30" hidden="0" customHeight="1">
      <x:c r="A58" s="983" t="str">
        <x:v>항목</x:v>
      </x:c>
      <x:c r="B58" s="983" t="str">
        <x:v>v1.1</x:v>
      </x:c>
      <x:c r="C58" s="983" t="str">
        <x:v>의미</x:v>
      </x:c>
      <x:c r="D58" s="983" t="str">
        <x:v>상태</x:v>
      </x:c>
      <x:c r="E58" s="983"/>
      <x:c r="F58" s="983"/>
      <x:c r="G58" s="983"/>
      <x:c r="H58" s="983"/>
      <x:c r="I58" s="983"/>
      <x:c r="J58" s="983"/>
      <x:c r="K58" s="983"/>
      <x:c r="L58" s="983"/>
      <x:c r="M58" s="983"/>
      <x:c r="N58" s="983"/>
      <x:c r="O58" s="983"/>
    </x:row>
    <x:row r="59" ht="24" hidden="0" customHeight="1">
      <x:c r="A59" s="967" t="str">
        <x:v>Boss Window</x:v>
      </x:c>
      <x:c r="B59" s="967" t="str">
        <x:v>10:00~16:00의 6h는 Encounter Window이지 Jay TimeCost가 아님</x:v>
      </x:c>
      <x:c r="C59" s="967" t="str">
        <x:v>Boss Event 자체 TimeCost=0</x:v>
      </x:c>
      <x:c r="D59" s="967" t="str">
        <x:v>채택</x:v>
      </x:c>
      <x:c r="E59" s="967"/>
      <x:c r="F59" s="967"/>
      <x:c r="G59" s="967"/>
      <x:c r="H59" s="967"/>
      <x:c r="I59" s="967"/>
      <x:c r="J59" s="967"/>
      <x:c r="K59" s="967"/>
      <x:c r="L59" s="967"/>
      <x:c r="M59" s="967"/>
      <x:c r="N59" s="967"/>
      <x:c r="O59" s="967"/>
    </x:row>
    <x:row r="60" ht="36" hidden="0" customHeight="1">
      <x:c r="A60" s="967" t="str">
        <x:v>개별 행동</x:v>
      </x:c>
      <x:c r="B60" s="967" t="str">
        <x:v>Freezer/시설 대응/NPC 이동/Benjamin Final 각각 실제 TimeCost만 세계시간 진행</x:v>
      </x:c>
      <x:c r="C60" s="967" t="str">
        <x:v>Jay가 0~12h까지 실제로 묶일 수 있음</x:v>
      </x:c>
      <x:c r="D60" s="967" t="str">
        <x:v>채택</x:v>
      </x:c>
      <x:c r="E60" s="967"/>
      <x:c r="F60" s="967"/>
      <x:c r="G60" s="967"/>
      <x:c r="H60" s="967"/>
      <x:c r="I60" s="967"/>
      <x:c r="J60" s="967"/>
      <x:c r="K60" s="967"/>
      <x:c r="L60" s="967"/>
      <x:c r="M60" s="967"/>
      <x:c r="N60" s="967"/>
      <x:c r="O60" s="967"/>
    </x:row>
    <x:row r="61" ht="30" hidden="0" customHeight="1">
      <x:c r="A61" s="971" t="str">
        <x:v>Tick</x:v>
      </x:c>
      <x:c r="B61" s="971" t="str">
        <x:v>각 Root의 남은시간으로 독립 진행</x:v>
      </x:c>
      <x:c r="C61" s="971" t="str">
        <x:v>UI에 '첫 손상까지 N시간' 표시</x:v>
      </x:c>
      <x:c r="D61" s="971" t="str">
        <x:v>채택</x:v>
      </x:c>
      <x:c r="E61" s="971"/>
      <x:c r="F61" s="971"/>
      <x:c r="G61" s="971"/>
      <x:c r="H61" s="971"/>
      <x:c r="I61" s="971"/>
      <x:c r="J61" s="971"/>
      <x:c r="K61" s="971"/>
      <x:c r="L61" s="971"/>
      <x:c r="M61" s="971"/>
      <x:c r="N61" s="971"/>
      <x:c r="O61" s="971"/>
    </x:row>
    <x:row r="62" ht="30" hidden="0" customHeight="1">
      <x:c r="A62" s="971" t="str">
        <x:v>Affinity 콘텐츠</x:v>
      </x:c>
      <x:c r="B62" s="971" t="str">
        <x:v>갈등 회복 1.5~2h / 고호감도 부탁 / 위험한 부탁의 후속 대화가 Optional 시간 사용처</x:v>
      </x:c>
      <x:c r="C62" s="971" t="str">
        <x:v>남는 자유시간이 관계를 관리하는 플레이로 흡수</x:v>
      </x:c>
      <x:c r="D62" s="971" t="str">
        <x:v>채택</x:v>
      </x:c>
      <x:c r="E62" s="971"/>
      <x:c r="F62" s="971"/>
      <x:c r="G62" s="971"/>
      <x:c r="H62" s="971"/>
      <x:c r="I62" s="971"/>
      <x:c r="J62" s="971"/>
      <x:c r="K62" s="971"/>
      <x:c r="L62" s="971"/>
      <x:c r="M62" s="971"/>
      <x:c r="N62" s="971"/>
      <x:c r="O62" s="971"/>
    </x:row>
    <x:row r="63" ht="36" hidden="0" customHeight="1">
      <x:c r="A63" s="967" t="str">
        <x:v>Affinity 파밍 방지</x:v>
      </x:c>
      <x:c r="B63" s="967" t="str">
        <x:v>Generic Talk 반복으로 +Affinity 불가. authored 갈등/관계 Event만 변화</x:v>
      </x:c>
      <x:c r="C63" s="967" t="str">
        <x:v>시간을 관계에 투자하되 단순 반복 작업은 금지</x:v>
      </x:c>
      <x:c r="D63" s="967" t="str">
        <x:v>채택</x:v>
      </x:c>
      <x:c r="E63" s="967"/>
      <x:c r="F63" s="967"/>
      <x:c r="G63" s="967"/>
      <x:c r="H63" s="967"/>
      <x:c r="I63" s="967"/>
      <x:c r="J63" s="967"/>
      <x:c r="K63" s="967"/>
      <x:c r="L63" s="967"/>
      <x:c r="M63" s="967"/>
      <x:c r="N63" s="967"/>
      <x:c r="O63" s="967"/>
    </x:row>
    <x:row r="64" ht="15" hidden="0" customHeight="1">
      <x:c r="A64" s="967"/>
      <x:c r="B64" s="967"/>
      <x:c r="C64" s="967"/>
      <x:c r="D64" s="967"/>
      <x:c r="E64" s="967"/>
      <x:c r="F64" s="967"/>
      <x:c r="G64" s="967"/>
      <x:c r="H64" s="967"/>
      <x:c r="I64" s="967"/>
      <x:c r="J64" s="967"/>
      <x:c r="K64" s="967"/>
      <x:c r="L64" s="967"/>
      <x:c r="M64" s="967"/>
      <x:c r="N64" s="967"/>
      <x:c r="O64" s="967"/>
    </x:row>
    <x:row r="65" ht="26" hidden="0" customHeight="1">
      <x:c r="A65" s="980" t="str">
        <x:v>7. v1.1 적용 후 다시 검증할 것</x:v>
      </x:c>
      <x:c r="B65" s="980"/>
      <x:c r="C65" s="980"/>
      <x:c r="D65" s="980"/>
      <x:c r="E65" s="980"/>
      <x:c r="F65" s="980"/>
      <x:c r="G65" s="980"/>
      <x:c r="H65" s="980"/>
      <x:c r="I65" s="980"/>
      <x:c r="J65" s="980"/>
      <x:c r="K65" s="980"/>
      <x:c r="L65" s="980"/>
      <x:c r="M65" s="980"/>
      <x:c r="N65" s="980"/>
      <x:c r="O65" s="980"/>
      <x:c r="P65" s="443"/>
      <x:c r="Q65" s="443"/>
      <x:c r="R65" s="443"/>
    </x:row>
    <x:row r="66" ht="30" hidden="0" customHeight="1">
      <x:c r="A66" s="983" t="str">
        <x:v>우선</x:v>
      </x:c>
      <x:c r="B66" s="983" t="str">
        <x:v>재검증</x:v>
      </x:c>
      <x:c r="C66" s="983" t="str">
        <x:v>이유</x:v>
      </x:c>
      <x:c r="D66" s="983"/>
      <x:c r="E66" s="983"/>
      <x:c r="F66" s="983"/>
      <x:c r="G66" s="983"/>
      <x:c r="H66" s="983"/>
      <x:c r="I66" s="983"/>
      <x:c r="J66" s="983"/>
      <x:c r="K66" s="983"/>
      <x:c r="L66" s="983"/>
      <x:c r="M66" s="983"/>
      <x:c r="N66" s="983"/>
      <x:c r="O66" s="983"/>
    </x:row>
    <x:row r="67" ht="36" hidden="0" customHeight="1">
      <x:c r="A67" s="967" t="str">
        <x:v>1</x:v>
      </x:c>
      <x:c r="B67" s="967" t="str">
        <x:v>Affinity 실제 D1~19 로그</x:v>
      </x:c>
      <x:c r="C67" s="967" t="str">
        <x:v>이제 증가/감소/소비가 많아져 각 Route의 D19 NPC 이동 가능성을 수치로 검증 가능</x:v>
      </x:c>
      <x:c r="D67" s="967"/>
      <x:c r="E67" s="967"/>
      <x:c r="F67" s="967"/>
      <x:c r="G67" s="967"/>
      <x:c r="H67" s="967"/>
      <x:c r="I67" s="967"/>
      <x:c r="J67" s="967"/>
      <x:c r="K67" s="967"/>
      <x:c r="L67" s="967"/>
      <x:c r="M67" s="967"/>
      <x:c r="N67" s="967"/>
      <x:c r="O67" s="967"/>
    </x:row>
    <x:row r="68" ht="36" hidden="0" customHeight="1">
      <x:c r="A68" s="967" t="str">
        <x:v>2</x:v>
      </x:c>
      <x:c r="B68" s="967" t="str">
        <x:v>Action별 XP 로그</x:v>
      </x:c>
      <x:c r="C68" s="967" t="str">
        <x:v>8개 Pivot+일반XP+Mastery를 합산해 기술9~10/교감/강인함 실제 도달 확인</x:v>
      </x:c>
      <x:c r="D68" s="967"/>
      <x:c r="E68" s="967"/>
      <x:c r="F68" s="967"/>
      <x:c r="G68" s="967"/>
      <x:c r="H68" s="967"/>
      <x:c r="I68" s="967"/>
      <x:c r="J68" s="967"/>
      <x:c r="K68" s="967"/>
      <x:c r="L68" s="967"/>
      <x:c r="M68" s="967"/>
      <x:c r="N68" s="967"/>
      <x:c r="O68" s="967"/>
    </x:row>
    <x:row r="69" ht="36" hidden="0" customHeight="1">
      <x:c r="A69" s="967" t="str">
        <x:v>3</x:v>
      </x:c>
      <x:c r="B69" s="967" t="str">
        <x:v>D19 Boss Timeline</x:v>
      </x:c>
      <x:c r="C69" s="967" t="str">
        <x:v>Benjamin 1h Potion, Freezer2, Hull0 Pause를 포함해 최악/보통/최적 Route 재계산</x:v>
      </x:c>
      <x:c r="D69" s="967"/>
      <x:c r="E69" s="967"/>
      <x:c r="F69" s="967"/>
      <x:c r="G69" s="967"/>
      <x:c r="H69" s="967"/>
      <x:c r="I69" s="967"/>
      <x:c r="J69" s="967"/>
      <x:c r="K69" s="967"/>
      <x:c r="L69" s="967"/>
      <x:c r="M69" s="967"/>
      <x:c r="N69" s="967"/>
      <x:c r="O69" s="967"/>
    </x:row>
    <x:row r="70" ht="36" hidden="0" customHeight="1">
      <x:c r="A70" s="967" t="str">
        <x:v>4</x:v>
      </x:c>
      <x:c r="B70" s="967" t="str">
        <x:v>True/Hidden mistake tolerance</x:v>
      </x:c>
      <x:c r="C70" s="967" t="str">
        <x:v>목표 반대 Pivot 0/2/3/4개일 때 복구 시간·Will·Affinity가 실제로 어떻게 무너지는지 확인</x:v>
      </x:c>
      <x:c r="D70" s="967"/>
      <x:c r="E70" s="967"/>
      <x:c r="F70" s="967"/>
      <x:c r="G70" s="967"/>
      <x:c r="H70" s="967"/>
      <x:c r="I70" s="967"/>
      <x:c r="J70" s="967"/>
      <x:c r="K70" s="967"/>
      <x:c r="L70" s="967"/>
      <x:c r="M70" s="967"/>
      <x:c r="N70" s="967"/>
      <x:c r="O70" s="967"/>
    </x:row>
    <x:row r="71" ht="36" hidden="0" customHeight="1">
      <x:c r="A71" s="967" t="str">
        <x:v>5</x:v>
      </x:c>
      <x:c r="B71" s="967" t="str">
        <x:v>콘텐츠 밀도</x:v>
      </x:c>
      <x:c r="C71" s="967" t="str">
        <x:v>Affinity 갈등/회복 Event를 넣은 뒤에도 과도한 자유시간이 남는지 확인</x:v>
      </x:c>
      <x:c r="D71" s="967"/>
      <x:c r="E71" s="967"/>
      <x:c r="F71" s="967"/>
      <x:c r="G71" s="967"/>
      <x:c r="H71" s="967"/>
      <x:c r="I71" s="967"/>
      <x:c r="J71" s="967"/>
      <x:c r="K71" s="967"/>
      <x:c r="L71" s="967"/>
      <x:c r="M71" s="967"/>
      <x:c r="N71" s="967"/>
      <x:c r="O71" s="967"/>
    </x:row>
  </x:sheetData>
  <x:mergeCells>
    <x:mergeCell ref="A1:R1"/>
    <x:mergeCell ref="A2:R2"/>
    <x:mergeCell ref="A4:R4"/>
    <x:mergeCell ref="A16:R16"/>
    <x:mergeCell ref="M17:R25"/>
    <x:mergeCell ref="A27:R27"/>
    <x:mergeCell ref="A36:R36"/>
    <x:mergeCell ref="A49:R49"/>
    <x:mergeCell ref="A57:R57"/>
    <x:mergeCell ref="A65:R65"/>
  </x:mergeCells>
  <x:conditionalFormatting sqref="D59:D71">
    <x:cfRule type="expression" dxfId="276" priority="1">
      <x:formula>OR(D59="완료",D59="확정",D59="확정방향",D59="방향 확정",LEFT(D59,2)="확정")</x:formula>
    </x:cfRule>
    <x:cfRule type="expression" dxfId="277" priority="2">
      <x:formula>OR(D59="TBD",D59="대기",ISNUMBER(SEARCH("TEMP",D59)))</x:formula>
    </x:cfRule>
    <x:cfRule type="expression" dxfId="278" priority="3">
      <x:formula>OR(D59="폐기",D59="HISTORICAL",ISNUMBER(SEARCH("폐기",D59)))</x:formula>
    </x:cfRule>
    <x:cfRule type="expression" dxfId="279" priority="4">
      <x:formula>OR(D59="NEXT",D59="진행")</x:formula>
    </x:cfRule>
  </x:conditionalFormatting>
  <x:conditionalFormatting sqref="F51:F71">
    <x:cfRule type="expression" dxfId="280" priority="5">
      <x:formula>OR(F51="완료",F51="확정",F51="확정방향",F51="방향 확정",LEFT(F51,2)="확정")</x:formula>
    </x:cfRule>
    <x:cfRule type="expression" dxfId="281" priority="6">
      <x:formula>OR(F51="TBD",F51="대기",ISNUMBER(SEARCH("TEMP",F51)))</x:formula>
    </x:cfRule>
    <x:cfRule type="expression" dxfId="282" priority="7">
      <x:formula>OR(F51="폐기",F51="HISTORICAL",ISNUMBER(SEARCH("폐기",F51)))</x:formula>
    </x:cfRule>
    <x:cfRule type="expression" dxfId="283" priority="8">
      <x:formula>OR(F51="NEXT",F51="진행")</x:formula>
    </x:cfRule>
  </x:conditionalFormatting>
  <x:conditionalFormatting sqref="D29:D71">
    <x:cfRule type="expression" dxfId="284" priority="9">
      <x:formula>OR(D29="완료",D29="확정",D29="확정방향",D29="방향 확정",LEFT(D29,2)="확정")</x:formula>
    </x:cfRule>
    <x:cfRule type="expression" dxfId="285" priority="10">
      <x:formula>OR(D29="TBD",D29="대기",ISNUMBER(SEARCH("TEMP",D29)))</x:formula>
    </x:cfRule>
    <x:cfRule type="expression" dxfId="286" priority="11">
      <x:formula>OR(D29="폐기",D29="HISTORICAL",ISNUMBER(SEARCH("폐기",D29)))</x:formula>
    </x:cfRule>
    <x:cfRule type="expression" dxfId="287" priority="12">
      <x:formula>OR(D29="NEXT",D29="진행")</x:formula>
    </x:cfRule>
  </x:conditionalFormatting>
  <x:conditionalFormatting sqref="D6:D71">
    <x:cfRule type="expression" dxfId="288" priority="13">
      <x:formula>OR(D6="완료",D6="확정",D6="확정방향",D6="방향 확정",LEFT(D6,2)="확정")</x:formula>
    </x:cfRule>
    <x:cfRule type="expression" dxfId="289" priority="14">
      <x:formula>OR(D6="TBD",D6="대기",ISNUMBER(SEARCH("TEMP",D6)))</x:formula>
    </x:cfRule>
    <x:cfRule type="expression" dxfId="290" priority="15">
      <x:formula>OR(D6="폐기",D6="HISTORICAL",ISNUMBER(SEARCH("폐기",D6)))</x:formula>
    </x:cfRule>
    <x:cfRule type="expression" dxfId="291" priority="16">
      <x:formula>OR(D6="NEXT",D6="진행")</x:formula>
    </x:cfRule>
  </x:conditionalFormatting>
  <x:conditionalFormatting sqref="D38:D71">
    <x:cfRule type="expression" dxfId="292" priority="17">
      <x:formula>OR(D38="완료",D38="확정",D38="확정방향",D38="방향 확정",LEFT(D38,2)="확정")</x:formula>
    </x:cfRule>
    <x:cfRule type="expression" dxfId="293" priority="18">
      <x:formula>OR(D38="TBD",D38="대기",ISNUMBER(SEARCH("TEMP",D38)))</x:formula>
    </x:cfRule>
    <x:cfRule type="expression" dxfId="294" priority="19">
      <x:formula>OR(D38="폐기",D38="HISTORICAL",ISNUMBER(SEARCH("폐기",D38)))</x:formula>
    </x:cfRule>
    <x:cfRule type="expression" dxfId="295" priority="20">
      <x:formula>OR(D38="NEXT",D38="진행")</x:formula>
    </x:cfRule>
  </x:conditionalFormatting>
  <x:pageMargins left="0.7" right="0.7" top="0.75" bottom="0.75" header="0.3" footer="0.3"/>
  <x:drawing xmlns:r="http://schemas.openxmlformats.org/officeDocument/2006/relationships" r:id="Rd40f545705b64164"/>
</x:worksheet>
</file>

<file path=xl/worksheets/sheet2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2" hidden="0" customWidth="1"/>
    <x:col min="14" max="14" width="14" hidden="0" customWidth="1"/>
    <x:col min="15" max="15" width="14" hidden="0" customWidth="1"/>
    <x:col min="16" max="16" width="14" hidden="0" customWidth="1"/>
    <x:col min="17" max="17" width="14" hidden="0" customWidth="1"/>
    <x:col min="18" max="18" width="26" hidden="0" customWidth="1"/>
  </x:cols>
  <x:sheetData>
    <x:row r="1" ht="30" hidden="0" customHeight="1">
      <x:c r="A1" s="974" t="str">
        <x:v>v1.1 Re-Simulation — Affinity / XP / D19 Timeline / Mistake Tolerance</x:v>
      </x:c>
      <x:c r="B1" s="974"/>
      <x:c r="C1" s="974"/>
      <x:c r="D1" s="974"/>
      <x:c r="E1" s="974"/>
      <x:c r="F1" s="974"/>
      <x:c r="G1" s="974"/>
      <x:c r="H1" s="974"/>
      <x:c r="I1" s="974"/>
      <x:c r="J1" s="974"/>
      <x:c r="K1" s="974"/>
      <x:c r="L1" s="974"/>
      <x:c r="M1" s="974"/>
      <x:c r="N1" s="974"/>
      <x:c r="O1" s="974"/>
      <x:c r="P1" s="974"/>
      <x:c r="Q1" s="974"/>
      <x:c r="R1" s="974"/>
    </x:row>
    <x:row r="2" ht="42" hidden="0" customHeight="1">
      <x:c r="A2" s="977" t="str">
        <x:v>현재 v1.1 규칙은 고정하고 수치 검증만 수행한다. Affinity/XP의 아직 미배정된 Seed 보상은 아래 'Simulation Ledger' 값을 TEMP 후보로 사용한다. PASS는 구조·현재 수치가 성립한다는 뜻이며, 이 시트만으로 라이브 규칙을 추가 변경하지 않는다.</x:v>
      </x:c>
      <x:c r="B2" s="977"/>
      <x:c r="C2" s="977"/>
      <x:c r="D2" s="977"/>
      <x:c r="E2" s="977"/>
      <x:c r="F2" s="977"/>
      <x:c r="G2" s="977"/>
      <x:c r="H2" s="977"/>
      <x:c r="I2" s="977"/>
      <x:c r="J2" s="977"/>
      <x:c r="K2" s="977"/>
      <x:c r="L2" s="977"/>
      <x:c r="M2" s="977"/>
      <x:c r="N2" s="977"/>
      <x:c r="O2" s="977"/>
      <x:c r="P2" s="977"/>
      <x:c r="Q2" s="977"/>
      <x:c r="R2" s="977"/>
    </x:row>
    <x:row r="3" ht="15" hidden="0" customHeight="1">
      <x:c r="A3" s="967"/>
      <x:c r="B3" s="967"/>
      <x:c r="C3" s="967"/>
      <x:c r="D3" s="967"/>
      <x:c r="E3" s="967"/>
      <x:c r="F3" s="967"/>
      <x:c r="G3" s="967"/>
      <x:c r="H3" s="967"/>
      <x:c r="I3" s="967"/>
      <x:c r="J3" s="967"/>
      <x:c r="K3" s="967"/>
      <x:c r="L3" s="967"/>
      <x:c r="M3" s="967"/>
      <x:c r="N3" s="967"/>
      <x:c r="O3" s="967"/>
      <x:c r="P3" s="967"/>
      <x:c r="Q3" s="967"/>
      <x:c r="R3" s="967"/>
    </x:row>
    <x:row r="4" ht="26" hidden="0" customHeight="1">
      <x:c r="A4" s="980" t="str">
        <x:v>1. Affinity Simulation Ledger — Seed/Deepening의 TEMP 후보값</x:v>
      </x:c>
      <x:c r="B4" s="980"/>
      <x:c r="C4" s="980"/>
      <x:c r="D4" s="980"/>
      <x:c r="E4" s="980"/>
      <x:c r="F4" s="980"/>
      <x:c r="G4" s="980"/>
      <x:c r="H4" s="980"/>
      <x:c r="I4" s="980"/>
      <x:c r="J4" s="980"/>
      <x:c r="K4" s="980"/>
      <x:c r="L4" s="980"/>
      <x:c r="M4" s="980"/>
      <x:c r="N4" s="980"/>
      <x:c r="O4" s="980"/>
      <x:c r="P4" s="980"/>
      <x:c r="Q4" s="980"/>
      <x:c r="R4" s="980"/>
    </x:row>
    <x:row r="5" ht="30" hidden="0" customHeight="1">
      <x:c r="A5" s="983" t="str">
        <x:v>Day/Event</x:v>
      </x:c>
      <x:c r="B5" s="983" t="str">
        <x:v>Sam</x:v>
      </x:c>
      <x:c r="C5" s="983" t="str">
        <x:v>Jina</x:v>
      </x:c>
      <x:c r="D5" s="983" t="str">
        <x:v>Faye</x:v>
      </x:c>
      <x:c r="E5" s="983" t="str">
        <x:v>Benjamin</x:v>
      </x:c>
      <x:c r="F5" s="983" t="str">
        <x:v>Borichi</x:v>
      </x:c>
      <x:c r="G5" s="983" t="str">
        <x:v>Diya</x:v>
      </x:c>
      <x:c r="H5" s="983" t="str">
        <x:v>의미</x:v>
      </x:c>
      <x:c r="I5" s="983" t="str">
        <x:v>상태</x:v>
      </x:c>
      <x:c r="J5" s="983"/>
      <x:c r="K5" s="983"/>
      <x:c r="L5" s="983"/>
      <x:c r="M5" s="983"/>
      <x:c r="N5" s="983"/>
      <x:c r="O5" s="983"/>
      <x:c r="P5" s="983"/>
      <x:c r="Q5" s="983"/>
      <x:c r="R5" s="983"/>
    </x:row>
    <x:row r="6" ht="21.600000381469727" hidden="0" customHeight="1">
      <x:c r="A6" s="967" t="str">
        <x:v>재회 완료</x:v>
      </x:c>
      <x:c r="B6" s="967" t="n">
        <x:v>1</x:v>
      </x:c>
      <x:c r="C6" s="967" t="n">
        <x:v>1</x:v>
      </x:c>
      <x:c r="D6" s="967" t="n">
        <x:v>1</x:v>
      </x:c>
      <x:c r="E6" s="967" t="n">
        <x:v>1</x:v>
      </x:c>
      <x:c r="F6" s="967" t="n">
        <x:v>1</x:v>
      </x:c>
      <x:c r="G6" s="967" t="n">
        <x:v>1</x:v>
      </x:c>
      <x:c r="H6" s="967" t="str">
        <x:v>모든 핵심6 시작 Affinity</x:v>
      </x:c>
      <x:c r="I6" s="967" t="str">
        <x:v>v1.1 확정</x:v>
      </x:c>
      <x:c r="J6" s="967"/>
      <x:c r="K6" s="967"/>
      <x:c r="L6" s="967"/>
      <x:c r="M6" s="967"/>
      <x:c r="N6" s="967"/>
      <x:c r="O6" s="967"/>
      <x:c r="P6" s="967"/>
      <x:c r="Q6" s="967"/>
      <x:c r="R6" s="967"/>
    </x:row>
    <x:row r="7" ht="15" hidden="0" customHeight="1">
      <x:c r="A7" s="967" t="str">
        <x:v>D1 Benjamin 묘지</x:v>
      </x:c>
      <x:c r="B7" s="967" t="n">
        <x:v>0</x:v>
      </x:c>
      <x:c r="C7" s="967" t="n">
        <x:v>0</x:v>
      </x:c>
      <x:c r="D7" s="967" t="n">
        <x:v>0</x:v>
      </x:c>
      <x:c r="E7" s="967" t="n">
        <x:v>1</x:v>
      </x:c>
      <x:c r="F7" s="967" t="n">
        <x:v>0</x:v>
      </x:c>
      <x:c r="G7" s="967" t="n">
        <x:v>0</x:v>
      </x:c>
      <x:c r="H7" s="967" t="str">
        <x:v>약혼자/묘지 Seed</x:v>
      </x:c>
      <x:c r="I7" s="967" t="str">
        <x:v>SIM 후보</x:v>
      </x:c>
      <x:c r="J7" s="967"/>
      <x:c r="K7" s="967"/>
      <x:c r="L7" s="967"/>
      <x:c r="M7" s="967"/>
      <x:c r="N7" s="967"/>
      <x:c r="O7" s="967"/>
      <x:c r="P7" s="967"/>
      <x:c r="Q7" s="967"/>
      <x:c r="R7" s="967"/>
    </x:row>
    <x:row r="8" ht="21.600000381469727" hidden="0" customHeight="1">
      <x:c r="A8" s="967" t="str">
        <x:v>D2 첫 생활/기록 Seed</x:v>
      </x:c>
      <x:c r="B8" s="967" t="n">
        <x:v>0</x:v>
      </x:c>
      <x:c r="C8" s="967" t="n">
        <x:v>1</x:v>
      </x:c>
      <x:c r="D8" s="967" t="n">
        <x:v>1</x:v>
      </x:c>
      <x:c r="E8" s="967" t="n">
        <x:v>0</x:v>
      </x:c>
      <x:c r="F8" s="967" t="n">
        <x:v>1</x:v>
      </x:c>
      <x:c r="G8" s="967" t="n">
        <x:v>1</x:v>
      </x:c>
      <x:c r="H8" s="967" t="str">
        <x:v>Jina/Faye/Borichi/Diya 첫 Character 접점</x:v>
      </x:c>
      <x:c r="I8" s="967" t="str">
        <x:v>SIM 후보</x:v>
      </x:c>
      <x:c r="J8" s="967"/>
      <x:c r="K8" s="967"/>
      <x:c r="L8" s="967"/>
      <x:c r="M8" s="967"/>
      <x:c r="N8" s="967"/>
      <x:c r="O8" s="967"/>
      <x:c r="P8" s="967"/>
      <x:c r="Q8" s="967"/>
      <x:c r="R8" s="967"/>
    </x:row>
    <x:row r="9" ht="21.600000381469727" hidden="0" customHeight="1">
      <x:c r="A9" s="967" t="str">
        <x:v>D3 Sam Ep1 / Borichi 자료대조</x:v>
      </x:c>
      <x:c r="B9" s="967" t="n">
        <x:v>1</x:v>
      </x:c>
      <x:c r="C9" s="967" t="n">
        <x:v>0</x:v>
      </x:c>
      <x:c r="D9" s="967" t="n">
        <x:v>0</x:v>
      </x:c>
      <x:c r="E9" s="967" t="n">
        <x:v>0</x:v>
      </x:c>
      <x:c r="F9" s="967" t="n">
        <x:v>1</x:v>
      </x:c>
      <x:c r="G9" s="967" t="n">
        <x:v>0</x:v>
      </x:c>
      <x:c r="H9" s="967" t="str">
        <x:v>반복 지원·공동 조사</x:v>
      </x:c>
      <x:c r="I9" s="967" t="str">
        <x:v>SIM 후보</x:v>
      </x:c>
      <x:c r="J9" s="967"/>
      <x:c r="K9" s="967"/>
      <x:c r="L9" s="967"/>
      <x:c r="M9" s="967"/>
      <x:c r="N9" s="967"/>
      <x:c r="O9" s="967"/>
      <x:c r="P9" s="967"/>
      <x:c r="Q9" s="967"/>
      <x:c r="R9" s="967"/>
    </x:row>
    <x:row r="10" ht="21.600000381469727" hidden="0" customHeight="1">
      <x:c r="A10" s="967" t="str">
        <x:v>D4 Jina 과거 / Faye 꿈</x:v>
      </x:c>
      <x:c r="B10" s="967" t="n">
        <x:v>0</x:v>
      </x:c>
      <x:c r="C10" s="967" t="n">
        <x:v>1</x:v>
      </x:c>
      <x:c r="D10" s="967" t="n">
        <x:v>1</x:v>
      </x:c>
      <x:c r="E10" s="967" t="n">
        <x:v>0</x:v>
      </x:c>
      <x:c r="F10" s="967" t="n">
        <x:v>0</x:v>
      </x:c>
      <x:c r="G10" s="967" t="n">
        <x:v>0</x:v>
      </x:c>
      <x:c r="H10" s="967" t="str">
        <x:v>핵심 Character Seed</x:v>
      </x:c>
      <x:c r="I10" s="967" t="str">
        <x:v>SIM 후보</x:v>
      </x:c>
      <x:c r="J10" s="967"/>
      <x:c r="K10" s="967"/>
      <x:c r="L10" s="967"/>
      <x:c r="M10" s="967"/>
      <x:c r="N10" s="967"/>
      <x:c r="O10" s="967"/>
      <x:c r="P10" s="967"/>
      <x:c r="Q10" s="967"/>
      <x:c r="R10" s="967"/>
    </x:row>
    <x:row r="11" ht="32.400001525878906" hidden="0" customHeight="1">
      <x:c r="A11" s="967" t="str">
        <x:v>D5 Benjamin 후속 / Borichi 악몽 / Diya 뜨개질</x:v>
      </x:c>
      <x:c r="B11" s="967" t="n">
        <x:v>0</x:v>
      </x:c>
      <x:c r="C11" s="967" t="n">
        <x:v>0</x:v>
      </x:c>
      <x:c r="D11" s="967" t="n">
        <x:v>0</x:v>
      </x:c>
      <x:c r="E11" s="967" t="n">
        <x:v>1</x:v>
      </x:c>
      <x:c r="F11" s="967" t="n">
        <x:v>1</x:v>
      </x:c>
      <x:c r="G11" s="967" t="n">
        <x:v>1</x:v>
      </x:c>
      <x:c r="H11" s="967" t="str">
        <x:v>W1 2차 Seed</x:v>
      </x:c>
      <x:c r="I11" s="967" t="str">
        <x:v>SIM 후보</x:v>
      </x:c>
      <x:c r="J11" s="967"/>
      <x:c r="K11" s="967"/>
      <x:c r="L11" s="967"/>
      <x:c r="M11" s="967"/>
      <x:c r="N11" s="967"/>
      <x:c r="O11" s="967"/>
      <x:c r="P11" s="967"/>
      <x:c r="Q11" s="967"/>
      <x:c r="R11" s="967"/>
    </x:row>
    <x:row r="12" ht="32.400001525878906" hidden="0" customHeight="1">
      <x:c r="A12" s="967" t="str">
        <x:v>Focus A/B 선택</x:v>
      </x:c>
      <x:c r="B12" s="967" t="n">
        <x:v>0</x:v>
      </x:c>
      <x:c r="C12" s="967" t="n">
        <x:v>0</x:v>
      </x:c>
      <x:c r="D12" s="967" t="n">
        <x:v>0</x:v>
      </x:c>
      <x:c r="E12" s="967" t="n">
        <x:v>0</x:v>
      </x:c>
      <x:c r="F12" s="967" t="n">
        <x:v>0</x:v>
      </x:c>
      <x:c r="G12" s="967" t="n">
        <x:v>0</x:v>
      </x:c>
      <x:c r="H12" s="967" t="str">
        <x:v>선택된 Character만 +1 — Route별 로그에서 적용</x:v>
      </x:c>
      <x:c r="I12" s="967" t="str">
        <x:v>v1.1 해석</x:v>
      </x:c>
      <x:c r="J12" s="967"/>
      <x:c r="K12" s="967"/>
      <x:c r="L12" s="967"/>
      <x:c r="M12" s="967"/>
      <x:c r="N12" s="967"/>
      <x:c r="O12" s="967"/>
      <x:c r="P12" s="967"/>
      <x:c r="Q12" s="967"/>
      <x:c r="R12" s="967"/>
    </x:row>
    <x:row r="13" ht="43.20000076293945" hidden="0" customHeight="1">
      <x:c r="A13" s="967" t="str">
        <x:v>Character Deepening/갈등회복</x:v>
      </x:c>
      <x:c r="B13" s="967" t="n">
        <x:v>0</x:v>
      </x:c>
      <x:c r="C13" s="967" t="n">
        <x:v>0</x:v>
      </x:c>
      <x:c r="D13" s="967" t="n">
        <x:v>0</x:v>
      </x:c>
      <x:c r="E13" s="967" t="n">
        <x:v>0</x:v>
      </x:c>
      <x:c r="F13" s="967" t="n">
        <x:v>0</x:v>
      </x:c>
      <x:c r="G13" s="967" t="n">
        <x:v>0</x:v>
      </x:c>
      <x:c r="H13" s="967" t="str">
        <x:v>해당 authored Event마다 +1, 갈등회복은 원인별 1회</x:v>
      </x:c>
      <x:c r="I13" s="967" t="str">
        <x:v>v1.1 규칙</x:v>
      </x:c>
      <x:c r="J13" s="967"/>
      <x:c r="K13" s="967"/>
      <x:c r="L13" s="967"/>
      <x:c r="M13" s="967"/>
      <x:c r="N13" s="967"/>
      <x:c r="O13" s="967"/>
      <x:c r="P13" s="967"/>
      <x:c r="Q13" s="967"/>
      <x:c r="R13" s="967"/>
    </x:row>
    <x:row r="14" ht="43.20000076293945" hidden="0" customHeight="1">
      <x:c r="A14" s="967" t="str">
        <x:v>Final</x:v>
      </x:c>
      <x:c r="B14" s="967" t="str">
        <x:v>0~1</x:v>
      </x:c>
      <x:c r="C14" s="967" t="str">
        <x:v>0~1</x:v>
      </x:c>
      <x:c r="D14" s="967" t="str">
        <x:v>0~1</x:v>
      </x:c>
      <x:c r="E14" s="967" t="str">
        <x:v>D20</x:v>
      </x:c>
      <x:c r="F14" s="967" t="str">
        <x:v>0~1</x:v>
      </x:c>
      <x:c r="G14" s="967" t="str">
        <x:v>0~1</x:v>
      </x:c>
      <x:c r="H14" s="967" t="str">
        <x:v>Final에서 관계가 실제로 회복/확정되는 경우 +1 후보</x:v>
      </x:c>
      <x:c r="I14" s="967" t="str">
        <x:v>SIM 후보</x:v>
      </x:c>
      <x:c r="J14" s="967"/>
      <x:c r="K14" s="967"/>
      <x:c r="L14" s="967"/>
      <x:c r="M14" s="967"/>
      <x:c r="N14" s="967"/>
      <x:c r="O14" s="967"/>
      <x:c r="P14" s="967"/>
      <x:c r="Q14" s="967"/>
      <x:c r="R14" s="967"/>
    </x:row>
    <x:row r="15" ht="15" hidden="0" customHeight="1">
      <x:c r="A15" s="967"/>
      <x:c r="B15" s="967"/>
      <x:c r="C15" s="967"/>
      <x:c r="D15" s="967"/>
      <x:c r="E15" s="967"/>
      <x:c r="F15" s="967"/>
      <x:c r="G15" s="967"/>
      <x:c r="H15" s="967"/>
      <x:c r="I15" s="967"/>
      <x:c r="J15" s="967"/>
      <x:c r="K15" s="967"/>
      <x:c r="L15" s="967"/>
      <x:c r="M15" s="967"/>
      <x:c r="N15" s="967"/>
      <x:c r="O15" s="967"/>
      <x:c r="P15" s="967"/>
      <x:c r="Q15" s="967"/>
      <x:c r="R15" s="967"/>
    </x:row>
    <x:row r="16" ht="15" hidden="0" customHeight="1">
      <x:c r="A16" s="969" t="str">
        <x:v>2A. True — Affinity 실제 로그</x:v>
      </x:c>
      <x:c r="B16" s="969"/>
      <x:c r="C16" s="969"/>
      <x:c r="D16" s="969"/>
      <x:c r="E16" s="969"/>
      <x:c r="F16" s="969"/>
      <x:c r="G16" s="969"/>
      <x:c r="H16" s="969"/>
      <x:c r="I16" s="969"/>
      <x:c r="J16" s="969"/>
      <x:c r="K16" s="969" t="str">
        <x:v>D19 이동 요청 비용 요약</x:v>
      </x:c>
      <x:c r="L16" s="969"/>
      <x:c r="M16" s="969"/>
      <x:c r="N16" s="969"/>
      <x:c r="O16" s="969"/>
      <x:c r="P16" s="969"/>
      <x:c r="Q16" s="969"/>
      <x:c r="R16" s="969"/>
    </x:row>
    <x:row r="17" ht="30" hidden="0" customHeight="1">
      <x:c r="A17" s="983" t="str">
        <x:v>Day</x:v>
      </x:c>
      <x:c r="B17" s="983" t="str">
        <x:v>Event</x:v>
      </x:c>
      <x:c r="C17" s="983" t="str">
        <x:v>Sam Δ</x:v>
      </x:c>
      <x:c r="D17" s="983" t="str">
        <x:v>Jina Δ</x:v>
      </x:c>
      <x:c r="E17" s="983" t="str">
        <x:v>Faye Δ</x:v>
      </x:c>
      <x:c r="F17" s="983" t="str">
        <x:v>Ben Δ</x:v>
      </x:c>
      <x:c r="G17" s="983" t="str">
        <x:v>Borichi Δ</x:v>
      </x:c>
      <x:c r="H17" s="983" t="str">
        <x:v>Diya Δ</x:v>
      </x:c>
      <x:c r="I17" s="983" t="str">
        <x:v>설명</x:v>
      </x:c>
      <x:c r="J17" s="983"/>
      <x:c r="K17" s="983" t="str">
        <x:v>Route</x:v>
      </x:c>
      <x:c r="L17" s="983" t="str">
        <x:v>Sam</x:v>
      </x:c>
      <x:c r="M17" s="983" t="str">
        <x:v>Jina</x:v>
      </x:c>
      <x:c r="N17" s="983" t="str">
        <x:v>Faye</x:v>
      </x:c>
      <x:c r="O17" s="983" t="str">
        <x:v>Ben</x:v>
      </x:c>
      <x:c r="P17" s="983" t="str">
        <x:v>Borichi</x:v>
      </x:c>
      <x:c r="Q17" s="983" t="str">
        <x:v>Diya</x:v>
      </x:c>
      <x:c r="R17" s="983" t="str">
        <x:v>해석</x:v>
      </x:c>
    </x:row>
    <x:row r="18" ht="21.600000381469727" hidden="0" customHeight="1">
      <x:c r="A18" s="967" t="n">
        <x:v>2</x:v>
      </x:c>
      <x:c r="B18" s="967" t="str">
        <x:v>Jina/Faye/Borichi/Diya 첫 Seed</x:v>
      </x:c>
      <x:c r="C18" s="967" t="n">
        <x:v>0</x:v>
      </x:c>
      <x:c r="D18" s="967" t="n">
        <x:v>1</x:v>
      </x:c>
      <x:c r="E18" s="967" t="n">
        <x:v>1</x:v>
      </x:c>
      <x:c r="F18" s="967" t="n">
        <x:v>0</x:v>
      </x:c>
      <x:c r="G18" s="967" t="n">
        <x:v>1</x:v>
      </x:c>
      <x:c r="H18" s="967" t="n">
        <x:v>1</x:v>
      </x:c>
      <x:c r="I18" s="967" t="str">
        <x:v>재회 후 각자 일상 접점</x:v>
      </x:c>
      <x:c r="J18" s="967"/>
      <x:c r="K18" s="967" t="str">
        <x:v>True</x:v>
      </x:c>
      <x:c r="L18" s="967" t="str">
        <x:f>IF(C33&gt;=3,"0W",IF(C33=2,"1W",IF(C33=1,"2W","불가")))</x:f>
        <x:v>0W</x:v>
      </x:c>
      <x:c r="M18" s="967" t="str">
        <x:f>IF(D33&gt;=3,"0W",IF(D33=2,"1W",IF(D33=1,"2W","불가")))</x:f>
        <x:v>0W</x:v>
      </x:c>
      <x:c r="N18" s="967" t="str">
        <x:f>IF(E33&gt;=3,"0W",IF(E33=2,"1W",IF(E33=1,"2W","불가")))</x:f>
        <x:v>0W</x:v>
      </x:c>
      <x:c r="O18" s="967" t="str">
        <x:f>IF(F33&gt;=3,"0W",IF(F33=2,"1W",IF(F33=1,"2W","불가")))</x:f>
        <x:v>0W</x:v>
      </x:c>
      <x:c r="P18" s="967" t="str">
        <x:f>IF(G33&gt;=3,"0W",IF(G33=2,"1W",IF(G33=1,"2W","불가")))</x:f>
        <x:v>0W</x:v>
      </x:c>
      <x:c r="Q18" s="967" t="str">
        <x:f>IF(H33&gt;=3,"0W",IF(H33=2,"1W",IF(H33=1,"2W","불가")))</x:f>
        <x:v>0W</x:v>
      </x:c>
      <x:c r="R18" s="967" t="str">
        <x:v>Sam/Faye/Borichi 무료 이동. Benjamin도 Aff3. All6 병렬대응 조건 성립.</x:v>
      </x:c>
    </x:row>
    <x:row r="19" ht="21.600000381469727" hidden="0" customHeight="1">
      <x:c r="A19" s="967" t="n">
        <x:v>3</x:v>
      </x:c>
      <x:c r="B19" s="967" t="str">
        <x:v>Sam Ep1 + Borichi 자료대조</x:v>
      </x:c>
      <x:c r="C19" s="967" t="n">
        <x:v>1</x:v>
      </x:c>
      <x:c r="D19" s="967" t="n">
        <x:v>0</x:v>
      </x:c>
      <x:c r="E19" s="967" t="n">
        <x:v>0</x:v>
      </x:c>
      <x:c r="F19" s="967" t="n">
        <x:v>0</x:v>
      </x:c>
      <x:c r="G19" s="967" t="n">
        <x:v>1</x:v>
      </x:c>
      <x:c r="H19" s="967" t="n">
        <x:v>0</x:v>
      </x:c>
      <x:c r="I19" s="967" t="str">
        <x:v>W1 조사/책임</x:v>
      </x:c>
      <x:c r="J19" s="967"/>
      <x:c r="K19" s="967" t="str">
        <x:v>Hidden</x:v>
      </x:c>
      <x:c r="L19" s="967" t="str">
        <x:f>IF(C50&gt;=3,"0W",IF(C50=2,"1W",IF(C50=1,"2W","불가")))</x:f>
        <x:v>2W</x:v>
      </x:c>
      <x:c r="M19" s="967" t="str">
        <x:f>IF(D50&gt;=3,"0W",IF(D50=2,"1W",IF(D50=1,"2W","불가")))</x:f>
        <x:v>1W</x:v>
      </x:c>
      <x:c r="N19" s="967" t="str">
        <x:f>IF(E50&gt;=3,"0W",IF(E50=2,"1W",IF(E50=1,"2W","불가")))</x:f>
        <x:v>불가</x:v>
      </x:c>
      <x:c r="O19" s="967" t="str">
        <x:f>IF(F50&gt;=3,"0W",IF(F50=2,"1W",IF(F50=1,"2W","불가")))</x:f>
        <x:v>0W</x:v>
      </x:c>
      <x:c r="P19" s="967" t="str">
        <x:f>IF(G50&gt;=3,"0W",IF(G50=2,"1W",IF(G50=1,"2W","불가")))</x:f>
        <x:v>0W</x:v>
      </x:c>
      <x:c r="Q19" s="967" t="str">
        <x:f>IF(H50&gt;=3,"0W",IF(H50=2,"1W",IF(H50=1,"2W","불가")))</x:f>
        <x:v>0W</x:v>
      </x:c>
      <x:c r="R19" s="967" t="str">
        <x:v>Borichi/Diya/Benjamin 무료, Sam은 2W. Faye는0이라 부탁 불가.</x:v>
      </x:c>
    </x:row>
    <x:row r="20" ht="21.600000381469727" hidden="0" customHeight="1">
      <x:c r="A20" s="967" t="n">
        <x:v>4</x:v>
      </x:c>
      <x:c r="B20" s="967" t="str">
        <x:v>Jina 과거 + Faye 음악꿈</x:v>
      </x:c>
      <x:c r="C20" s="967" t="n">
        <x:v>0</x:v>
      </x:c>
      <x:c r="D20" s="967" t="n">
        <x:v>1</x:v>
      </x:c>
      <x:c r="E20" s="967" t="n">
        <x:v>1</x:v>
      </x:c>
      <x:c r="F20" s="967" t="n">
        <x:v>0</x:v>
      </x:c>
      <x:c r="G20" s="967" t="n">
        <x:v>0</x:v>
      </x:c>
      <x:c r="H20" s="967" t="n">
        <x:v>0</x:v>
      </x:c>
      <x:c r="I20" s="967" t="str">
        <x:v>핵심 Seed</x:v>
      </x:c>
      <x:c r="J20" s="967"/>
      <x:c r="K20" s="967" t="str">
        <x:v>Normal</x:v>
      </x:c>
      <x:c r="L20" s="967" t="str">
        <x:f>IF(C64&gt;=3,"0W",IF(C64=2,"1W",IF(C64=1,"2W","불가")))</x:f>
        <x:v>1W</x:v>
      </x:c>
      <x:c r="M20" s="967" t="str">
        <x:f>IF(D64&gt;=3,"0W",IF(D64=2,"1W",IF(D64=1,"2W","불가")))</x:f>
        <x:v>2W</x:v>
      </x:c>
      <x:c r="N20" s="967" t="str">
        <x:f>IF(E64&gt;=3,"0W",IF(E64=2,"1W",IF(E64=1,"2W","불가")))</x:f>
        <x:v>0W</x:v>
      </x:c>
      <x:c r="O20" s="967" t="str">
        <x:f>IF(F64&gt;=3,"0W",IF(F64=2,"1W",IF(F64=1,"2W","불가")))</x:f>
        <x:v>0W</x:v>
      </x:c>
      <x:c r="P20" s="967" t="str">
        <x:f>IF(G64&gt;=3,"0W",IF(G64=2,"1W",IF(G64=1,"2W","불가")))</x:f>
        <x:v>1W</x:v>
      </x:c>
      <x:c r="Q20" s="967" t="str">
        <x:f>IF(H64&gt;=3,"0W",IF(H64=2,"1W",IF(H64=1,"2W","불가")))</x:f>
        <x:v>0W</x:v>
      </x:c>
      <x:c r="R20" s="967" t="str">
        <x:v>Faye/Benjamin/Diya 무료, Sam/Borichi는1W, Jina는2W.</x:v>
      </x:c>
    </x:row>
    <x:row r="21" ht="32.400001525878906" hidden="0" customHeight="1">
      <x:c r="A21" s="967" t="n">
        <x:v>5</x:v>
      </x:c>
      <x:c r="B21" s="967" t="str">
        <x:v>Benjamin 후속 + Borichi 악몽 + Diya 뜨개질</x:v>
      </x:c>
      <x:c r="C21" s="967" t="n">
        <x:v>0</x:v>
      </x:c>
      <x:c r="D21" s="967" t="n">
        <x:v>0</x:v>
      </x:c>
      <x:c r="E21" s="967" t="n">
        <x:v>0</x:v>
      </x:c>
      <x:c r="F21" s="967" t="n">
        <x:v>1</x:v>
      </x:c>
      <x:c r="G21" s="967" t="n">
        <x:v>1</x:v>
      </x:c>
      <x:c r="H21" s="967" t="n">
        <x:v>1</x:v>
      </x:c>
      <x:c r="I21" s="967" t="str">
        <x:v>W1 2차 Seed</x:v>
      </x:c>
      <x:c r="J21" s="967"/>
      <x:c r="K21" s="967"/>
      <x:c r="L21" s="967"/>
      <x:c r="M21" s="967"/>
      <x:c r="N21" s="967"/>
      <x:c r="O21" s="967"/>
      <x:c r="P21" s="967"/>
      <x:c r="Q21" s="967"/>
      <x:c r="R21" s="967"/>
    </x:row>
    <x:row r="22" ht="21.600000381469727" hidden="0" customHeight="1">
      <x:c r="A22" s="967" t="n">
        <x:v>6</x:v>
      </x:c>
      <x:c r="B22" s="967" t="str">
        <x:v>Sam Ep2 + Focus A=Faye + Pivot A</x:v>
      </x:c>
      <x:c r="C22" s="967" t="n">
        <x:v>2</x:v>
      </x:c>
      <x:c r="D22" s="967" t="n">
        <x:v>0</x:v>
      </x:c>
      <x:c r="E22" s="967" t="n">
        <x:v>1</x:v>
      </x:c>
      <x:c r="F22" s="967" t="n">
        <x:v>0</x:v>
      </x:c>
      <x:c r="G22" s="967" t="n">
        <x:v>0</x:v>
      </x:c>
      <x:c r="H22" s="967" t="n">
        <x:v>0</x:v>
      </x:c>
      <x:c r="I22" s="967" t="str">
        <x:v>Sam +2는 Ep2와 공개 전 단호한 보고</x:v>
      </x:c>
      <x:c r="J22" s="967"/>
      <x:c r="K22" s="967"/>
      <x:c r="L22" s="967"/>
      <x:c r="M22" s="967"/>
      <x:c r="N22" s="967"/>
      <x:c r="O22" s="967"/>
      <x:c r="P22" s="967"/>
      <x:c r="Q22" s="967"/>
      <x:c r="R22" s="967"/>
    </x:row>
    <x:row r="23" ht="21.600000381469727" hidden="0" customHeight="1">
      <x:c r="A23" s="967" t="n">
        <x:v>7</x:v>
      </x:c>
      <x:c r="B23" s="967" t="str">
        <x:v>Focus B=Diya + Pivot A 전체공개</x:v>
      </x:c>
      <x:c r="C23" s="967" t="n">
        <x:v>1</x:v>
      </x:c>
      <x:c r="D23" s="967" t="n">
        <x:v>0</x:v>
      </x:c>
      <x:c r="E23" s="967" t="n">
        <x:v>0</x:v>
      </x:c>
      <x:c r="F23" s="967" t="n">
        <x:v>0</x:v>
      </x:c>
      <x:c r="G23" s="967" t="n">
        <x:v>0</x:v>
      </x:c>
      <x:c r="H23" s="967" t="n">
        <x:v>0</x:v>
      </x:c>
      <x:c r="I23" s="967" t="str">
        <x:v>Diya +1 Focus와 -1 Pivot가 상쇄</x:v>
      </x:c>
      <x:c r="J23" s="967"/>
      <x:c r="K23" s="967"/>
      <x:c r="L23" s="967"/>
      <x:c r="M23" s="967"/>
      <x:c r="N23" s="967"/>
      <x:c r="O23" s="967"/>
      <x:c r="P23" s="967"/>
      <x:c r="Q23" s="967"/>
      <x:c r="R23" s="967"/>
    </x:row>
    <x:row r="24" ht="21.600000381469727" hidden="0" customHeight="1">
      <x:c r="A24" s="967" t="n">
        <x:v>8</x:v>
      </x:c>
      <x:c r="B24" s="967" t="str">
        <x:v>Borichi 분석 강행 Pivot B</x:v>
      </x:c>
      <x:c r="C24" s="967" t="n">
        <x:v>0</x:v>
      </x:c>
      <x:c r="D24" s="967" t="n">
        <x:v>0</x:v>
      </x:c>
      <x:c r="E24" s="967" t="n">
        <x:v>0</x:v>
      </x:c>
      <x:c r="F24" s="967" t="n">
        <x:v>0</x:v>
      </x:c>
      <x:c r="G24" s="967" t="n">
        <x:v>-1</x:v>
      </x:c>
      <x:c r="H24" s="967" t="n">
        <x:v>0</x:v>
      </x:c>
      <x:c r="I24" s="967" t="str">
        <x:v>기술XP를 얻는 대신 관계비용</x:v>
      </x:c>
      <x:c r="J24" s="967"/>
      <x:c r="K24" s="967"/>
      <x:c r="L24" s="967"/>
      <x:c r="M24" s="967"/>
      <x:c r="N24" s="967"/>
      <x:c r="O24" s="967"/>
      <x:c r="P24" s="967"/>
      <x:c r="Q24" s="967"/>
      <x:c r="R24" s="967"/>
    </x:row>
    <x:row r="25" ht="21.600000381469727" hidden="0" customHeight="1">
      <x:c r="A25" s="967" t="n">
        <x:v>9</x:v>
      </x:c>
      <x:c r="B25" s="967" t="str">
        <x:v>Faye AUDIO_LINK 보존</x:v>
      </x:c>
      <x:c r="C25" s="967" t="n">
        <x:v>0</x:v>
      </x:c>
      <x:c r="D25" s="967" t="n">
        <x:v>0</x:v>
      </x:c>
      <x:c r="E25" s="967" t="n">
        <x:v>1</x:v>
      </x:c>
      <x:c r="F25" s="967" t="n">
        <x:v>0</x:v>
      </x:c>
      <x:c r="G25" s="967" t="n">
        <x:v>0</x:v>
      </x:c>
      <x:c r="H25" s="967" t="n">
        <x:v>0</x:v>
      </x:c>
      <x:c r="I25" s="967" t="str">
        <x:v>음악 회선 존중</x:v>
      </x:c>
      <x:c r="J25" s="967"/>
      <x:c r="K25" s="967"/>
      <x:c r="L25" s="967"/>
      <x:c r="M25" s="967"/>
      <x:c r="N25" s="967"/>
      <x:c r="O25" s="967"/>
      <x:c r="P25" s="967"/>
      <x:c r="Q25" s="967"/>
      <x:c r="R25" s="967"/>
    </x:row>
    <x:row r="26" ht="32.400001525878906" hidden="0" customHeight="1">
      <x:c r="A26" s="967" t="n">
        <x:v>10</x:v>
      </x:c>
      <x:c r="B26" s="967" t="str">
        <x:v>Mira 후 Jina 곁에 둠 + Benjamin Deepening</x:v>
      </x:c>
      <x:c r="C26" s="967" t="n">
        <x:v>0</x:v>
      </x:c>
      <x:c r="D26" s="967" t="n">
        <x:v>1</x:v>
      </x:c>
      <x:c r="E26" s="967" t="n">
        <x:v>0</x:v>
      </x:c>
      <x:c r="F26" s="967" t="n">
        <x:v>1</x:v>
      </x:c>
      <x:c r="G26" s="967" t="n">
        <x:v>0</x:v>
      </x:c>
      <x:c r="H26" s="967" t="n">
        <x:v>0</x:v>
      </x:c>
      <x:c r="I26" s="967" t="str">
        <x:v>True 신뢰/Ben 후속</x:v>
      </x:c>
      <x:c r="J26" s="967"/>
      <x:c r="K26" s="967"/>
      <x:c r="L26" s="967"/>
      <x:c r="M26" s="967"/>
      <x:c r="N26" s="967"/>
      <x:c r="O26" s="967"/>
      <x:c r="P26" s="967"/>
      <x:c r="Q26" s="967"/>
      <x:c r="R26" s="967"/>
    </x:row>
    <x:row r="27" ht="32.400001525878906" hidden="0" customHeight="1">
      <x:c r="A27" s="967" t="n">
        <x:v>11</x:v>
      </x:c>
      <x:c r="B27" s="967" t="str">
        <x:v>Diya True Fork</x:v>
      </x:c>
      <x:c r="C27" s="967" t="n">
        <x:v>0</x:v>
      </x:c>
      <x:c r="D27" s="967" t="n">
        <x:v>0</x:v>
      </x:c>
      <x:c r="E27" s="967" t="n">
        <x:v>0</x:v>
      </x:c>
      <x:c r="F27" s="967" t="n">
        <x:v>0</x:v>
      </x:c>
      <x:c r="G27" s="967" t="n">
        <x:v>0</x:v>
      </x:c>
      <x:c r="H27" s="967" t="n">
        <x:v>-1</x:v>
      </x:c>
      <x:c r="I27" s="967" t="str">
        <x:v>아이의 선택을 묻는 말이 Diya의 현재 확신과 충돌</x:v>
      </x:c>
      <x:c r="J27" s="967"/>
      <x:c r="K27" s="967"/>
      <x:c r="L27" s="967"/>
      <x:c r="M27" s="967"/>
      <x:c r="N27" s="967"/>
      <x:c r="O27" s="967"/>
      <x:c r="P27" s="967"/>
      <x:c r="Q27" s="967"/>
      <x:c r="R27" s="967"/>
    </x:row>
    <x:row r="28" ht="32.400001525878906" hidden="0" customHeight="1">
      <x:c r="A28" s="967" t="n">
        <x:v>12</x:v>
      </x:c>
      <x:c r="B28" s="967" t="str">
        <x:v>Jina 과거 Deepening + Benjamin Living Ship</x:v>
      </x:c>
      <x:c r="C28" s="967" t="n">
        <x:v>0</x:v>
      </x:c>
      <x:c r="D28" s="967" t="n">
        <x:v>1</x:v>
      </x:c>
      <x:c r="E28" s="967" t="n">
        <x:v>0</x:v>
      </x:c>
      <x:c r="F28" s="967" t="n">
        <x:v>0</x:v>
      </x:c>
      <x:c r="G28" s="967" t="n">
        <x:v>0</x:v>
      </x:c>
      <x:c r="H28" s="967" t="n">
        <x:v>0</x:v>
      </x:c>
      <x:c r="I28" s="967" t="str">
        <x:v>Ben Pivot A(-1)+공동 작업(+1) = net0</x:v>
      </x:c>
      <x:c r="J28" s="967"/>
      <x:c r="K28" s="967"/>
      <x:c r="L28" s="967"/>
      <x:c r="M28" s="967"/>
      <x:c r="N28" s="967"/>
      <x:c r="O28" s="967"/>
      <x:c r="P28" s="967"/>
      <x:c r="Q28" s="967"/>
      <x:c r="R28" s="967"/>
    </x:row>
    <x:row r="29" ht="21.600000381469727" hidden="0" customHeight="1">
      <x:c r="A29" s="967" t="n">
        <x:v>13</x:v>
      </x:c>
      <x:c r="B29" s="967" t="str">
        <x:v>Sam 함께 기준정리 + Faye 회선 보존</x:v>
      </x:c>
      <x:c r="C29" s="967" t="n">
        <x:v>1</x:v>
      </x:c>
      <x:c r="D29" s="967" t="n">
        <x:v>0</x:v>
      </x:c>
      <x:c r="E29" s="967" t="n">
        <x:v>1</x:v>
      </x:c>
      <x:c r="F29" s="967" t="n">
        <x:v>0</x:v>
      </x:c>
      <x:c r="G29" s="967" t="n">
        <x:v>0</x:v>
      </x:c>
      <x:c r="H29" s="967" t="n">
        <x:v>0</x:v>
      </x:c>
      <x:c r="I29" s="967" t="str">
        <x:v>Boss 전 관계 안정</x:v>
      </x:c>
      <x:c r="J29" s="967"/>
      <x:c r="K29" s="967"/>
      <x:c r="L29" s="967"/>
      <x:c r="M29" s="967"/>
      <x:c r="N29" s="967"/>
      <x:c r="O29" s="967"/>
      <x:c r="P29" s="967"/>
      <x:c r="Q29" s="967"/>
      <x:c r="R29" s="967"/>
    </x:row>
    <x:row r="30" ht="15" hidden="0" customHeight="1">
      <x:c r="A30" s="967" t="n">
        <x:v>16</x:v>
      </x:c>
      <x:c r="B30" s="967" t="str">
        <x:v>Sam Final</x:v>
      </x:c>
      <x:c r="C30" s="967" t="n">
        <x:v>1</x:v>
      </x:c>
      <x:c r="D30" s="967" t="n">
        <x:v>0</x:v>
      </x:c>
      <x:c r="E30" s="967" t="n">
        <x:v>0</x:v>
      </x:c>
      <x:c r="F30" s="967" t="n">
        <x:v>0</x:v>
      </x:c>
      <x:c r="G30" s="967" t="n">
        <x:v>0</x:v>
      </x:c>
      <x:c r="H30" s="967" t="n">
        <x:v>0</x:v>
      </x:c>
      <x:c r="I30" s="967" t="str">
        <x:v>관계 결론</x:v>
      </x:c>
      <x:c r="J30" s="967"/>
      <x:c r="K30" s="967"/>
      <x:c r="L30" s="967"/>
      <x:c r="M30" s="967"/>
      <x:c r="N30" s="967"/>
      <x:c r="O30" s="967"/>
      <x:c r="P30" s="967"/>
      <x:c r="Q30" s="967"/>
      <x:c r="R30" s="967"/>
    </x:row>
    <x:row r="31" ht="15" hidden="0" customHeight="1">
      <x:c r="A31" s="967" t="n">
        <x:v>17</x:v>
      </x:c>
      <x:c r="B31" s="967" t="str">
        <x:v>Jina Final</x:v>
      </x:c>
      <x:c r="C31" s="967" t="n">
        <x:v>0</x:v>
      </x:c>
      <x:c r="D31" s="967" t="n">
        <x:v>1</x:v>
      </x:c>
      <x:c r="E31" s="967" t="n">
        <x:v>0</x:v>
      </x:c>
      <x:c r="F31" s="967" t="n">
        <x:v>0</x:v>
      </x:c>
      <x:c r="G31" s="967" t="n">
        <x:v>0</x:v>
      </x:c>
      <x:c r="H31" s="967" t="n">
        <x:v>0</x:v>
      </x:c>
      <x:c r="I31" s="967" t="str">
        <x:v>현재의 Jay 신뢰</x:v>
      </x:c>
      <x:c r="J31" s="967"/>
      <x:c r="K31" s="967"/>
      <x:c r="L31" s="967"/>
      <x:c r="M31" s="967"/>
      <x:c r="N31" s="967"/>
      <x:c r="O31" s="967"/>
      <x:c r="P31" s="967"/>
      <x:c r="Q31" s="967"/>
      <x:c r="R31" s="967"/>
    </x:row>
    <x:row r="32" ht="15" hidden="0" customHeight="1">
      <x:c r="A32" s="967" t="n">
        <x:v>18</x:v>
      </x:c>
      <x:c r="B32" s="967" t="str">
        <x:v>Faye/Diya Final</x:v>
      </x:c>
      <x:c r="C32" s="967" t="n">
        <x:v>0</x:v>
      </x:c>
      <x:c r="D32" s="967" t="n">
        <x:v>0</x:v>
      </x:c>
      <x:c r="E32" s="967" t="n">
        <x:v>1</x:v>
      </x:c>
      <x:c r="F32" s="967" t="n">
        <x:v>0</x:v>
      </x:c>
      <x:c r="G32" s="967" t="n">
        <x:v>0</x:v>
      </x:c>
      <x:c r="H32" s="967" t="n">
        <x:v>1</x:v>
      </x:c>
      <x:c r="I32" s="967" t="str">
        <x:v>D19 전 마무리</x:v>
      </x:c>
      <x:c r="J32" s="967"/>
      <x:c r="K32" s="967"/>
      <x:c r="L32" s="967"/>
      <x:c r="M32" s="967"/>
      <x:c r="N32" s="967"/>
      <x:c r="O32" s="967"/>
      <x:c r="P32" s="967"/>
      <x:c r="Q32" s="967"/>
      <x:c r="R32" s="967"/>
    </x:row>
    <x:row r="33" ht="15" hidden="0" customHeight="1">
      <x:c r="A33" s="969" t="str">
        <x:v>D19 Affinity</x:v>
      </x:c>
      <x:c r="B33" s="969"/>
      <x:c r="C33" s="969" t="n">
        <x:f>MAX(0,MIN(5,1+SUM(C18:C32)))</x:f>
        <x:v>5</x:v>
      </x:c>
      <x:c r="D33" s="969" t="n">
        <x:f>MAX(0,MIN(5,1+SUM(D18:D32)))</x:f>
        <x:v>5</x:v>
      </x:c>
      <x:c r="E33" s="969" t="n">
        <x:f>MAX(0,MIN(5,1+SUM(E18:E32)))</x:f>
        <x:v>5</x:v>
      </x:c>
      <x:c r="F33" s="969" t="n">
        <x:f>MAX(0,MIN(5,1+SUM(F18:F32)))</x:f>
        <x:v>3</x:v>
      </x:c>
      <x:c r="G33" s="969" t="n">
        <x:f>MAX(0,MIN(5,1+SUM(G18:G32)))</x:f>
        <x:v>3</x:v>
      </x:c>
      <x:c r="H33" s="969" t="n">
        <x:f>MAX(0,MIN(5,1+SUM(H18:H32)))</x:f>
        <x:v>3</x:v>
      </x:c>
      <x:c r="I33" s="969" t="str"/>
      <x:c r="J33" s="967"/>
      <x:c r="K33" s="967"/>
      <x:c r="L33" s="967"/>
      <x:c r="M33" s="967"/>
      <x:c r="N33" s="967"/>
      <x:c r="O33" s="967"/>
      <x:c r="P33" s="967"/>
      <x:c r="Q33" s="967"/>
      <x:c r="R33" s="967"/>
    </x:row>
    <x:row r="34" ht="15" hidden="0" customHeight="1">
      <x:c r="A34" s="967"/>
      <x:c r="B34" s="967"/>
      <x:c r="C34" s="967"/>
      <x:c r="D34" s="967"/>
      <x:c r="E34" s="967"/>
      <x:c r="F34" s="967"/>
      <x:c r="G34" s="967"/>
      <x:c r="H34" s="967"/>
      <x:c r="I34" s="967"/>
      <x:c r="J34" s="967"/>
      <x:c r="K34" s="967"/>
      <x:c r="L34" s="967"/>
      <x:c r="M34" s="967"/>
      <x:c r="N34" s="967"/>
      <x:c r="O34" s="967"/>
      <x:c r="P34" s="967"/>
      <x:c r="Q34" s="967"/>
      <x:c r="R34" s="967"/>
    </x:row>
    <x:row r="35" ht="26" hidden="0" customHeight="1">
      <x:c r="A35" s="980" t="str">
        <x:v>2B. Hidden — Affinity 실제 로그</x:v>
      </x:c>
      <x:c r="B35" s="980"/>
      <x:c r="C35" s="980"/>
      <x:c r="D35" s="980"/>
      <x:c r="E35" s="980"/>
      <x:c r="F35" s="980"/>
      <x:c r="G35" s="980"/>
      <x:c r="H35" s="980"/>
      <x:c r="I35" s="980"/>
      <x:c r="J35" s="980"/>
      <x:c r="K35" s="980"/>
      <x:c r="L35" s="980"/>
      <x:c r="M35" s="980"/>
      <x:c r="N35" s="980"/>
      <x:c r="O35" s="980"/>
      <x:c r="P35" s="980"/>
      <x:c r="Q35" s="980"/>
      <x:c r="R35" s="980"/>
    </x:row>
    <x:row r="36" ht="30" hidden="0" customHeight="1">
      <x:c r="A36" s="983" t="str">
        <x:v>Day</x:v>
      </x:c>
      <x:c r="B36" s="983" t="str">
        <x:v>Event</x:v>
      </x:c>
      <x:c r="C36" s="983" t="str">
        <x:v>Sam Δ</x:v>
      </x:c>
      <x:c r="D36" s="983" t="str">
        <x:v>Jina Δ</x:v>
      </x:c>
      <x:c r="E36" s="983" t="str">
        <x:v>Faye Δ</x:v>
      </x:c>
      <x:c r="F36" s="983" t="str">
        <x:v>Ben Δ</x:v>
      </x:c>
      <x:c r="G36" s="983" t="str">
        <x:v>Borichi Δ</x:v>
      </x:c>
      <x:c r="H36" s="983" t="str">
        <x:v>Diya Δ</x:v>
      </x:c>
      <x:c r="I36" s="983" t="str">
        <x:v>설명</x:v>
      </x:c>
      <x:c r="J36" s="983"/>
      <x:c r="K36" s="983"/>
      <x:c r="L36" s="983"/>
      <x:c r="M36" s="983"/>
      <x:c r="N36" s="983"/>
      <x:c r="O36" s="983"/>
      <x:c r="P36" s="983"/>
      <x:c r="Q36" s="983"/>
      <x:c r="R36" s="983"/>
    </x:row>
    <x:row r="37" ht="15" hidden="0" customHeight="1">
      <x:c r="A37" s="967" t="n">
        <x:v>1</x:v>
      </x:c>
      <x:c r="B37" s="967" t="str">
        <x:v>Benjamin 묘지</x:v>
      </x:c>
      <x:c r="C37" s="967" t="n">
        <x:v>0</x:v>
      </x:c>
      <x:c r="D37" s="967" t="n">
        <x:v>0</x:v>
      </x:c>
      <x:c r="E37" s="967" t="n">
        <x:v>0</x:v>
      </x:c>
      <x:c r="F37" s="967" t="n">
        <x:v>1</x:v>
      </x:c>
      <x:c r="G37" s="967" t="n">
        <x:v>0</x:v>
      </x:c>
      <x:c r="H37" s="967" t="n">
        <x:v>0</x:v>
      </x:c>
      <x:c r="I37" s="967" t="str">
        <x:v>STAY 근거 Seed</x:v>
      </x:c>
      <x:c r="J37" s="967"/>
      <x:c r="K37" s="967"/>
      <x:c r="L37" s="967"/>
      <x:c r="M37" s="967"/>
      <x:c r="N37" s="967"/>
      <x:c r="O37" s="967"/>
      <x:c r="P37" s="967"/>
      <x:c r="Q37" s="967"/>
      <x:c r="R37" s="967"/>
    </x:row>
    <x:row r="38" ht="15" hidden="0" customHeight="1">
      <x:c r="A38" s="967" t="n">
        <x:v>2</x:v>
      </x:c>
      <x:c r="B38" s="967" t="str">
        <x:v>Borichi/Diya 첫 Seed</x:v>
      </x:c>
      <x:c r="C38" s="967" t="n">
        <x:v>0</x:v>
      </x:c>
      <x:c r="D38" s="967" t="n">
        <x:v>0</x:v>
      </x:c>
      <x:c r="E38" s="967" t="n">
        <x:v>0</x:v>
      </x:c>
      <x:c r="F38" s="967" t="n">
        <x:v>0</x:v>
      </x:c>
      <x:c r="G38" s="967" t="n">
        <x:v>1</x:v>
      </x:c>
      <x:c r="H38" s="967" t="n">
        <x:v>1</x:v>
      </x:c>
      <x:c r="I38" s="967" t="str">
        <x:v>연구/생활</x:v>
      </x:c>
      <x:c r="J38" s="967"/>
      <x:c r="K38" s="967"/>
      <x:c r="L38" s="967"/>
      <x:c r="M38" s="967"/>
      <x:c r="N38" s="967"/>
      <x:c r="O38" s="967"/>
      <x:c r="P38" s="967"/>
      <x:c r="Q38" s="967"/>
      <x:c r="R38" s="967"/>
    </x:row>
    <x:row r="39" ht="15" hidden="0" customHeight="1">
      <x:c r="A39" s="967" t="n">
        <x:v>3</x:v>
      </x:c>
      <x:c r="B39" s="967" t="str">
        <x:v>Borichi 자료대조</x:v>
      </x:c>
      <x:c r="C39" s="967" t="n">
        <x:v>0</x:v>
      </x:c>
      <x:c r="D39" s="967" t="n">
        <x:v>0</x:v>
      </x:c>
      <x:c r="E39" s="967" t="n">
        <x:v>0</x:v>
      </x:c>
      <x:c r="F39" s="967" t="n">
        <x:v>0</x:v>
      </x:c>
      <x:c r="G39" s="967" t="n">
        <x:v>1</x:v>
      </x:c>
      <x:c r="H39" s="967" t="n">
        <x:v>0</x:v>
      </x:c>
      <x:c r="I39" s="967" t="str">
        <x:v>조사 협력</x:v>
      </x:c>
      <x:c r="J39" s="967"/>
      <x:c r="K39" s="967"/>
      <x:c r="L39" s="967"/>
      <x:c r="M39" s="967"/>
      <x:c r="N39" s="967"/>
      <x:c r="O39" s="967"/>
      <x:c r="P39" s="967"/>
      <x:c r="Q39" s="967"/>
      <x:c r="R39" s="967"/>
    </x:row>
    <x:row r="40" ht="21.600000381469727" hidden="0" customHeight="1">
      <x:c r="A40" s="967" t="n">
        <x:v>5</x:v>
      </x:c>
      <x:c r="B40" s="967" t="str">
        <x:v>Borichi 악몽 + Diya 뜨개질</x:v>
      </x:c>
      <x:c r="C40" s="967" t="n">
        <x:v>0</x:v>
      </x:c>
      <x:c r="D40" s="967" t="n">
        <x:v>0</x:v>
      </x:c>
      <x:c r="E40" s="967" t="n">
        <x:v>0</x:v>
      </x:c>
      <x:c r="F40" s="967" t="n">
        <x:v>0</x:v>
      </x:c>
      <x:c r="G40" s="967" t="n">
        <x:v>1</x:v>
      </x:c>
      <x:c r="H40" s="967" t="n">
        <x:v>1</x:v>
      </x:c>
      <x:c r="I40" s="967" t="str">
        <x:v>Hidden 핵심 인물</x:v>
      </x:c>
      <x:c r="J40" s="967"/>
      <x:c r="K40" s="967"/>
      <x:c r="L40" s="967"/>
      <x:c r="M40" s="967"/>
      <x:c r="N40" s="967"/>
      <x:c r="O40" s="967"/>
      <x:c r="P40" s="967"/>
      <x:c r="Q40" s="967"/>
      <x:c r="R40" s="967"/>
    </x:row>
    <x:row r="41" ht="21.600000381469727" hidden="0" customHeight="1">
      <x:c r="A41" s="967" t="n">
        <x:v>6</x:v>
      </x:c>
      <x:c r="B41" s="967" t="str">
        <x:v>Focus A=Borichi + Pivot B 재검증 기록</x:v>
      </x:c>
      <x:c r="C41" s="967" t="n">
        <x:v>0</x:v>
      </x:c>
      <x:c r="D41" s="967" t="n">
        <x:v>0</x:v>
      </x:c>
      <x:c r="E41" s="967" t="n">
        <x:v>0</x:v>
      </x:c>
      <x:c r="F41" s="967" t="n">
        <x:v>0</x:v>
      </x:c>
      <x:c r="G41" s="967" t="n">
        <x:v>2</x:v>
      </x:c>
      <x:c r="H41" s="967" t="n">
        <x:v>0</x:v>
      </x:c>
      <x:c r="I41" s="967" t="str">
        <x:v>Focus+보고</x:v>
      </x:c>
      <x:c r="J41" s="967"/>
      <x:c r="K41" s="967"/>
      <x:c r="L41" s="967"/>
      <x:c r="M41" s="967"/>
      <x:c r="N41" s="967"/>
      <x:c r="O41" s="967"/>
      <x:c r="P41" s="967"/>
      <x:c r="Q41" s="967"/>
      <x:c r="R41" s="967"/>
    </x:row>
    <x:row r="42" ht="21.600000381469727" hidden="0" customHeight="1">
      <x:c r="A42" s="967" t="n">
        <x:v>7</x:v>
      </x:c>
      <x:c r="B42" s="967" t="str">
        <x:v>Focus B=Diya + Pivot B 제한공개</x:v>
      </x:c>
      <x:c r="C42" s="967" t="n">
        <x:v>-1</x:v>
      </x:c>
      <x:c r="D42" s="967" t="n">
        <x:v>0</x:v>
      </x:c>
      <x:c r="E42" s="967" t="n">
        <x:v>0</x:v>
      </x:c>
      <x:c r="F42" s="967" t="n">
        <x:v>0</x:v>
      </x:c>
      <x:c r="G42" s="967" t="n">
        <x:v>0</x:v>
      </x:c>
      <x:c r="H42" s="967" t="n">
        <x:v>2</x:v>
      </x:c>
      <x:c r="I42" s="967" t="str">
        <x:v>Sam 관계비용, Diya 집중</x:v>
      </x:c>
      <x:c r="J42" s="967"/>
      <x:c r="K42" s="967"/>
      <x:c r="L42" s="967"/>
      <x:c r="M42" s="967"/>
      <x:c r="N42" s="967"/>
      <x:c r="O42" s="967"/>
      <x:c r="P42" s="967"/>
      <x:c r="Q42" s="967"/>
      <x:c r="R42" s="967"/>
    </x:row>
    <x:row r="43" ht="15" hidden="0" customHeight="1">
      <x:c r="A43" s="967" t="n">
        <x:v>8</x:v>
      </x:c>
      <x:c r="B43" s="967" t="str">
        <x:v>Borichi 분석 강행</x:v>
      </x:c>
      <x:c r="C43" s="967" t="n">
        <x:v>0</x:v>
      </x:c>
      <x:c r="D43" s="967" t="n">
        <x:v>0</x:v>
      </x:c>
      <x:c r="E43" s="967" t="n">
        <x:v>0</x:v>
      </x:c>
      <x:c r="F43" s="967" t="n">
        <x:v>0</x:v>
      </x:c>
      <x:c r="G43" s="967" t="n">
        <x:v>-1</x:v>
      </x:c>
      <x:c r="H43" s="967" t="n">
        <x:v>0</x:v>
      </x:c>
      <x:c r="I43" s="967" t="str">
        <x:v>즉시 폭풍 단서</x:v>
      </x:c>
      <x:c r="J43" s="967"/>
      <x:c r="K43" s="967"/>
      <x:c r="L43" s="967"/>
      <x:c r="M43" s="967"/>
      <x:c r="N43" s="967"/>
      <x:c r="O43" s="967"/>
      <x:c r="P43" s="967"/>
      <x:c r="Q43" s="967"/>
      <x:c r="R43" s="967"/>
    </x:row>
    <x:row r="44" ht="21.600000381469727" hidden="0" customHeight="1">
      <x:c r="A44" s="967" t="n">
        <x:v>9</x:v>
      </x:c>
      <x:c r="B44" s="967" t="str">
        <x:v>Faye 부품 피난설비 전용</x:v>
      </x:c>
      <x:c r="C44" s="967" t="n">
        <x:v>0</x:v>
      </x:c>
      <x:c r="D44" s="967" t="n">
        <x:v>0</x:v>
      </x:c>
      <x:c r="E44" s="967" t="n">
        <x:v>-2</x:v>
      </x:c>
      <x:c r="F44" s="967" t="n">
        <x:v>0</x:v>
      </x:c>
      <x:c r="G44" s="967" t="n">
        <x:v>0</x:v>
      </x:c>
      <x:c r="H44" s="967" t="n">
        <x:v>0</x:v>
      </x:c>
      <x:c r="I44" s="967" t="str">
        <x:v>Hidden/생존 투자, Faye 관계 희생</x:v>
      </x:c>
      <x:c r="J44" s="967"/>
      <x:c r="K44" s="967"/>
      <x:c r="L44" s="967"/>
      <x:c r="M44" s="967"/>
      <x:c r="N44" s="967"/>
      <x:c r="O44" s="967"/>
      <x:c r="P44" s="967"/>
      <x:c r="Q44" s="967"/>
      <x:c r="R44" s="967"/>
    </x:row>
    <x:row r="45" ht="15" hidden="0" customHeight="1">
      <x:c r="A45" s="967" t="n">
        <x:v>10</x:v>
      </x:c>
      <x:c r="B45" s="967" t="str">
        <x:v>Mira 후 Jina 곁에 둠</x:v>
      </x:c>
      <x:c r="C45" s="967" t="n">
        <x:v>0</x:v>
      </x:c>
      <x:c r="D45" s="967" t="n">
        <x:v>1</x:v>
      </x:c>
      <x:c r="E45" s="967" t="n">
        <x:v>0</x:v>
      </x:c>
      <x:c r="F45" s="967" t="n">
        <x:v>0</x:v>
      </x:c>
      <x:c r="G45" s="967" t="n">
        <x:v>0</x:v>
      </x:c>
      <x:c r="H45" s="967" t="n">
        <x:v>0</x:v>
      </x:c>
      <x:c r="I45" s="967" t="str">
        <x:v>공동체 신뢰</x:v>
      </x:c>
      <x:c r="J45" s="967"/>
      <x:c r="K45" s="967"/>
      <x:c r="L45" s="967"/>
      <x:c r="M45" s="967"/>
      <x:c r="N45" s="967"/>
      <x:c r="O45" s="967"/>
      <x:c r="P45" s="967"/>
      <x:c r="Q45" s="967"/>
      <x:c r="R45" s="967"/>
    </x:row>
    <x:row r="46" ht="15" hidden="0" customHeight="1">
      <x:c r="A46" s="967" t="n">
        <x:v>11</x:v>
      </x:c>
      <x:c r="B46" s="967" t="str">
        <x:v>Diya Hidden Fork</x:v>
      </x:c>
      <x:c r="C46" s="967" t="n">
        <x:v>0</x:v>
      </x:c>
      <x:c r="D46" s="967" t="n">
        <x:v>0</x:v>
      </x:c>
      <x:c r="E46" s="967" t="n">
        <x:v>0</x:v>
      </x:c>
      <x:c r="F46" s="967" t="n">
        <x:v>0</x:v>
      </x:c>
      <x:c r="G46" s="967" t="n">
        <x:v>0</x:v>
      </x:c>
      <x:c r="H46" s="967" t="n">
        <x:v>1</x:v>
      </x:c>
      <x:c r="I46" s="967" t="str">
        <x:v>여기가 아이들의 집</x:v>
      </x:c>
      <x:c r="J46" s="967"/>
      <x:c r="K46" s="967"/>
      <x:c r="L46" s="967"/>
      <x:c r="M46" s="967"/>
      <x:c r="N46" s="967"/>
      <x:c r="O46" s="967"/>
      <x:c r="P46" s="967"/>
      <x:c r="Q46" s="967"/>
      <x:c r="R46" s="967"/>
    </x:row>
    <x:row r="47" ht="32.400001525878906" hidden="0" customHeight="1">
      <x:c r="A47" s="967" t="n">
        <x:v>12</x:v>
      </x:c>
      <x:c r="B47" s="967" t="str">
        <x:v>Benjamin 묘지 우선 + 온실 시험재배</x:v>
      </x:c>
      <x:c r="C47" s="967" t="n">
        <x:v>0</x:v>
      </x:c>
      <x:c r="D47" s="967" t="n">
        <x:v>0</x:v>
      </x:c>
      <x:c r="E47" s="967" t="n">
        <x:v>0</x:v>
      </x:c>
      <x:c r="F47" s="967" t="n">
        <x:v>1</x:v>
      </x:c>
      <x:c r="G47" s="967" t="n">
        <x:v>1</x:v>
      </x:c>
      <x:c r="H47" s="967" t="n">
        <x:v>1</x:v>
      </x:c>
      <x:c r="I47" s="967" t="str">
        <x:v>Ben STAY / Borichi·Diya Deepening</x:v>
      </x:c>
      <x:c r="J47" s="967"/>
      <x:c r="K47" s="967"/>
      <x:c r="L47" s="967"/>
      <x:c r="M47" s="967"/>
      <x:c r="N47" s="967"/>
      <x:c r="O47" s="967"/>
      <x:c r="P47" s="967"/>
      <x:c r="Q47" s="967"/>
      <x:c r="R47" s="967"/>
    </x:row>
    <x:row r="48" ht="15" hidden="0" customHeight="1">
      <x:c r="A48" s="967" t="n">
        <x:v>13</x:v>
      </x:c>
      <x:c r="B48" s="967" t="str">
        <x:v>Sam 함께 기준정리</x:v>
      </x:c>
      <x:c r="C48" s="967" t="n">
        <x:v>1</x:v>
      </x:c>
      <x:c r="D48" s="967" t="n">
        <x:v>0</x:v>
      </x:c>
      <x:c r="E48" s="967" t="n">
        <x:v>0</x:v>
      </x:c>
      <x:c r="F48" s="967" t="n">
        <x:v>0</x:v>
      </x:c>
      <x:c r="G48" s="967" t="n">
        <x:v>0</x:v>
      </x:c>
      <x:c r="H48" s="967" t="n">
        <x:v>0</x:v>
      </x:c>
      <x:c r="I48" s="967" t="str">
        <x:v>Sam 0→1 회복</x:v>
      </x:c>
      <x:c r="J48" s="967"/>
      <x:c r="K48" s="967"/>
      <x:c r="L48" s="967"/>
      <x:c r="M48" s="967"/>
      <x:c r="N48" s="967"/>
      <x:c r="O48" s="967"/>
      <x:c r="P48" s="967"/>
      <x:c r="Q48" s="967"/>
      <x:c r="R48" s="967"/>
    </x:row>
    <x:row r="49" ht="15" hidden="0" customHeight="1">
      <x:c r="A49" s="967" t="n">
        <x:v>18</x:v>
      </x:c>
      <x:c r="B49" s="967" t="str">
        <x:v>Borichi/Diya Final</x:v>
      </x:c>
      <x:c r="C49" s="967" t="n">
        <x:v>0</x:v>
      </x:c>
      <x:c r="D49" s="967" t="n">
        <x:v>0</x:v>
      </x:c>
      <x:c r="E49" s="967" t="n">
        <x:v>0</x:v>
      </x:c>
      <x:c r="F49" s="967" t="n">
        <x:v>0</x:v>
      </x:c>
      <x:c r="G49" s="967" t="n">
        <x:v>1</x:v>
      </x:c>
      <x:c r="H49" s="967" t="n">
        <x:v>1</x:v>
      </x:c>
      <x:c r="I49" s="967" t="str">
        <x:v>재분석/정착 결론</x:v>
      </x:c>
      <x:c r="J49" s="967"/>
      <x:c r="K49" s="967"/>
      <x:c r="L49" s="967"/>
      <x:c r="M49" s="967"/>
      <x:c r="N49" s="967"/>
      <x:c r="O49" s="967"/>
      <x:c r="P49" s="967"/>
      <x:c r="Q49" s="967"/>
      <x:c r="R49" s="967"/>
    </x:row>
    <x:row r="50" ht="15" hidden="0" customHeight="1">
      <x:c r="A50" s="969" t="str">
        <x:v>D19 Affinity</x:v>
      </x:c>
      <x:c r="B50" s="969"/>
      <x:c r="C50" s="969" t="n">
        <x:f>MAX(0,MIN(5,1+SUM(C37:C49)))</x:f>
        <x:v>1</x:v>
      </x:c>
      <x:c r="D50" s="969" t="n">
        <x:f>MAX(0,MIN(5,1+SUM(D37:D49)))</x:f>
        <x:v>2</x:v>
      </x:c>
      <x:c r="E50" s="969" t="n">
        <x:f>MAX(0,MIN(5,1+SUM(E37:E49)))</x:f>
        <x:v>0</x:v>
      </x:c>
      <x:c r="F50" s="969" t="n">
        <x:f>MAX(0,MIN(5,1+SUM(F37:F49)))</x:f>
        <x:v>3</x:v>
      </x:c>
      <x:c r="G50" s="969" t="n">
        <x:f>MAX(0,MIN(5,1+SUM(G37:G49)))</x:f>
        <x:v>5</x:v>
      </x:c>
      <x:c r="H50" s="969" t="n">
        <x:f>MAX(0,MIN(5,1+SUM(H37:H49)))</x:f>
        <x:v>5</x:v>
      </x:c>
      <x:c r="I50" s="969" t="str"/>
      <x:c r="J50" s="967"/>
      <x:c r="K50" s="967"/>
      <x:c r="L50" s="967"/>
      <x:c r="M50" s="967"/>
      <x:c r="N50" s="967"/>
      <x:c r="O50" s="967"/>
      <x:c r="P50" s="967"/>
      <x:c r="Q50" s="967"/>
      <x:c r="R50" s="967"/>
    </x:row>
    <x:row r="51" ht="15" hidden="0" customHeight="1">
      <x:c r="A51" s="967"/>
      <x:c r="B51" s="967"/>
      <x:c r="C51" s="967"/>
      <x:c r="D51" s="967"/>
      <x:c r="E51" s="967"/>
      <x:c r="F51" s="967"/>
      <x:c r="G51" s="967"/>
      <x:c r="H51" s="967"/>
      <x:c r="I51" s="967"/>
      <x:c r="J51" s="967"/>
      <x:c r="K51" s="967"/>
      <x:c r="L51" s="967"/>
      <x:c r="M51" s="967"/>
      <x:c r="N51" s="967"/>
      <x:c r="O51" s="967"/>
      <x:c r="P51" s="967"/>
      <x:c r="Q51" s="967"/>
      <x:c r="R51" s="967"/>
    </x:row>
    <x:row r="52" ht="26" hidden="0" customHeight="1">
      <x:c r="A52" s="980" t="str">
        <x:v>2C. Normal — Affinity 실제 로그</x:v>
      </x:c>
      <x:c r="B52" s="980"/>
      <x:c r="C52" s="980"/>
      <x:c r="D52" s="980"/>
      <x:c r="E52" s="980"/>
      <x:c r="F52" s="980"/>
      <x:c r="G52" s="980"/>
      <x:c r="H52" s="980"/>
      <x:c r="I52" s="980"/>
      <x:c r="J52" s="980"/>
      <x:c r="K52" s="980"/>
      <x:c r="L52" s="980"/>
      <x:c r="M52" s="980"/>
      <x:c r="N52" s="980"/>
      <x:c r="O52" s="980"/>
      <x:c r="P52" s="980"/>
      <x:c r="Q52" s="980"/>
      <x:c r="R52" s="980"/>
    </x:row>
    <x:row r="53" ht="30" hidden="0" customHeight="1">
      <x:c r="A53" s="983" t="str">
        <x:v>Day</x:v>
      </x:c>
      <x:c r="B53" s="983" t="str">
        <x:v>Event</x:v>
      </x:c>
      <x:c r="C53" s="983" t="str">
        <x:v>Sam Δ</x:v>
      </x:c>
      <x:c r="D53" s="983" t="str">
        <x:v>Jina Δ</x:v>
      </x:c>
      <x:c r="E53" s="983" t="str">
        <x:v>Faye Δ</x:v>
      </x:c>
      <x:c r="F53" s="983" t="str">
        <x:v>Ben Δ</x:v>
      </x:c>
      <x:c r="G53" s="983" t="str">
        <x:v>Borichi Δ</x:v>
      </x:c>
      <x:c r="H53" s="983" t="str">
        <x:v>Diya Δ</x:v>
      </x:c>
      <x:c r="I53" s="983" t="str">
        <x:v>설명</x:v>
      </x:c>
      <x:c r="J53" s="983"/>
      <x:c r="K53" s="983"/>
      <x:c r="L53" s="983"/>
      <x:c r="M53" s="983"/>
      <x:c r="N53" s="983"/>
      <x:c r="O53" s="983"/>
      <x:c r="P53" s="983"/>
      <x:c r="Q53" s="983"/>
      <x:c r="R53" s="983"/>
    </x:row>
    <x:row r="54" ht="21.600000381469727" hidden="0" customHeight="1">
      <x:c r="A54" s="967" t="n">
        <x:v>2</x:v>
      </x:c>
      <x:c r="B54" s="967" t="str">
        <x:v>Jina/Faye 일상 Seed</x:v>
      </x:c>
      <x:c r="C54" s="967" t="n">
        <x:v>0</x:v>
      </x:c>
      <x:c r="D54" s="967" t="n">
        <x:v>1</x:v>
      </x:c>
      <x:c r="E54" s="967" t="n">
        <x:v>1</x:v>
      </x:c>
      <x:c r="F54" s="967" t="n">
        <x:v>0</x:v>
      </x:c>
      <x:c r="G54" s="967" t="n">
        <x:v>0</x:v>
      </x:c>
      <x:c r="H54" s="967" t="n">
        <x:v>0</x:v>
      </x:c>
      <x:c r="I54" s="967" t="str">
        <x:v>넓게 접하지만 깊게는 안 감</x:v>
      </x:c>
      <x:c r="J54" s="967"/>
      <x:c r="K54" s="967"/>
      <x:c r="L54" s="967"/>
      <x:c r="M54" s="967"/>
      <x:c r="N54" s="967"/>
      <x:c r="O54" s="967"/>
      <x:c r="P54" s="967"/>
      <x:c r="Q54" s="967"/>
      <x:c r="R54" s="967"/>
    </x:row>
    <x:row r="55" ht="15" hidden="0" customHeight="1">
      <x:c r="A55" s="967" t="n">
        <x:v>3</x:v>
      </x:c>
      <x:c r="B55" s="967" t="str">
        <x:v>Sam Ep1</x:v>
      </x:c>
      <x:c r="C55" s="967" t="n">
        <x:v>1</x:v>
      </x:c>
      <x:c r="D55" s="967" t="n">
        <x:v>0</x:v>
      </x:c>
      <x:c r="E55" s="967" t="n">
        <x:v>0</x:v>
      </x:c>
      <x:c r="F55" s="967" t="n">
        <x:v>0</x:v>
      </x:c>
      <x:c r="G55" s="967" t="n">
        <x:v>0</x:v>
      </x:c>
      <x:c r="H55" s="967" t="n">
        <x:v>0</x:v>
      </x:c>
      <x:c r="I55" s="967" t="str">
        <x:v>기본 협력</x:v>
      </x:c>
      <x:c r="J55" s="967"/>
      <x:c r="K55" s="967"/>
      <x:c r="L55" s="967"/>
      <x:c r="M55" s="967"/>
      <x:c r="N55" s="967"/>
      <x:c r="O55" s="967"/>
      <x:c r="P55" s="967"/>
      <x:c r="Q55" s="967"/>
      <x:c r="R55" s="967"/>
    </x:row>
    <x:row r="56" ht="15" hidden="0" customHeight="1">
      <x:c r="A56" s="967" t="n">
        <x:v>4</x:v>
      </x:c>
      <x:c r="B56" s="967" t="str">
        <x:v>Faye 음악꿈</x:v>
      </x:c>
      <x:c r="C56" s="967" t="n">
        <x:v>0</x:v>
      </x:c>
      <x:c r="D56" s="967" t="n">
        <x:v>0</x:v>
      </x:c>
      <x:c r="E56" s="967" t="n">
        <x:v>1</x:v>
      </x:c>
      <x:c r="F56" s="967" t="n">
        <x:v>0</x:v>
      </x:c>
      <x:c r="G56" s="967" t="n">
        <x:v>0</x:v>
      </x:c>
      <x:c r="H56" s="967" t="n">
        <x:v>0</x:v>
      </x:c>
      <x:c r="I56" s="967" t="str">
        <x:v>Faye 관심</x:v>
      </x:c>
      <x:c r="J56" s="967"/>
      <x:c r="K56" s="967"/>
      <x:c r="L56" s="967"/>
      <x:c r="M56" s="967"/>
      <x:c r="N56" s="967"/>
      <x:c r="O56" s="967"/>
      <x:c r="P56" s="967"/>
      <x:c r="Q56" s="967"/>
      <x:c r="R56" s="967"/>
    </x:row>
    <x:row r="57" ht="15" hidden="0" customHeight="1">
      <x:c r="A57" s="967" t="n">
        <x:v>5</x:v>
      </x:c>
      <x:c r="B57" s="967" t="str">
        <x:v>Benjamin/Diya Seed</x:v>
      </x:c>
      <x:c r="C57" s="967" t="n">
        <x:v>0</x:v>
      </x:c>
      <x:c r="D57" s="967" t="n">
        <x:v>0</x:v>
      </x:c>
      <x:c r="E57" s="967" t="n">
        <x:v>0</x:v>
      </x:c>
      <x:c r="F57" s="967" t="n">
        <x:v>1</x:v>
      </x:c>
      <x:c r="G57" s="967" t="n">
        <x:v>0</x:v>
      </x:c>
      <x:c r="H57" s="967" t="n">
        <x:v>1</x:v>
      </x:c>
      <x:c r="I57" s="967" t="str">
        <x:v>묘지/생활</x:v>
      </x:c>
      <x:c r="J57" s="967"/>
      <x:c r="K57" s="967"/>
      <x:c r="L57" s="967"/>
      <x:c r="M57" s="967"/>
      <x:c r="N57" s="967"/>
      <x:c r="O57" s="967"/>
      <x:c r="P57" s="967"/>
      <x:c r="Q57" s="967"/>
      <x:c r="R57" s="967"/>
    </x:row>
    <x:row r="58" ht="15" hidden="0" customHeight="1">
      <x:c r="A58" s="967" t="n">
        <x:v>7</x:v>
      </x:c>
      <x:c r="B58" s="967" t="str">
        <x:v>제한 공개 Pivot B</x:v>
      </x:c>
      <x:c r="C58" s="967" t="n">
        <x:v>-1</x:v>
      </x:c>
      <x:c r="D58" s="967" t="n">
        <x:v>0</x:v>
      </x:c>
      <x:c r="E58" s="967" t="n">
        <x:v>0</x:v>
      </x:c>
      <x:c r="F58" s="967" t="n">
        <x:v>0</x:v>
      </x:c>
      <x:c r="G58" s="967" t="n">
        <x:v>0</x:v>
      </x:c>
      <x:c r="H58" s="967" t="n">
        <x:v>1</x:v>
      </x:c>
      <x:c r="I58" s="967" t="str">
        <x:v>Sam 손실 / Diya 상승</x:v>
      </x:c>
      <x:c r="J58" s="967"/>
      <x:c r="K58" s="967"/>
      <x:c r="L58" s="967"/>
      <x:c r="M58" s="967"/>
      <x:c r="N58" s="967"/>
      <x:c r="O58" s="967"/>
      <x:c r="P58" s="967"/>
      <x:c r="Q58" s="967"/>
      <x:c r="R58" s="967"/>
    </x:row>
    <x:row r="59" ht="15" hidden="0" customHeight="1">
      <x:c r="A59" s="967" t="n">
        <x:v>8</x:v>
      </x:c>
      <x:c r="B59" s="967" t="str">
        <x:v>Borichi 쉬게 둠</x:v>
      </x:c>
      <x:c r="C59" s="967" t="n">
        <x:v>0</x:v>
      </x:c>
      <x:c r="D59" s="967" t="n">
        <x:v>0</x:v>
      </x:c>
      <x:c r="E59" s="967" t="n">
        <x:v>0</x:v>
      </x:c>
      <x:c r="F59" s="967" t="n">
        <x:v>0</x:v>
      </x:c>
      <x:c r="G59" s="967" t="n">
        <x:v>1</x:v>
      </x:c>
      <x:c r="H59" s="967" t="n">
        <x:v>0</x:v>
      </x:c>
      <x:c r="I59" s="967" t="str">
        <x:v>관계 우선</x:v>
      </x:c>
      <x:c r="J59" s="967"/>
      <x:c r="K59" s="967"/>
      <x:c r="L59" s="967"/>
      <x:c r="M59" s="967"/>
      <x:c r="N59" s="967"/>
      <x:c r="O59" s="967"/>
      <x:c r="P59" s="967"/>
      <x:c r="Q59" s="967"/>
      <x:c r="R59" s="967"/>
    </x:row>
    <x:row r="60" ht="21.600000381469727" hidden="0" customHeight="1">
      <x:c r="A60" s="967" t="n">
        <x:v>9</x:v>
      </x:c>
      <x:c r="B60" s="967" t="str">
        <x:v>Faye AUDIO_LINK 보존</x:v>
      </x:c>
      <x:c r="C60" s="967" t="n">
        <x:v>0</x:v>
      </x:c>
      <x:c r="D60" s="967" t="n">
        <x:v>0</x:v>
      </x:c>
      <x:c r="E60" s="967" t="n">
        <x:v>1</x:v>
      </x:c>
      <x:c r="F60" s="967" t="n">
        <x:v>0</x:v>
      </x:c>
      <x:c r="G60" s="967" t="n">
        <x:v>0</x:v>
      </x:c>
      <x:c r="H60" s="967" t="n">
        <x:v>0</x:v>
      </x:c>
      <x:c r="I60" s="967" t="str">
        <x:v>선택적 Character</x:v>
      </x:c>
      <x:c r="J60" s="967"/>
      <x:c r="K60" s="967"/>
      <x:c r="L60" s="967"/>
      <x:c r="M60" s="967"/>
      <x:c r="N60" s="967"/>
      <x:c r="O60" s="967"/>
      <x:c r="P60" s="967"/>
      <x:c r="Q60" s="967"/>
      <x:c r="R60" s="967"/>
    </x:row>
    <x:row r="61" ht="15" hidden="0" customHeight="1">
      <x:c r="A61" s="967" t="n">
        <x:v>10</x:v>
      </x:c>
      <x:c r="B61" s="967" t="str">
        <x:v>Jina 업무복귀 Pivot B</x:v>
      </x:c>
      <x:c r="C61" s="967" t="n">
        <x:v>0</x:v>
      </x:c>
      <x:c r="D61" s="967" t="n">
        <x:v>-1</x:v>
      </x:c>
      <x:c r="E61" s="967" t="n">
        <x:v>0</x:v>
      </x:c>
      <x:c r="F61" s="967" t="n">
        <x:v>0</x:v>
      </x:c>
      <x:c r="G61" s="967" t="n">
        <x:v>0</x:v>
      </x:c>
      <x:c r="H61" s="967" t="n">
        <x:v>0</x:v>
      </x:c>
      <x:c r="I61" s="967" t="str">
        <x:v>시간 절약</x:v>
      </x:c>
      <x:c r="J61" s="967"/>
      <x:c r="K61" s="967"/>
      <x:c r="L61" s="967"/>
      <x:c r="M61" s="967"/>
      <x:c r="N61" s="967"/>
      <x:c r="O61" s="967"/>
      <x:c r="P61" s="967"/>
      <x:c r="Q61" s="967"/>
      <x:c r="R61" s="967"/>
    </x:row>
    <x:row r="62" ht="15" hidden="0" customHeight="1">
      <x:c r="A62" s="967" t="n">
        <x:v>12</x:v>
      </x:c>
      <x:c r="B62" s="967" t="str">
        <x:v>Benjamin 묘지 우선</x:v>
      </x:c>
      <x:c r="C62" s="967" t="n">
        <x:v>0</x:v>
      </x:c>
      <x:c r="D62" s="967" t="n">
        <x:v>0</x:v>
      </x:c>
      <x:c r="E62" s="967" t="n">
        <x:v>0</x:v>
      </x:c>
      <x:c r="F62" s="967" t="n">
        <x:v>1</x:v>
      </x:c>
      <x:c r="G62" s="967" t="n">
        <x:v>0</x:v>
      </x:c>
      <x:c r="H62" s="967" t="n">
        <x:v>0</x:v>
      </x:c>
      <x:c r="I62" s="967" t="str">
        <x:v>STAY 쪽</x:v>
      </x:c>
      <x:c r="J62" s="967"/>
      <x:c r="K62" s="967"/>
      <x:c r="L62" s="967"/>
      <x:c r="M62" s="967"/>
      <x:c r="N62" s="967"/>
      <x:c r="O62" s="967"/>
      <x:c r="P62" s="967"/>
      <x:c r="Q62" s="967"/>
      <x:c r="R62" s="967"/>
    </x:row>
    <x:row r="63" ht="15" hidden="0" customHeight="1">
      <x:c r="A63" s="967" t="n">
        <x:v>13</x:v>
      </x:c>
      <x:c r="B63" s="967" t="str">
        <x:v>Sam 함께 기준정리</x:v>
      </x:c>
      <x:c r="C63" s="967" t="n">
        <x:v>1</x:v>
      </x:c>
      <x:c r="D63" s="967" t="n">
        <x:v>0</x:v>
      </x:c>
      <x:c r="E63" s="967" t="n">
        <x:v>0</x:v>
      </x:c>
      <x:c r="F63" s="967" t="n">
        <x:v>0</x:v>
      </x:c>
      <x:c r="G63" s="967" t="n">
        <x:v>0</x:v>
      </x:c>
      <x:c r="H63" s="967" t="n">
        <x:v>0</x:v>
      </x:c>
      <x:c r="I63" s="967" t="str">
        <x:v>W3 전 최소 회복</x:v>
      </x:c>
      <x:c r="J63" s="967"/>
      <x:c r="K63" s="967"/>
      <x:c r="L63" s="967"/>
      <x:c r="M63" s="967"/>
      <x:c r="N63" s="967"/>
      <x:c r="O63" s="967"/>
      <x:c r="P63" s="967"/>
      <x:c r="Q63" s="967"/>
      <x:c r="R63" s="967"/>
    </x:row>
    <x:row r="64" ht="15" hidden="0" customHeight="1">
      <x:c r="A64" s="969" t="str">
        <x:v>D19 Affinity</x:v>
      </x:c>
      <x:c r="B64" s="969"/>
      <x:c r="C64" s="969" t="n">
        <x:f>MAX(0,MIN(5,1+SUM(C54:C63)))</x:f>
        <x:v>2</x:v>
      </x:c>
      <x:c r="D64" s="969" t="n">
        <x:f>MAX(0,MIN(5,1+SUM(D54:D63)))</x:f>
        <x:v>1</x:v>
      </x:c>
      <x:c r="E64" s="969" t="n">
        <x:f>MAX(0,MIN(5,1+SUM(E54:E63)))</x:f>
        <x:v>4</x:v>
      </x:c>
      <x:c r="F64" s="969" t="n">
        <x:f>MAX(0,MIN(5,1+SUM(F54:F63)))</x:f>
        <x:v>3</x:v>
      </x:c>
      <x:c r="G64" s="969" t="n">
        <x:f>MAX(0,MIN(5,1+SUM(G54:G63)))</x:f>
        <x:v>2</x:v>
      </x:c>
      <x:c r="H64" s="969" t="n">
        <x:f>MAX(0,MIN(5,1+SUM(H54:H63)))</x:f>
        <x:v>3</x:v>
      </x:c>
      <x:c r="I64" s="969" t="str"/>
      <x:c r="J64" s="967"/>
      <x:c r="K64" s="967"/>
      <x:c r="L64" s="967"/>
      <x:c r="M64" s="967"/>
      <x:c r="N64" s="967"/>
      <x:c r="O64" s="967"/>
      <x:c r="P64" s="967"/>
      <x:c r="Q64" s="967"/>
      <x:c r="R64" s="967"/>
    </x:row>
    <x:row r="65" ht="15" hidden="0" customHeight="1">
      <x:c r="A65" s="967"/>
      <x:c r="B65" s="967"/>
      <x:c r="C65" s="967"/>
      <x:c r="D65" s="967"/>
      <x:c r="E65" s="967"/>
      <x:c r="F65" s="967"/>
      <x:c r="G65" s="967"/>
      <x:c r="H65" s="967"/>
      <x:c r="I65" s="967"/>
      <x:c r="J65" s="967"/>
      <x:c r="K65" s="967"/>
      <x:c r="L65" s="967"/>
      <x:c r="M65" s="967"/>
      <x:c r="N65" s="967"/>
      <x:c r="O65" s="967"/>
      <x:c r="P65" s="967"/>
      <x:c r="Q65" s="967"/>
      <x:c r="R65" s="967"/>
    </x:row>
    <x:row r="66" ht="15" hidden="0" customHeight="1">
      <x:c r="A66" s="969" t="str">
        <x:v>3. XP 실제 누적 — 대표 빌드/선택</x:v>
      </x:c>
      <x:c r="B66" s="969"/>
      <x:c r="C66" s="969"/>
      <x:c r="D66" s="969"/>
      <x:c r="E66" s="969"/>
      <x:c r="F66" s="969"/>
      <x:c r="G66" s="969"/>
      <x:c r="H66" s="969"/>
      <x:c r="I66" s="969"/>
      <x:c r="J66" s="969"/>
      <x:c r="K66" s="969"/>
      <x:c r="L66" s="969" t="str">
        <x:v>XP 공급 근거</x:v>
      </x:c>
      <x:c r="M66" s="969"/>
      <x:c r="N66" s="969"/>
      <x:c r="O66" s="969"/>
      <x:c r="P66" s="969"/>
      <x:c r="Q66" s="969"/>
      <x:c r="R66" s="969"/>
    </x:row>
    <x:row r="67" ht="30" hidden="0" customHeight="1">
      <x:c r="A67" s="983" t="str">
        <x:v>Route</x:v>
      </x:c>
      <x:c r="B67" s="983" t="str">
        <x:v>시작 강/교/기</x:v>
      </x:c>
      <x:c r="C67" s="983" t="str">
        <x:v>강인함 XP</x:v>
      </x:c>
      <x:c r="D67" s="983" t="str">
        <x:v>교감 XP</x:v>
      </x:c>
      <x:c r="E67" s="983" t="str">
        <x:v>기술 XP</x:v>
      </x:c>
      <x:c r="F67" s="983" t="str">
        <x:v>강 Lv</x:v>
      </x:c>
      <x:c r="G67" s="983" t="str">
        <x:v>교 Lv</x:v>
      </x:c>
      <x:c r="H67" s="983" t="str">
        <x:v>기 Lv</x:v>
      </x:c>
      <x:c r="I67" s="983" t="str">
        <x:v>D19 해석</x:v>
      </x:c>
      <x:c r="J67" s="983" t="str">
        <x:v>판정</x:v>
      </x:c>
      <x:c r="K67" s="983"/>
      <x:c r="L67" s="983" t="str">
        <x:v>Route</x:v>
      </x:c>
      <x:c r="M67" s="983" t="str">
        <x:v>주요 공급</x:v>
      </x:c>
      <x:c r="N67" s="983"/>
      <x:c r="O67" s="983"/>
      <x:c r="P67" s="983"/>
      <x:c r="Q67" s="983"/>
      <x:c r="R67" s="983"/>
    </x:row>
    <x:row r="68" ht="32.400001525878906" hidden="0" customHeight="1">
      <x:c r="A68" s="967" t="str">
        <x:v>Normal</x:v>
      </x:c>
      <x:c r="B68" s="967" t="str">
        <x:v>2 / 2 / 2</x:v>
      </x:c>
      <x:c r="C68" s="967" t="n">
        <x:v>4</x:v>
      </x:c>
      <x:c r="D68" s="967" t="n">
        <x:v>4</x:v>
      </x:c>
      <x:c r="E68" s="967" t="n">
        <x:v>8</x:v>
      </x:c>
      <x:c r="F68" s="967" t="n">
        <x:f>2+INT(C68/6)</x:f>
        <x:v>2</x:v>
      </x:c>
      <x:c r="G68" s="967" t="n">
        <x:f>2+INT(D68/6)</x:f>
        <x:v>2</x:v>
      </x:c>
      <x:c r="H68" s="967" t="n">
        <x:f>2+INT(E68/6)</x:f>
        <x:v>3</x:v>
      </x:c>
      <x:c r="I68" s="967" t="str">
        <x:v>직접 고난도 해결보다 시간/NPC/Will 중심</x:v>
      </x:c>
      <x:c r="J68" s="967" t="str">
        <x:v>PASS</x:v>
      </x:c>
      <x:c r="K68" s="967"/>
      <x:c r="L68" s="967" t="str">
        <x:v>Normal</x:v>
      </x:c>
      <x:c r="M68" s="967" t="str">
        <x:v>Pivots/일상만 일부: Strong4 / Social4 / Tech8. 전문화 실패가 아니라 'NPC와 시간으로 푸는' 첫 Run.</x:v>
      </x:c>
      <x:c r="N68" s="967"/>
      <x:c r="O68" s="967"/>
      <x:c r="P68" s="967"/>
      <x:c r="Q68" s="967"/>
      <x:c r="R68" s="967"/>
    </x:row>
    <x:row r="69" ht="32.400001525878906" hidden="0" customHeight="1">
      <x:c r="A69" s="967" t="str">
        <x:v>True</x:v>
      </x:c>
      <x:c r="B69" s="967" t="str">
        <x:v>2 / 2 / 2</x:v>
      </x:c>
      <x:c r="C69" s="967" t="n">
        <x:v>15</x:v>
      </x:c>
      <x:c r="D69" s="967" t="n">
        <x:v>14</x:v>
      </x:c>
      <x:c r="E69" s="967" t="n">
        <x:v>14</x:v>
      </x:c>
      <x:c r="F69" s="967" t="n">
        <x:f>2+INT(C69/6)</x:f>
        <x:v>4</x:v>
      </x:c>
      <x:c r="G69" s="967" t="n">
        <x:f>2+INT(D69/6)</x:f>
        <x:v>4</x:v>
      </x:c>
      <x:c r="H69" s="967" t="n">
        <x:f>2+INT(E69/6)</x:f>
        <x:v>4</x:v>
      </x:c>
      <x:c r="I69" s="967" t="str">
        <x:v>세 Mastery로 균형 4/4/4. D19은 All6 NPC 병렬이 핵심</x:v>
      </x:c>
      <x:c r="J69" s="967" t="str">
        <x:v>PASS</x:v>
      </x:c>
      <x:c r="K69" s="967"/>
      <x:c r="L69" s="967" t="str">
        <x:v>True</x:v>
      </x:c>
      <x:c r="M69" s="967" t="str">
        <x:v>Sam 반복+Pivot Strong9 + Sam Mastery6 / Diya·Jina Social8 + Diya Mastery6 / Faye Focus·D8·D9·D13 Tech8 + Faye Mastery6.</x:v>
      </x:c>
      <x:c r="N69" s="967"/>
      <x:c r="O69" s="967"/>
      <x:c r="P69" s="967"/>
      <x:c r="Q69" s="967"/>
      <x:c r="R69" s="967"/>
    </x:row>
    <x:row r="70" ht="32.400001525878906" hidden="0" customHeight="1">
      <x:c r="A70" s="967" t="str">
        <x:v>Hidden</x:v>
      </x:c>
      <x:c r="B70" s="967" t="str">
        <x:v>0 / 2 / 4</x:v>
      </x:c>
      <x:c r="C70" s="967" t="n">
        <x:v>0</x:v>
      </x:c>
      <x:c r="D70" s="967" t="n">
        <x:v>11</x:v>
      </x:c>
      <x:c r="E70" s="967" t="n">
        <x:v>20</x:v>
      </x:c>
      <x:c r="F70" s="967" t="n">
        <x:f>0+INT(C70/6)</x:f>
        <x:v>0</x:v>
      </x:c>
      <x:c r="G70" s="967" t="n">
        <x:f>2+INT(D70/6)</x:f>
        <x:v>3</x:v>
      </x:c>
      <x:c r="H70" s="967" t="n">
        <x:f>4+INT(E70/6)</x:f>
        <x:v>7</x:v>
      </x:c>
      <x:c r="I70" s="967" t="str">
        <x:v>Research Restoration+Borichi Route로 기술7 도달</x:v>
      </x:c>
      <x:c r="J70" s="967" t="str">
        <x:v>PASS</x:v>
      </x:c>
      <x:c r="K70" s="967"/>
      <x:c r="L70" s="967" t="str">
        <x:v>Hidden</x:v>
      </x:c>
      <x:c r="M70" s="967" t="str">
        <x:v>Research Restoration 3회 Tech+3 + Borichi W1/Focus/Pivot/D8/D12 Tech11 + Borichi Mastery6 = Tech20. Diya Social5 + Mastery6 =11.</x:v>
      </x:c>
      <x:c r="N70" s="967"/>
      <x:c r="O70" s="967"/>
      <x:c r="P70" s="967"/>
      <x:c r="Q70" s="967"/>
      <x:c r="R70" s="967"/>
    </x:row>
    <x:row r="71" ht="32.400001525878906" hidden="0" customHeight="1">
      <x:c r="A71" s="967"/>
      <x:c r="B71" s="967"/>
      <x:c r="C71" s="967"/>
      <x:c r="D71" s="967"/>
      <x:c r="E71" s="967"/>
      <x:c r="F71" s="967"/>
      <x:c r="G71" s="967"/>
      <x:c r="H71" s="967"/>
      <x:c r="I71" s="967"/>
      <x:c r="J71" s="967"/>
      <x:c r="K71" s="967"/>
      <x:c r="L71" s="967" t="str">
        <x:v>주의</x:v>
      </x:c>
      <x:c r="M71" s="967" t="str">
        <x:v>Research Restoration 1회당 TechXP+1은 **재시뮬용 TEMP 후보**. Action별 전체 XP표 확정 때 다시 배분.</x:v>
      </x:c>
      <x:c r="N71" s="967"/>
      <x:c r="O71" s="967"/>
      <x:c r="P71" s="967"/>
      <x:c r="Q71" s="967"/>
      <x:c r="R71" s="967"/>
    </x:row>
    <x:row r="72" ht="15" hidden="0" customHeight="1">
      <x:c r="A72" s="967"/>
      <x:c r="B72" s="967"/>
      <x:c r="C72" s="967"/>
      <x:c r="D72" s="967"/>
      <x:c r="E72" s="967"/>
      <x:c r="F72" s="967"/>
      <x:c r="G72" s="967"/>
      <x:c r="H72" s="967"/>
      <x:c r="I72" s="967"/>
      <x:c r="J72" s="967"/>
      <x:c r="K72" s="967"/>
      <x:c r="L72" s="967"/>
      <x:c r="M72" s="967"/>
      <x:c r="N72" s="967"/>
      <x:c r="O72" s="967"/>
      <x:c r="P72" s="967"/>
      <x:c r="Q72" s="967"/>
      <x:c r="R72" s="967"/>
    </x:row>
    <x:row r="73" ht="15" hidden="0" customHeight="1">
      <x:c r="A73" s="969" t="str">
        <x:v>4. D19 Boss Timeline 재시뮬 — Boss Window 0h / 개별 TimeCost</x:v>
      </x:c>
      <x:c r="B73" s="969"/>
      <x:c r="C73" s="969"/>
      <x:c r="D73" s="969"/>
      <x:c r="E73" s="969"/>
      <x:c r="F73" s="969"/>
      <x:c r="G73" s="969"/>
      <x:c r="H73" s="969"/>
      <x:c r="I73" s="969"/>
      <x:c r="J73" s="969"/>
      <x:c r="K73" s="969" t="str">
        <x:v>Global Hull0 삽입 테스트</x:v>
      </x:c>
      <x:c r="L73" s="969"/>
      <x:c r="M73" s="969"/>
      <x:c r="N73" s="969"/>
      <x:c r="O73" s="969"/>
      <x:c r="P73" s="969"/>
      <x:c r="Q73" s="969"/>
      <x:c r="R73" s="969"/>
    </x:row>
    <x:row r="74" ht="30" hidden="0" customHeight="1">
      <x:c r="A74" s="983" t="str">
        <x:v>Route</x:v>
      </x:c>
      <x:c r="B74" s="983" t="str">
        <x:v>09:00 배치</x:v>
      </x:c>
      <x:c r="C74" s="983" t="str">
        <x:v>10:00~</x:v>
      </x:c>
      <x:c r="D74" s="983" t="str">
        <x:v>11:00~</x:v>
      </x:c>
      <x:c r="E74" s="983" t="str">
        <x:v>12:00~</x:v>
      </x:c>
      <x:c r="F74" s="983" t="str">
        <x:v>14:00 Tick</x:v>
      </x:c>
      <x:c r="G74" s="983" t="str">
        <x:v>Will 흐름</x:v>
      </x:c>
      <x:c r="H74" s="983" t="str">
        <x:v>결과</x:v>
      </x:c>
      <x:c r="I74" s="983" t="str">
        <x:v>판정</x:v>
      </x:c>
      <x:c r="J74" s="983"/>
      <x:c r="K74" s="983" t="str">
        <x:v>상황</x:v>
      </x:c>
      <x:c r="L74" s="983" t="str">
        <x:v>선택</x:v>
      </x:c>
      <x:c r="M74" s="983" t="str">
        <x:v>소요</x:v>
      </x:c>
      <x:c r="N74" s="983" t="str">
        <x:v>다른 Root</x:v>
      </x:c>
      <x:c r="O74" s="983" t="str">
        <x:v>종료</x:v>
      </x:c>
      <x:c r="P74" s="983" t="str">
        <x:v>재발</x:v>
      </x:c>
      <x:c r="Q74" s="983" t="str">
        <x:v>판정</x:v>
      </x:c>
      <x:c r="R74" s="983" t="str">
        <x:v>의미</x:v>
      </x:c>
    </x:row>
    <x:row r="75" ht="43.20000076293945" hidden="0" customHeight="1">
      <x:c r="A75" s="967" t="str">
        <x:v>Normal</x:v>
      </x:c>
      <x:c r="B75" s="967" t="str">
        <x:v>Faye→Freezer(0W), Sam→함교(1W), Research는 Jay</x:v>
      </x:c>
      <x:c r="C75" s="967" t="str">
        <x:v>Benjamin Crisis Final 1h → Will+3 / Faye·Sam 작업</x:v>
      </x:c>
      <x:c r="D75" s="967" t="str">
        <x:v>Jay Research 기본4h 시작</x:v>
      </x:c>
      <x:c r="E75" s="967" t="str">
        <x:v>Faye Freezer2 / Sam 함교 해결, Jay 계속</x:v>
      </x:c>
      <x:c r="F75" s="967" t="str">
        <x:v>Research 1 Tick 후 15:00 해결</x:v>
      </x:c>
      <x:c r="G75" s="967" t="str">
        <x:v>Start3→배치2→Final5</x:v>
      </x:c>
      <x:c r="H75" s="967" t="str">
        <x:v>Freezer2, 함교 안전, 연구계열1Tick. Normal 손상 감수 구조 유지</x:v>
      </x:c>
      <x:c r="I75" s="967" t="str">
        <x:v>PASS</x:v>
      </x:c>
      <x:c r="J75" s="967"/>
      <x:c r="K75" s="967" t="str">
        <x:v>Normal / Tech3~</x:v>
      </x:c>
      <x:c r="L75" s="967" t="str">
        <x:v>[Will2] 전원 비상지지</x:v>
      </x:c>
      <x:c r="M75" s="967" t="n">
        <x:v>4</x:v>
      </x:c>
      <x:c r="N75" s="967" t="str">
        <x:v>PAUSE</x:v>
      </x:c>
      <x:c r="O75" s="967" t="str">
        <x:v>Hull1</x:v>
      </x:c>
      <x:c r="P75" s="967" t="str">
        <x:v>같은 날 재0→Bad1</x:v>
      </x:c>
      <x:c r="Q75" s="967" t="str">
        <x:v>생존 PASS</x:v>
      </x:c>
      <x:c r="R75" s="967" t="str">
        <x:v>저스탯도 한번은 살 수 있으나 이후 극취약</x:v>
      </x:c>
    </x:row>
    <x:row r="76" ht="43.20000076293945" hidden="0" customHeight="1">
      <x:c r="A76" s="967" t="str">
        <x:v>True</x:v>
      </x:c>
      <x:c r="B76" s="967" t="str">
        <x:v>Faye→Freezer(0W), Sam→함교(0W), Borichi→연구(0W), Benjamin free</x:v>
      </x:c>
      <x:c r="C76" s="967" t="str">
        <x:v>Benjamin Crisis Final은 **필요할 때만**. 세 NPC 2h 작업 시작</x:v>
      </x:c>
      <x:c r="D76" s="967" t="str">
        <x:v>Jay 자유 / 필요 시 1h Final</x:v>
      </x:c>
      <x:c r="E76" s="967" t="str">
        <x:v>12:00 세 Root 모두 해결</x:v>
      </x:c>
      <x:c r="F76" s="967" t="str">
        <x:v>없음</x:v>
      </x:c>
      <x:c r="G76" s="967" t="str">
        <x:v>Start5 / Final 사용 시 대부분 overflow</x:v>
      </x:c>
      <x:c r="H76" s="967" t="str">
        <x:v>무피해 가능. Benjamin은 True에서는 포션이 '보험' 성격</x:v>
      </x:c>
      <x:c r="I76" s="967" t="str">
        <x:v>PASS</x:v>
      </x:c>
      <x:c r="J76" s="967"/>
      <x:c r="K76" s="967" t="str">
        <x:v>True / Faye 또는 Ben Available</x:v>
      </x:c>
      <x:c r="L76" s="967" t="str">
        <x:v>전문가1명</x:v>
      </x:c>
      <x:c r="M76" s="967" t="n">
        <x:v>2</x:v>
      </x:c>
      <x:c r="N76" s="967" t="str">
        <x:v>PAUSE</x:v>
      </x:c>
      <x:c r="O76" s="967" t="str">
        <x:v>Hull4</x:v>
      </x:c>
      <x:c r="P76" s="967" t="str">
        <x:v>재0→Bad1</x:v>
      </x:c>
      <x:c r="Q76" s="967" t="str">
        <x:v>PASS</x:v>
      </x:c>
      <x:c r="R76" s="967" t="str">
        <x:v>전원생존이 곧 안전장치</x:v>
      </x:c>
    </x:row>
    <x:row r="77" ht="54" hidden="0" customHeight="1">
      <x:c r="A77" s="967" t="str">
        <x:v>Hidden</x:v>
      </x:c>
      <x:c r="B77" s="967" t="str">
        <x:v>Benjamin→Freezer(0W), Sam→함교(2W), Borichi/Diya→남은 Target(0W)</x:v>
      </x:c>
      <x:c r="C77" s="967" t="str">
        <x:v>세 NPC 병렬. Benjamin busy라 Crisis Final 사용 안 함</x:v>
      </x:c>
      <x:c r="D77" s="967" t="str">
        <x:v>필요 시 Jay 보조</x:v>
      </x:c>
      <x:c r="E77" s="967" t="str">
        <x:v>12:00 Root 해결 후보</x:v>
      </x:c>
      <x:c r="F77" s="967" t="str">
        <x:v>없음</x:v>
      </x:c>
      <x:c r="G77" s="967" t="str">
        <x:v>Start5→Sam배치3</x:v>
      </x:c>
      <x:c r="H77" s="967" t="str">
        <x:v>Freezer2 + Hidden 핵심 시설 보전. 관계투자 차이가 Will 비용으로 드러남</x:v>
      </x:c>
      <x:c r="I77" s="967" t="str">
        <x:v>PASS</x:v>
      </x:c>
      <x:c r="J77" s="967"/>
      <x:c r="K77" s="967" t="str">
        <x:v>Hidden / Tech7</x:v>
      </x:c>
      <x:c r="L77" s="967" t="str">
        <x:v>Ben 2h 또는 Tech8 도달 시2h</x:v>
      </x:c>
      <x:c r="M77" s="967" t="str">
        <x:v>2</x:v>
      </x:c>
      <x:c r="N77" s="967" t="str">
        <x:v>PAUSE</x:v>
      </x:c>
      <x:c r="O77" s="967" t="str">
        <x:v>Hull4</x:v>
      </x:c>
      <x:c r="P77" s="967" t="str">
        <x:v>재0→Bad1</x:v>
      </x:c>
      <x:c r="Q77" s="967" t="str">
        <x:v>PASS</x:v>
      </x:c>
      <x:c r="R77" s="967" t="str">
        <x:v>Research 특화만으로 자동해결은 아니며 NPC 가치 유지</x:v>
      </x:c>
    </x:row>
    <x:row r="78" ht="15" hidden="0" customHeight="1">
      <x:c r="A78" s="967"/>
      <x:c r="B78" s="967"/>
      <x:c r="C78" s="967"/>
      <x:c r="D78" s="967"/>
      <x:c r="E78" s="967"/>
      <x:c r="F78" s="967"/>
      <x:c r="G78" s="967"/>
      <x:c r="H78" s="967"/>
      <x:c r="I78" s="967"/>
      <x:c r="J78" s="967"/>
      <x:c r="K78" s="967"/>
      <x:c r="L78" s="967"/>
      <x:c r="M78" s="967"/>
      <x:c r="N78" s="967"/>
      <x:c r="O78" s="967"/>
      <x:c r="P78" s="967"/>
      <x:c r="Q78" s="967"/>
      <x:c r="R78" s="967"/>
    </x:row>
    <x:row r="79" ht="15" hidden="0" customHeight="1">
      <x:c r="A79" s="967"/>
      <x:c r="B79" s="967"/>
      <x:c r="C79" s="967"/>
      <x:c r="D79" s="967"/>
      <x:c r="E79" s="967"/>
      <x:c r="F79" s="967"/>
      <x:c r="G79" s="967"/>
      <x:c r="H79" s="967"/>
      <x:c r="I79" s="967"/>
      <x:c r="J79" s="967"/>
      <x:c r="K79" s="967"/>
      <x:c r="L79" s="967"/>
      <x:c r="M79" s="967"/>
      <x:c r="N79" s="967"/>
      <x:c r="O79" s="967"/>
      <x:c r="P79" s="967"/>
      <x:c r="Q79" s="967"/>
      <x:c r="R79" s="967"/>
    </x:row>
    <x:row r="80" ht="26" hidden="0" customHeight="1">
      <x:c r="A80" s="980" t="str">
        <x:v>5. 목표 Ending 반대 Pivot 0 / 2 / 3 / 4개 — 만회 가능성</x:v>
      </x:c>
      <x:c r="B80" s="980"/>
      <x:c r="C80" s="980"/>
      <x:c r="D80" s="980"/>
      <x:c r="E80" s="980"/>
      <x:c r="F80" s="980"/>
      <x:c r="G80" s="980"/>
      <x:c r="H80" s="980"/>
      <x:c r="I80" s="980"/>
      <x:c r="J80" s="980"/>
      <x:c r="K80" s="980"/>
      <x:c r="L80" s="980"/>
      <x:c r="M80" s="980"/>
      <x:c r="N80" s="980"/>
      <x:c r="O80" s="980"/>
      <x:c r="P80" s="980"/>
      <x:c r="Q80" s="980"/>
      <x:c r="R80" s="980"/>
    </x:row>
    <x:row r="81" ht="30" hidden="0" customHeight="1">
      <x:c r="A81" s="971" t="str">
        <x:v>Route</x:v>
      </x:c>
      <x:c r="B81" s="971" t="str">
        <x:v>반대 선택 수</x:v>
      </x:c>
      <x:c r="C81" s="971" t="str">
        <x:v>대표 실수</x:v>
      </x:c>
      <x:c r="D81" s="971" t="str">
        <x:v>복구 비용</x:v>
      </x:c>
      <x:c r="E81" s="971" t="str">
        <x:v>관계/XP 변화</x:v>
      </x:c>
      <x:c r="F81" s="971" t="str">
        <x:v>핵심 Flag</x:v>
      </x:c>
      <x:c r="G81" s="971" t="str">
        <x:v>Ending</x:v>
      </x:c>
      <x:c r="H81" s="971" t="str">
        <x:v>판정</x:v>
      </x:c>
      <x:c r="I81" s="971"/>
      <x:c r="J81" s="971" t="str">
        <x:v>결론: 사용자가 원한 '2~3개는 만회, 그 이상은 어려움'이 현재 구조에서 성립한다. 다만 이것은 실수 개수 자체를 세는 규칙이 아니라, 4번째 예시에 **의도적으로 Route Fork(D11)**가 포함되기 때문이다. 즉 모든 네 번째 실수가 자동 실패하는 것은 아니며, 어떤 선택이 치명적인지는 내러티브/Flag에 따라 달라진다.</x:v>
      </x:c>
      <x:c r="K81" s="971"/>
      <x:c r="L81" s="971"/>
      <x:c r="M81" s="971"/>
      <x:c r="N81" s="971"/>
      <x:c r="O81" s="971"/>
      <x:c r="P81" s="971"/>
      <x:c r="Q81" s="971"/>
      <x:c r="R81" s="971"/>
    </x:row>
    <x:row r="82" ht="21.600000381469727" hidden="0" customHeight="1">
      <x:c r="A82" s="967" t="str">
        <x:v>True</x:v>
      </x:c>
      <x:c r="B82" s="967" t="n">
        <x:v>0</x:v>
      </x:c>
      <x:c r="C82" s="967" t="str">
        <x:v>—</x:v>
      </x:c>
      <x:c r="D82" s="967" t="str">
        <x:v>0h</x:v>
      </x:c>
      <x:c r="E82" s="967" t="str">
        <x:v>관계 우선 / 성장 균형</x:v>
      </x:c>
      <x:c r="F82" s="967" t="str">
        <x:v>TRUE_CHILD_CHOICE + AUDIO_LINK_READY</x:v>
      </x:c>
      <x:c r="G82" s="967" t="str">
        <x:v>True</x:v>
      </x:c>
      <x:c r="H82" s="967" t="str">
        <x:v>PASS</x:v>
      </x:c>
      <x:c r="I82" s="967"/>
      <x:c r="J82" s="967"/>
      <x:c r="K82" s="967"/>
      <x:c r="L82" s="967"/>
      <x:c r="M82" s="967"/>
      <x:c r="N82" s="967"/>
      <x:c r="O82" s="967"/>
      <x:c r="P82" s="967"/>
      <x:c r="Q82" s="967"/>
      <x:c r="R82" s="967"/>
    </x:row>
    <x:row r="83" ht="32.400001525878906" hidden="0" customHeight="1">
      <x:c r="A83" s="967" t="str">
        <x:v>True</x:v>
      </x:c>
      <x:c r="B83" s="967" t="n">
        <x:v>2</x:v>
      </x:c>
      <x:c r="C83" s="967" t="str">
        <x:v>D9 부품전용 + D10 Jina 업무복귀</x:v>
      </x:c>
      <x:c r="D83" s="967" t="str">
        <x:v>Jina 갈등회복2h / D13 Audio 복구는 기존2h에 포함</x:v>
      </x:c>
      <x:c r="E83" s="967" t="str">
        <x:v>Tech+2, Strong+2 추가 / Faye-2, Jina-1 후 부분회복</x:v>
      </x:c>
      <x:c r="F83" s="967" t="str">
        <x:v>둘 다 복구 가능</x:v>
      </x:c>
      <x:c r="G83" s="967" t="str">
        <x:v>True</x:v>
      </x:c>
      <x:c r="H83" s="967" t="str">
        <x:v>PASS</x:v>
      </x:c>
      <x:c r="I83" s="967"/>
      <x:c r="J83" s="967"/>
      <x:c r="K83" s="967"/>
      <x:c r="L83" s="967"/>
      <x:c r="M83" s="967"/>
      <x:c r="N83" s="967"/>
      <x:c r="O83" s="967"/>
      <x:c r="P83" s="967"/>
      <x:c r="Q83" s="967"/>
      <x:c r="R83" s="967"/>
    </x:row>
    <x:row r="84" ht="43.20000076293945" hidden="0" customHeight="1">
      <x:c r="A84" s="967" t="str">
        <x:v>True</x:v>
      </x:c>
      <x:c r="B84" s="967" t="n">
        <x:v>3</x:v>
      </x:c>
      <x:c r="C84" s="967" t="str">
        <x:v>위2 + D7 제한공개</x:v>
      </x:c>
      <x:c r="D84" s="967" t="str">
        <x:v>추가 Sam 회복1.5h = 총3.5h</x:v>
      </x:c>
      <x:c r="E84" s="967" t="str">
        <x:v>Sam-1 대신 Social Pivot. D19 Sam 이동이 일시1W까지 악화 가능</x:v>
      </x:c>
      <x:c r="F84" s="967" t="str">
        <x:v>Critical Flag 유지</x:v>
      </x:c>
      <x:c r="G84" s="967" t="str">
        <x:v>True</x:v>
      </x:c>
      <x:c r="H84" s="967" t="str">
        <x:v>PASS — 빡빡</x:v>
      </x:c>
      <x:c r="I84" s="967"/>
      <x:c r="J84" s="967"/>
      <x:c r="K84" s="967"/>
      <x:c r="L84" s="967"/>
      <x:c r="M84" s="967"/>
      <x:c r="N84" s="967"/>
      <x:c r="O84" s="967"/>
      <x:c r="P84" s="967"/>
      <x:c r="Q84" s="967"/>
      <x:c r="R84" s="967"/>
    </x:row>
    <x:row r="85" ht="21.600000381469727" hidden="0" customHeight="1">
      <x:c r="A85" s="967" t="str">
        <x:v>True</x:v>
      </x:c>
      <x:c r="B85" s="967" t="n">
        <x:v>4</x:v>
      </x:c>
      <x:c r="C85" s="967" t="str">
        <x:v>위3 + D11 '여기가 집'</x:v>
      </x:c>
      <x:c r="D85" s="967" t="str">
        <x:v>갈등회복으로 대체 불가</x:v>
      </x:c>
      <x:c r="E85" s="967" t="str">
        <x:v>Diya 관계는 오히려 좋아질 수 있음</x:v>
      </x:c>
      <x:c r="F85" s="967" t="str">
        <x:v>TRUE_CHILD_CHOICE 상실</x:v>
      </x:c>
      <x:c r="G85" s="967" t="str">
        <x:v>Normal/Hidden 쪽</x:v>
      </x:c>
      <x:c r="H85" s="967" t="str">
        <x:v>FAIL True</x:v>
      </x:c>
      <x:c r="I85" s="967"/>
      <x:c r="J85" s="967"/>
      <x:c r="K85" s="967"/>
      <x:c r="L85" s="967"/>
      <x:c r="M85" s="967"/>
      <x:c r="N85" s="967"/>
      <x:c r="O85" s="967"/>
      <x:c r="P85" s="967"/>
      <x:c r="Q85" s="967"/>
      <x:c r="R85" s="967"/>
    </x:row>
    <x:row r="86" ht="32.400001525878906" hidden="0" customHeight="1">
      <x:c r="A86" s="967" t="str">
        <x:v>Hidden</x:v>
      </x:c>
      <x:c r="B86" s="967" t="n">
        <x:v>0</x:v>
      </x:c>
      <x:c r="C86" s="967" t="str">
        <x:v>—</x:v>
      </x:c>
      <x:c r="D86" s="967" t="str">
        <x:v>0h</x:v>
      </x:c>
      <x:c r="E86" s="967" t="str">
        <x:v>Borichi/Diya 관계 집중</x:v>
      </x:c>
      <x:c r="F86" s="967" t="str">
        <x:v>RECHECK + HIDDEN_HOME_CHOICE + HIGH</x:v>
      </x:c>
      <x:c r="G86" s="967" t="str">
        <x:v>Hidden</x:v>
      </x:c>
      <x:c r="H86" s="967" t="str">
        <x:v>PASS</x:v>
      </x:c>
      <x:c r="I86" s="967"/>
      <x:c r="J86" s="967"/>
      <x:c r="K86" s="967"/>
      <x:c r="L86" s="967"/>
      <x:c r="M86" s="967"/>
      <x:c r="N86" s="967"/>
      <x:c r="O86" s="967"/>
      <x:c r="P86" s="967"/>
      <x:c r="Q86" s="967"/>
      <x:c r="R86" s="967"/>
    </x:row>
    <x:row r="87" ht="32.400001525878906" hidden="0" customHeight="1">
      <x:c r="A87" s="967" t="str">
        <x:v>Hidden</x:v>
      </x:c>
      <x:c r="B87" s="967" t="n">
        <x:v>2</x:v>
      </x:c>
      <x:c r="C87" s="967" t="str">
        <x:v>D6 단호보고 + D7 전체공개</x:v>
      </x:c>
      <x:c r="D87" s="967" t="str">
        <x:v>Research 추가검증1.5h + Diya 회복2h =3.5h</x:v>
      </x:c>
      <x:c r="E87" s="967" t="str">
        <x:v>Strong XP↑ / Borichi·Diya 관계 일부 약화</x:v>
      </x:c>
      <x:c r="F87" s="967" t="str">
        <x:v>Research3회로 Caveat 보완</x:v>
      </x:c>
      <x:c r="G87" s="967" t="str">
        <x:v>Hidden</x:v>
      </x:c>
      <x:c r="H87" s="967" t="str">
        <x:v>PASS</x:v>
      </x:c>
      <x:c r="I87" s="967"/>
      <x:c r="J87" s="967"/>
      <x:c r="K87" s="967"/>
      <x:c r="L87" s="967"/>
      <x:c r="M87" s="967"/>
      <x:c r="N87" s="967"/>
      <x:c r="O87" s="967"/>
      <x:c r="P87" s="967"/>
      <x:c r="Q87" s="967"/>
      <x:c r="R87" s="967"/>
    </x:row>
    <x:row r="88" ht="43.20000076293945" hidden="0" customHeight="1">
      <x:c r="A88" s="967" t="str">
        <x:v>Hidden</x:v>
      </x:c>
      <x:c r="B88" s="967" t="n">
        <x:v>3</x:v>
      </x:c>
      <x:c r="C88" s="967" t="str">
        <x:v>위2 + D12 Living Ship 우선</x:v>
      </x:c>
      <x:c r="D88" s="967" t="str">
        <x:v>추가 Ben 회복2h 또는 Faye STAY를 대신 유지 = 총5.5h 이하</x:v>
      </x:c>
      <x:c r="E88" s="967" t="str">
        <x:v>Strong XP↑ / Ben-1</x:v>
      </x:c>
      <x:c r="F88" s="967" t="str">
        <x:v>HiddenEvidence는 Faye STAY 또는 Ben 회복으로 유지</x:v>
      </x:c>
      <x:c r="G88" s="967" t="str">
        <x:v>Hidden</x:v>
      </x:c>
      <x:c r="H88" s="967" t="str">
        <x:v>PASS — 빡빡</x:v>
      </x:c>
      <x:c r="I88" s="967"/>
      <x:c r="J88" s="967"/>
      <x:c r="K88" s="967"/>
      <x:c r="L88" s="967"/>
      <x:c r="M88" s="967"/>
      <x:c r="N88" s="967"/>
      <x:c r="O88" s="967"/>
      <x:c r="P88" s="967"/>
      <x:c r="Q88" s="967"/>
      <x:c r="R88" s="967"/>
    </x:row>
    <x:row r="89" ht="21.600000381469727" hidden="0" customHeight="1">
      <x:c r="A89" s="967" t="str">
        <x:v>Hidden</x:v>
      </x:c>
      <x:c r="B89" s="967" t="n">
        <x:v>4</x:v>
      </x:c>
      <x:c r="C89" s="967" t="str">
        <x:v>위3 + D11 '아이에게 묻자'</x:v>
      </x:c>
      <x:c r="D89" s="967" t="str">
        <x:v>현재 대표 Route에서 대체 근거 없음</x:v>
      </x:c>
      <x:c r="E89" s="967" t="str">
        <x:v>Diya는 출항측이면 LEAVE, 정착측이면 STAY 유지</x:v>
      </x:c>
      <x:c r="F89" s="967" t="str">
        <x:v>HIDDEN_HOME_CHOICE 상실</x:v>
      </x:c>
      <x:c r="G89" s="967" t="str">
        <x:v>Normal/True 쪽</x:v>
      </x:c>
      <x:c r="H89" s="967" t="str">
        <x:v>FAIL Hidden</x:v>
      </x:c>
      <x:c r="I89" s="967"/>
      <x:c r="J89" s="967"/>
      <x:c r="K89" s="967"/>
      <x:c r="L89" s="967"/>
      <x:c r="M89" s="967"/>
      <x:c r="N89" s="967"/>
      <x:c r="O89" s="967"/>
      <x:c r="P89" s="967"/>
      <x:c r="Q89" s="967"/>
      <x:c r="R89" s="967"/>
    </x:row>
    <x:row r="90" ht="15" hidden="0" customHeight="1">
      <x:c r="A90" s="967"/>
      <x:c r="B90" s="967"/>
      <x:c r="C90" s="967"/>
      <x:c r="D90" s="967"/>
      <x:c r="E90" s="967"/>
      <x:c r="F90" s="967"/>
      <x:c r="G90" s="967"/>
      <x:c r="H90" s="967"/>
      <x:c r="I90" s="967"/>
      <x:c r="J90" s="967"/>
      <x:c r="K90" s="967"/>
      <x:c r="L90" s="967"/>
      <x:c r="M90" s="967"/>
      <x:c r="N90" s="967"/>
      <x:c r="O90" s="967"/>
      <x:c r="P90" s="967"/>
      <x:c r="Q90" s="967"/>
      <x:c r="R90" s="967"/>
    </x:row>
    <x:row r="91" ht="15" hidden="0" customHeight="1">
      <x:c r="A91" s="967"/>
      <x:c r="B91" s="967"/>
      <x:c r="C91" s="967"/>
      <x:c r="D91" s="967"/>
      <x:c r="E91" s="967"/>
      <x:c r="F91" s="967"/>
      <x:c r="G91" s="967"/>
      <x:c r="H91" s="967"/>
      <x:c r="I91" s="967"/>
      <x:c r="J91" s="967"/>
      <x:c r="K91" s="967"/>
      <x:c r="L91" s="967"/>
      <x:c r="M91" s="967"/>
      <x:c r="N91" s="967"/>
      <x:c r="O91" s="967"/>
      <x:c r="P91" s="967"/>
      <x:c r="Q91" s="967"/>
      <x:c r="R91" s="967"/>
    </x:row>
    <x:row r="92" ht="15" hidden="0" customHeight="1">
      <x:c r="A92" s="967"/>
      <x:c r="B92" s="967"/>
      <x:c r="C92" s="967"/>
      <x:c r="D92" s="967"/>
      <x:c r="E92" s="967"/>
      <x:c r="F92" s="967"/>
      <x:c r="G92" s="967"/>
      <x:c r="H92" s="967"/>
      <x:c r="I92" s="967"/>
      <x:c r="J92" s="967"/>
      <x:c r="K92" s="967"/>
      <x:c r="L92" s="967"/>
      <x:c r="M92" s="967"/>
      <x:c r="N92" s="967"/>
      <x:c r="O92" s="967"/>
      <x:c r="P92" s="967"/>
      <x:c r="Q92" s="967"/>
      <x:c r="R92" s="967"/>
    </x:row>
    <x:row r="93" ht="26" hidden="0" customHeight="1">
      <x:c r="A93" s="980" t="str">
        <x:v>6. 재시뮬 결과 / 아직 남은 것</x:v>
      </x:c>
      <x:c r="B93" s="980"/>
      <x:c r="C93" s="980"/>
      <x:c r="D93" s="980"/>
      <x:c r="E93" s="980"/>
      <x:c r="F93" s="980"/>
      <x:c r="G93" s="980"/>
      <x:c r="H93" s="980"/>
      <x:c r="I93" s="980"/>
      <x:c r="J93" s="980"/>
      <x:c r="K93" s="980"/>
      <x:c r="L93" s="980"/>
      <x:c r="M93" s="980"/>
      <x:c r="N93" s="980"/>
      <x:c r="O93" s="980"/>
      <x:c r="P93" s="980"/>
      <x:c r="Q93" s="980"/>
      <x:c r="R93" s="980"/>
    </x:row>
    <x:row r="94" ht="30" hidden="0" customHeight="1">
      <x:c r="A94" s="983" t="str">
        <x:v>우선</x:v>
      </x:c>
      <x:c r="B94" s="983" t="str">
        <x:v>항목</x:v>
      </x:c>
      <x:c r="C94" s="983" t="str">
        <x:v>재시뮬 결과</x:v>
      </x:c>
      <x:c r="D94" s="983" t="str">
        <x:v>판정/다음</x:v>
      </x:c>
      <x:c r="E94" s="983"/>
      <x:c r="F94" s="983"/>
      <x:c r="G94" s="983"/>
      <x:c r="H94" s="983"/>
      <x:c r="I94" s="983"/>
      <x:c r="J94" s="983"/>
      <x:c r="K94" s="983"/>
      <x:c r="L94" s="983"/>
      <x:c r="M94" s="983"/>
      <x:c r="N94" s="983"/>
      <x:c r="O94" s="983"/>
      <x:c r="P94" s="983"/>
      <x:c r="Q94" s="983"/>
      <x:c r="R94" s="983"/>
    </x:row>
    <x:row r="95" ht="75.5999984741211" hidden="0" customHeight="1">
      <x:c r="A95" s="967" t="str">
        <x:v>PASS</x:v>
      </x:c>
      <x:c r="B95" s="967" t="str">
        <x:v>Affinity 이동</x:v>
      </x:c>
      <x:c r="C95" s="967" t="str">
        <x:v>True는 핵심 Specialist 무료, Hidden은 Sam에2W, Normal은1~2W가 생김. 관계투자가 정확히 Boss 자원으로 변환됨.</x:v>
      </x:c>
      <x:c r="D95" s="967" t="str">
        <x:v>현재 3/2/1/0 문법 유지 가능</x:v>
      </x:c>
      <x:c r="E95" s="967"/>
      <x:c r="F95" s="969" t="str">
        <x:v>검증</x:v>
      </x:c>
      <x:c r="G95" s="969" t="str">
        <x:v>True</x:v>
      </x:c>
      <x:c r="H95" s="969" t="str">
        <x:v>Hidden</x:v>
      </x:c>
      <x:c r="I95" s="969" t="str">
        <x:v>Normal</x:v>
      </x:c>
      <x:c r="J95" s="967"/>
      <x:c r="K95" s="967"/>
      <x:c r="L95" s="967"/>
      <x:c r="M95" s="967"/>
      <x:c r="N95" s="967"/>
      <x:c r="O95" s="967"/>
      <x:c r="P95" s="967"/>
      <x:c r="Q95" s="967"/>
      <x:c r="R95" s="967"/>
    </x:row>
    <x:row r="96" ht="64.80000305175781" hidden="0" customHeight="1">
      <x:c r="A96" s="967" t="str">
        <x:v>PASS</x:v>
      </x:c>
      <x:c r="B96" s="967" t="str">
        <x:v>Benjamin D19</x:v>
      </x:c>
      <x:c r="C96" s="967" t="str">
        <x:v>Normal에서 Faye/Sam을 보내고 Benjamin을 남기면 10~11시 +3Will 포션으로 자연스럽게 작동.</x:v>
      </x:c>
      <x:c r="D96" s="967" t="str">
        <x:v>구조 유지</x:v>
      </x:c>
      <x:c r="E96" s="967"/>
      <x:c r="F96" s="967" t="str">
        <x:v>D19 이동</x:v>
      </x:c>
      <x:c r="G96" s="967" t="str">
        <x:v>PASS</x:v>
      </x:c>
      <x:c r="H96" s="967" t="str">
        <x:v>PASS</x:v>
      </x:c>
      <x:c r="I96" s="967" t="str">
        <x:v>PASS</x:v>
      </x:c>
      <x:c r="J96" s="967"/>
      <x:c r="K96" s="967"/>
      <x:c r="L96" s="967"/>
      <x:c r="M96" s="967"/>
      <x:c r="N96" s="967"/>
      <x:c r="O96" s="967"/>
      <x:c r="P96" s="967"/>
      <x:c r="Q96" s="967"/>
      <x:c r="R96" s="967"/>
    </x:row>
    <x:row r="97" ht="64.80000305175781" hidden="0" customHeight="1">
      <x:c r="A97" s="967" t="str">
        <x:v>PASS</x:v>
      </x:c>
      <x:c r="B97" s="967" t="str">
        <x:v>Faye 공연</x:v>
      </x:c>
      <x:c r="C97" s="967" t="str">
        <x:v>D9 Link→D13 보존/복구→D18 함교1+엔진1 조건이 연결됨. D9 잘못 선택도 D13에서 만회 가능.</x:v>
      </x:c>
      <x:c r="D97" s="967" t="str">
        <x:v>가혹하지만 공정한 편</x:v>
      </x:c>
      <x:c r="E97" s="967"/>
      <x:c r="F97" s="967" t="str">
        <x:v>XP 대표빌드</x:v>
      </x:c>
      <x:c r="G97" s="967" t="str">
        <x:v>PASS</x:v>
      </x:c>
      <x:c r="H97" s="967" t="str">
        <x:v>PASS</x:v>
      </x:c>
      <x:c r="I97" s="967" t="str">
        <x:v>PASS</x:v>
      </x:c>
      <x:c r="J97" s="967"/>
      <x:c r="K97" s="967"/>
      <x:c r="L97" s="967"/>
      <x:c r="M97" s="967"/>
      <x:c r="N97" s="967"/>
      <x:c r="O97" s="967"/>
      <x:c r="P97" s="967"/>
      <x:c r="Q97" s="967"/>
      <x:c r="R97" s="967"/>
    </x:row>
    <x:row r="98" ht="43.20000076293945" hidden="0" customHeight="1">
      <x:c r="A98" s="967" t="str">
        <x:v>PASS</x:v>
      </x:c>
      <x:c r="B98" s="967" t="str">
        <x:v>Freezer2</x:v>
      </x:c>
      <x:c r="C98" s="967" t="str">
        <x:v>모든 D19 성공 Route에서 ShipCondition 계산에 쓸 고정값 확보.</x:v>
      </x:c>
      <x:c r="D98" s="967" t="str">
        <x:v>확정 유지</x:v>
      </x:c>
      <x:c r="E98" s="967"/>
      <x:c r="F98" s="967" t="str">
        <x:v>Boss Timeline</x:v>
      </x:c>
      <x:c r="G98" s="967" t="str">
        <x:v>PASS</x:v>
      </x:c>
      <x:c r="H98" s="967" t="str">
        <x:v>PASS</x:v>
      </x:c>
      <x:c r="I98" s="967" t="str">
        <x:v>PASS</x:v>
      </x:c>
      <x:c r="J98" s="967"/>
      <x:c r="K98" s="967"/>
      <x:c r="L98" s="967"/>
      <x:c r="M98" s="967"/>
      <x:c r="N98" s="967"/>
      <x:c r="O98" s="967"/>
      <x:c r="P98" s="967"/>
      <x:c r="Q98" s="967"/>
      <x:c r="R98" s="967"/>
    </x:row>
    <x:row r="99" ht="64.80000305175781" hidden="0" customHeight="1">
      <x:c r="A99" s="967" t="str">
        <x:v>PASS</x:v>
      </x:c>
      <x:c r="B99" s="967" t="str">
        <x:v>Hull0 Pause</x:v>
      </x:c>
      <x:c r="C99" s="967" t="str">
        <x:v>최악경로에서도 '한 번의 구조 기회'가 생기며 자동 연쇄사망은 줄어듦. 두 번째0=Bad1로 긴장 유지.</x:v>
      </x:c>
      <x:c r="D99" s="967" t="str">
        <x:v>유지</x:v>
      </x:c>
      <x:c r="E99" s="967"/>
      <x:c r="F99" s="967" t="str">
        <x:v>특수Ending 실수3</x:v>
      </x:c>
      <x:c r="G99" s="967" t="str">
        <x:v>PASS</x:v>
      </x:c>
      <x:c r="H99" s="967" t="str">
        <x:v>PASS</x:v>
      </x:c>
      <x:c r="I99" s="967" t="str">
        <x:v>—</x:v>
      </x:c>
      <x:c r="J99" s="967"/>
      <x:c r="K99" s="967"/>
      <x:c r="L99" s="967"/>
      <x:c r="M99" s="967"/>
      <x:c r="N99" s="967"/>
      <x:c r="O99" s="967"/>
      <x:c r="P99" s="967"/>
      <x:c r="Q99" s="967"/>
      <x:c r="R99" s="967"/>
    </x:row>
    <x:row r="100" ht="54" hidden="0" customHeight="1">
      <x:c r="A100" s="967" t="str">
        <x:v>PASS</x:v>
      </x:c>
      <x:c r="B100" s="967" t="str">
        <x:v>Sustainability</x:v>
      </x:c>
      <x:c r="C100" s="967" t="str">
        <x:v>Hidden 3+3뿐 아니라 3+2에서도 HIGH. Preservation 한 번 실수는 Hidden을 즉시 삭제하지 않음.</x:v>
      </x:c>
      <x:c r="D100" s="967" t="str">
        <x:v>현재 식 유지</x:v>
      </x:c>
      <x:c r="E100" s="967"/>
      <x:c r="F100" s="967"/>
      <x:c r="G100" s="967"/>
      <x:c r="H100" s="967"/>
      <x:c r="I100" s="967"/>
      <x:c r="J100" s="967"/>
      <x:c r="K100" s="967"/>
      <x:c r="L100" s="967"/>
      <x:c r="M100" s="967"/>
      <x:c r="N100" s="967"/>
      <x:c r="O100" s="967"/>
      <x:c r="P100" s="967"/>
      <x:c r="Q100" s="967"/>
      <x:c r="R100" s="967"/>
    </x:row>
    <x:row r="101" ht="64.80000305175781" hidden="0" customHeight="1">
      <x:c r="A101" s="967" t="str">
        <x:v>PASS</x:v>
      </x:c>
      <x:c r="B101" s="967" t="str">
        <x:v>Mistake tolerance</x:v>
      </x:c>
      <x:c r="C101" s="967" t="str">
        <x:v>대표 True/Hidden 모두 반대 Pivot2~3개는 시간/관계로 만회, D11 Fork 포함4개 시 대표 특수엔딩 실패.</x:v>
      </x:c>
      <x:c r="D101" s="967" t="str">
        <x:v>목표와 일치</x:v>
      </x:c>
      <x:c r="E101" s="967"/>
      <x:c r="F101" s="967"/>
      <x:c r="G101" s="967"/>
      <x:c r="H101" s="967"/>
      <x:c r="I101" s="967"/>
      <x:c r="J101" s="967"/>
      <x:c r="K101" s="967"/>
      <x:c r="L101" s="967"/>
      <x:c r="M101" s="967"/>
      <x:c r="N101" s="967"/>
      <x:c r="O101" s="967"/>
      <x:c r="P101" s="967"/>
      <x:c r="Q101" s="967"/>
      <x:c r="R101" s="967"/>
    </x:row>
    <x:row r="102" ht="43.20000076293945" hidden="0" customHeight="1">
      <x:c r="A102" s="967" t="str">
        <x:v>TBD</x:v>
      </x:c>
      <x:c r="B102" s="967" t="str">
        <x:v>전체 Action XP</x:v>
      </x:c>
      <x:c r="C102" s="967" t="str">
        <x:v>대표 Route XP는 성립하지만 모든 ActionID에 XP를 아직 배정한 것은 아님.</x:v>
      </x:c>
      <x:c r="D102" s="967" t="str">
        <x:v>다음 콘텐츠/밸런스 표에서 전체 분배</x:v>
      </x:c>
      <x:c r="E102" s="967"/>
      <x:c r="F102" s="967"/>
      <x:c r="G102" s="967"/>
      <x:c r="H102" s="967"/>
      <x:c r="I102" s="967"/>
      <x:c r="J102" s="967"/>
      <x:c r="K102" s="967"/>
      <x:c r="L102" s="967"/>
      <x:c r="M102" s="967"/>
      <x:c r="N102" s="967"/>
      <x:c r="O102" s="967"/>
      <x:c r="P102" s="967"/>
      <x:c r="Q102" s="967"/>
      <x:c r="R102" s="967"/>
    </x:row>
    <x:row r="103" ht="54" hidden="0" customHeight="1">
      <x:c r="A103" s="967" t="str">
        <x:v>TBD</x:v>
      </x:c>
      <x:c r="B103" s="967" t="str">
        <x:v>Affinity 모든 Event</x:v>
      </x:c>
      <x:c r="C103" s="967" t="str">
        <x:v>이번 Seed/Deepening +1 값은 SIM 후보. 실제 대사 작성 뒤 감정 강도에 따라 일부 0/+1 조정 가능.</x:v>
      </x:c>
      <x:c r="D103" s="967" t="str">
        <x:v>Narrative pass 후 확정</x:v>
      </x:c>
      <x:c r="E103" s="967"/>
      <x:c r="F103" s="967"/>
      <x:c r="G103" s="967"/>
      <x:c r="H103" s="967"/>
      <x:c r="I103" s="967"/>
      <x:c r="J103" s="967"/>
      <x:c r="K103" s="967"/>
      <x:c r="L103" s="967"/>
      <x:c r="M103" s="967"/>
      <x:c r="N103" s="967"/>
      <x:c r="O103" s="967"/>
      <x:c r="P103" s="967"/>
      <x:c r="Q103" s="967"/>
      <x:c r="R103" s="967"/>
    </x:row>
    <x:row r="104" ht="64.80000305175781" hidden="0" customHeight="1">
      <x:c r="A104" s="967" t="str">
        <x:v>TBD</x:v>
      </x:c>
      <x:c r="B104" s="967" t="str">
        <x:v>Normal2/3</x:v>
      </x:c>
      <x:c r="C104" s="967" t="str">
        <x:v>이번 재시뮬은 Normal1/True/Hidden 중심. 분리출항/거주 Normal의 Pivot/관계 검증은 아직 안 함.</x:v>
      </x:c>
      <x:c r="D104" s="967" t="str">
        <x:v>추가 시뮬 후보</x:v>
      </x:c>
      <x:c r="E104" s="967"/>
      <x:c r="F104" s="967"/>
      <x:c r="G104" s="967"/>
      <x:c r="H104" s="967"/>
      <x:c r="I104" s="967"/>
      <x:c r="J104" s="967"/>
      <x:c r="K104" s="967"/>
      <x:c r="L104" s="967"/>
      <x:c r="M104" s="967"/>
      <x:c r="N104" s="967"/>
      <x:c r="O104" s="967"/>
      <x:c r="P104" s="967"/>
      <x:c r="Q104" s="967"/>
      <x:c r="R104" s="967"/>
    </x:row>
  </x:sheetData>
  <x:mergeCells>
    <x:mergeCell ref="A1:R1"/>
    <x:mergeCell ref="A2:R2"/>
    <x:mergeCell ref="A4:R4"/>
    <x:mergeCell ref="A16:R16"/>
    <x:mergeCell ref="A35:R35"/>
    <x:mergeCell ref="A52:R52"/>
    <x:mergeCell ref="K16:R16"/>
    <x:mergeCell ref="A66:R66"/>
    <x:mergeCell ref="L66:R66"/>
    <x:mergeCell ref="A73:R73"/>
    <x:mergeCell ref="K73:R73"/>
    <x:mergeCell ref="A80:R80"/>
    <x:mergeCell ref="J81:R90"/>
    <x:mergeCell ref="A93:R93"/>
  </x:mergeCells>
  <x:conditionalFormatting sqref="H82:H90">
    <x:cfRule type="expression" dxfId="62" priority="1">
      <x:formula>LEFT(H82,4)="PASS"</x:formula>
    </x:cfRule>
    <x:cfRule type="expression" dxfId="63" priority="2">
      <x:formula>LEFT(H82,4)="FAIL"</x:formula>
    </x:cfRule>
  </x:conditionalFormatting>
  <x:pageMargins left="0.7" right="0.7" top="0.75" bottom="0.75" header="0.3" footer="0.3"/>
  <x:drawing xmlns:r="http://schemas.openxmlformats.org/officeDocument/2006/relationships" r:id="R3e1c8844563a443d"/>
</x:worksheet>
</file>

<file path=xl/worksheets/sheet2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26"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ht="30" hidden="0" customHeight="1">
      <x:c r="A1" s="974" t="str">
        <x:v>Normal 2 / Normal 3 Re-Sim + Full ActionID XP Draft v0.1</x:v>
      </x:c>
      <x:c r="B1" s="974"/>
      <x:c r="C1" s="974"/>
      <x:c r="D1" s="974"/>
      <x:c r="E1" s="974"/>
      <x:c r="F1" s="974"/>
      <x:c r="G1" s="974"/>
      <x:c r="H1" s="974"/>
      <x:c r="I1" s="974"/>
      <x:c r="J1" s="974"/>
      <x:c r="K1" s="974"/>
      <x:c r="L1" s="974"/>
      <x:c r="M1" s="974"/>
      <x:c r="N1" s="974"/>
      <x:c r="O1" s="974"/>
      <x:c r="P1" s="974"/>
      <x:c r="Q1" s="974"/>
    </x:row>
    <x:row r="2" ht="42" hidden="0" customHeight="1">
      <x:c r="A2" s="977" t="str">
        <x:v>목표: Normal2/3가 v1.1 Affinity/Pivot 규칙에서 자연스럽게 성립하는지 검증하고, 06_ActionBudget의 모든 ActionID에 XP 지급 초안을 만든다. XP는 내러티브 선택의 대가를 읽는 공략성을 우선하며, 모든 행동에 자동 지급하지 않는다.</x:v>
      </x:c>
      <x:c r="B2" s="977"/>
      <x:c r="C2" s="977"/>
      <x:c r="D2" s="977"/>
      <x:c r="E2" s="977"/>
      <x:c r="F2" s="977"/>
      <x:c r="G2" s="977"/>
      <x:c r="H2" s="977"/>
      <x:c r="I2" s="977"/>
      <x:c r="J2" s="977"/>
      <x:c r="K2" s="977"/>
      <x:c r="L2" s="977"/>
      <x:c r="M2" s="977"/>
      <x:c r="N2" s="977"/>
      <x:c r="O2" s="977"/>
      <x:c r="P2" s="977"/>
      <x:c r="Q2" s="977"/>
    </x:row>
    <x:row r="3" ht="15" hidden="0" customHeight="1">
      <x:c r="A3" s="967"/>
      <x:c r="B3" s="967"/>
      <x:c r="C3" s="967"/>
      <x:c r="D3" s="967"/>
      <x:c r="E3" s="967"/>
      <x:c r="F3" s="967"/>
      <x:c r="G3" s="967"/>
      <x:c r="H3" s="967"/>
      <x:c r="I3" s="967"/>
      <x:c r="J3" s="967"/>
      <x:c r="K3" s="967"/>
      <x:c r="L3" s="967"/>
      <x:c r="M3" s="967"/>
      <x:c r="N3" s="967"/>
      <x:c r="O3" s="967"/>
      <x:c r="P3" s="967"/>
      <x:c r="Q3" s="967"/>
    </x:row>
    <x:row r="4" ht="26" hidden="0" customHeight="1">
      <x:c r="A4" s="980" t="str">
        <x:v>1. Normal 2 / Normal 3 대표 Route 정의</x:v>
      </x:c>
      <x:c r="B4" s="980"/>
      <x:c r="C4" s="980"/>
      <x:c r="D4" s="980"/>
      <x:c r="E4" s="980"/>
      <x:c r="F4" s="980"/>
      <x:c r="G4" s="980"/>
      <x:c r="H4" s="980"/>
      <x:c r="I4" s="980"/>
      <x:c r="J4" s="980"/>
      <x:c r="K4" s="980"/>
      <x:c r="L4" s="980"/>
      <x:c r="M4" s="980"/>
      <x:c r="N4" s="980"/>
      <x:c r="O4" s="980"/>
      <x:c r="P4" s="980"/>
      <x:c r="Q4" s="980"/>
    </x:row>
    <x:row r="5" ht="30" hidden="0" customHeight="1">
      <x:c r="A5" s="983" t="str">
        <x:v>항목</x:v>
      </x:c>
      <x:c r="B5" s="983" t="str">
        <x:v>Normal 2 — 분리 출항</x:v>
      </x:c>
      <x:c r="C5" s="983" t="str">
        <x:v>Normal 3 — 거주 선택</x:v>
      </x:c>
      <x:c r="D5" s="983" t="str">
        <x:v>판정 의미</x:v>
      </x:c>
      <x:c r="E5" s="983" t="str">
        <x:v>상태</x:v>
      </x:c>
      <x:c r="F5" s="983"/>
      <x:c r="G5" s="983"/>
      <x:c r="H5" s="983"/>
      <x:c r="I5" s="983"/>
      <x:c r="J5" s="983"/>
      <x:c r="K5" s="983"/>
      <x:c r="L5" s="983"/>
      <x:c r="M5" s="983"/>
      <x:c r="N5" s="983"/>
      <x:c r="O5" s="983"/>
      <x:c r="P5" s="983"/>
      <x:c r="Q5" s="983"/>
    </x:row>
    <x:row r="6" ht="24" hidden="0" customHeight="1">
      <x:c r="A6" s="967" t="str">
        <x:v>Ship</x:v>
      </x:c>
      <x:c r="B6" s="967" t="str">
        <x:v>보통</x:v>
      </x:c>
      <x:c r="C6" s="967" t="str">
        <x:v>수리 필요~보통</x:v>
      </x:c>
      <x:c r="D6" s="967" t="str">
        <x:v>둘 다 물리적으로 미래는 남음</x:v>
      </x:c>
      <x:c r="E6" s="967" t="str">
        <x:v>PASS</x:v>
      </x:c>
      <x:c r="F6" s="967"/>
      <x:c r="G6" s="967"/>
      <x:c r="H6" s="967"/>
      <x:c r="I6" s="967"/>
      <x:c r="J6" s="967"/>
      <x:c r="K6" s="967"/>
      <x:c r="L6" s="967"/>
      <x:c r="M6" s="967"/>
      <x:c r="N6" s="967"/>
      <x:c r="O6" s="967"/>
      <x:c r="P6" s="967"/>
      <x:c r="Q6" s="967"/>
    </x:row>
    <x:row r="7" ht="24" hidden="0" customHeight="1">
      <x:c r="A7" s="967" t="str">
        <x:v>Sustainability</x:v>
      </x:c>
      <x:c r="B7" s="967" t="str">
        <x:v>MEDIUM (예: Oasis1 + Settlement2)</x:v>
      </x:c>
      <x:c r="C7" s="967" t="str">
        <x:v>MEDIUM/HIGH (대표는 Oasis1 + Settlement2)</x:v>
      </x:c>
      <x:c r="D7" s="967" t="str">
        <x:v>정착이 실제 선택지로 열림</x:v>
      </x:c>
      <x:c r="E7" s="967" t="str">
        <x:v>PASS</x:v>
      </x:c>
      <x:c r="F7" s="967"/>
      <x:c r="G7" s="967"/>
      <x:c r="H7" s="967"/>
      <x:c r="I7" s="967"/>
      <x:c r="J7" s="967"/>
      <x:c r="K7" s="967"/>
      <x:c r="L7" s="967"/>
      <x:c r="M7" s="967"/>
      <x:c r="N7" s="967"/>
      <x:c r="O7" s="967"/>
      <x:c r="P7" s="967"/>
      <x:c r="Q7" s="967"/>
    </x:row>
    <x:row r="8" ht="24" hidden="0" customHeight="1">
      <x:c r="A8" s="967" t="str">
        <x:v>핵심 Stance</x:v>
      </x:c>
      <x:c r="B8" s="967" t="str">
        <x:v>Sam/Borichi/Faye=LEAVE / Jina/Diya/Ben=STAY</x:v>
      </x:c>
      <x:c r="C8" s="967" t="str">
        <x:v>Sam/Borichi=LEAVE / Jina/Diya/Faye/Ben=STAY</x:v>
      </x:c>
      <x:c r="D8" s="967" t="str">
        <x:v>N2는 3:3, N3는 4:2</x:v>
      </x:c>
      <x:c r="E8" s="967" t="str">
        <x:v>PASS</x:v>
      </x:c>
      <x:c r="F8" s="967"/>
      <x:c r="G8" s="967"/>
      <x:c r="H8" s="967"/>
      <x:c r="I8" s="967"/>
      <x:c r="J8" s="967"/>
      <x:c r="K8" s="967"/>
      <x:c r="L8" s="967"/>
      <x:c r="M8" s="967"/>
      <x:c r="N8" s="967"/>
      <x:c r="O8" s="967"/>
      <x:c r="P8" s="967"/>
      <x:c r="Q8" s="967"/>
    </x:row>
    <x:row r="9" ht="24" hidden="0" customHeight="1">
      <x:c r="A9" s="967" t="str">
        <x:v>W1 Focus</x:v>
      </x:c>
      <x:c r="B9" s="967" t="str">
        <x:v>A=Faye / B=Diya</x:v>
      </x:c>
      <x:c r="C9" s="967" t="str">
        <x:v>A=Borichi / B=Diya</x:v>
      </x:c>
      <x:c r="D9" s="967" t="str">
        <x:v>N2는 Faye 출항 완주, N3는 정착 인물/증거 쪽</x:v>
      </x:c>
      <x:c r="E9" s="967" t="str">
        <x:v>PASS</x:v>
      </x:c>
      <x:c r="F9" s="967"/>
      <x:c r="G9" s="967"/>
      <x:c r="H9" s="967"/>
      <x:c r="I9" s="967"/>
      <x:c r="J9" s="967"/>
      <x:c r="K9" s="967"/>
      <x:c r="L9" s="967"/>
      <x:c r="M9" s="967"/>
      <x:c r="N9" s="967"/>
      <x:c r="O9" s="967"/>
      <x:c r="P9" s="967"/>
      <x:c r="Q9" s="967"/>
    </x:row>
    <x:row r="10" ht="36" hidden="0" customHeight="1">
      <x:c r="A10" s="967" t="str">
        <x:v>W2 핵심</x:v>
      </x:c>
      <x:c r="B10" s="967" t="str">
        <x:v>Faye AUDIO_LINK + Diya Hidden Fork + Preservation 1/2</x:v>
      </x:c>
      <x:c r="C10" s="967" t="str">
        <x:v>Diya Hidden Fork + Preservation 1/2, Faye Full Route 미완주</x:v>
      </x:c>
      <x:c r="D10" s="967" t="str">
        <x:v>둘 다 Hidden보다 보존 투자 낮음</x:v>
      </x:c>
      <x:c r="E10" s="967" t="str">
        <x:v>PASS</x:v>
      </x:c>
      <x:c r="F10" s="967"/>
      <x:c r="G10" s="967"/>
      <x:c r="H10" s="967"/>
      <x:c r="I10" s="967"/>
      <x:c r="J10" s="967"/>
      <x:c r="K10" s="967"/>
      <x:c r="L10" s="967"/>
      <x:c r="M10" s="967"/>
      <x:c r="N10" s="967"/>
      <x:c r="O10" s="967"/>
      <x:c r="P10" s="967"/>
      <x:c r="Q10" s="967"/>
    </x:row>
    <x:row r="11" ht="36" hidden="0" customHeight="1">
      <x:c r="A11" s="967" t="str">
        <x:v>W3 핵심</x:v>
      </x:c>
      <x:c r="B11" s="967" t="str">
        <x:v>재점검으로 MEDIUM → Faye 공연 → 양쪽 Stance 공존</x:v>
      </x:c>
      <x:c r="C11" s="967" t="str">
        <x:v>재점검으로 MEDIUM → Faye는 STAY 유지</x:v>
      </x:c>
      <x:c r="D11" s="967" t="str">
        <x:v>특수엔딩보다 덜 완벽한 결론</x:v>
      </x:c>
      <x:c r="E11" s="967" t="str">
        <x:v>PASS</x:v>
      </x:c>
      <x:c r="F11" s="967"/>
      <x:c r="G11" s="967"/>
      <x:c r="H11" s="967"/>
      <x:c r="I11" s="967"/>
      <x:c r="J11" s="967"/>
      <x:c r="K11" s="967"/>
      <x:c r="L11" s="967"/>
      <x:c r="M11" s="967"/>
      <x:c r="N11" s="967"/>
      <x:c r="O11" s="967"/>
      <x:c r="P11" s="967"/>
      <x:c r="Q11" s="967"/>
    </x:row>
    <x:row r="12" ht="30" hidden="0" customHeight="1">
      <x:c r="A12" s="983" t="str">
        <x:v>Ending</x:v>
      </x:c>
      <x:c r="B12" s="983" t="str">
        <x:v>Normal 2</x:v>
      </x:c>
      <x:c r="C12" s="983" t="str">
        <x:v>Normal 3</x:v>
      </x:c>
      <x:c r="D12" s="983" t="str">
        <x:v>Evaluator 우선순위와 충돌 없음</x:v>
      </x:c>
      <x:c r="E12" s="983" t="str">
        <x:v>PASS</x:v>
      </x:c>
      <x:c r="F12" s="983"/>
      <x:c r="G12" s="983"/>
      <x:c r="H12" s="983"/>
      <x:c r="I12" s="983"/>
      <x:c r="J12" s="983"/>
      <x:c r="K12" s="983"/>
      <x:c r="L12" s="983"/>
      <x:c r="M12" s="983"/>
      <x:c r="N12" s="983"/>
      <x:c r="O12" s="983"/>
      <x:c r="P12" s="983"/>
      <x:c r="Q12" s="983"/>
    </x:row>
    <x:row r="13" ht="15" hidden="0" customHeight="1">
      <x:c r="A13" s="967"/>
      <x:c r="B13" s="967"/>
      <x:c r="C13" s="967"/>
      <x:c r="D13" s="967"/>
      <x:c r="E13" s="967"/>
      <x:c r="F13" s="967"/>
      <x:c r="G13" s="967"/>
      <x:c r="H13" s="967"/>
      <x:c r="I13" s="967"/>
      <x:c r="J13" s="967"/>
      <x:c r="K13" s="967"/>
      <x:c r="L13" s="967"/>
      <x:c r="M13" s="967"/>
      <x:c r="N13" s="967"/>
      <x:c r="O13" s="967"/>
      <x:c r="P13" s="967"/>
      <x:c r="Q13" s="967"/>
    </x:row>
    <x:row r="14" ht="26" hidden="0" customHeight="1">
      <x:c r="A14" s="980" t="str">
        <x:v>2. Normal 2 / 3 Affinity &amp; D19 이동비</x:v>
      </x:c>
      <x:c r="B14" s="980"/>
      <x:c r="C14" s="980"/>
      <x:c r="D14" s="980"/>
      <x:c r="E14" s="980"/>
      <x:c r="F14" s="980"/>
      <x:c r="G14" s="980"/>
      <x:c r="H14" s="980"/>
      <x:c r="I14" s="980"/>
      <x:c r="J14" s="980"/>
      <x:c r="K14" s="980"/>
      <x:c r="L14" s="980"/>
      <x:c r="M14" s="980"/>
      <x:c r="N14" s="980"/>
      <x:c r="O14" s="980"/>
      <x:c r="P14" s="980"/>
      <x:c r="Q14" s="980"/>
    </x:row>
    <x:row r="15" ht="30" hidden="0" customHeight="1">
      <x:c r="A15" s="983" t="str">
        <x:v>Route</x:v>
      </x:c>
      <x:c r="B15" s="983" t="str">
        <x:v>Sam</x:v>
      </x:c>
      <x:c r="C15" s="983" t="str">
        <x:v>Jina</x:v>
      </x:c>
      <x:c r="D15" s="983" t="str">
        <x:v>Faye</x:v>
      </x:c>
      <x:c r="E15" s="983" t="str">
        <x:v>Ben</x:v>
      </x:c>
      <x:c r="F15" s="983" t="str">
        <x:v>Borichi</x:v>
      </x:c>
      <x:c r="G15" s="983" t="str">
        <x:v>Diya</x:v>
      </x:c>
      <x:c r="H15" s="983" t="str">
        <x:v>D19 대표 배치</x:v>
      </x:c>
      <x:c r="I15" s="983" t="str">
        <x:v>이동 Will</x:v>
      </x:c>
      <x:c r="J15" s="983" t="str">
        <x:v>결론</x:v>
      </x:c>
      <x:c r="K15" s="983"/>
      <x:c r="L15" s="983"/>
      <x:c r="M15" s="983"/>
      <x:c r="N15" s="983"/>
      <x:c r="O15" s="983"/>
      <x:c r="P15" s="983"/>
      <x:c r="Q15" s="983"/>
    </x:row>
    <x:row r="16" ht="48" hidden="0" customHeight="1">
      <x:c r="A16" s="967" t="str">
        <x:v>Normal 2</x:v>
      </x:c>
      <x:c r="B16" s="967" t="n">
        <x:v>2</x:v>
      </x:c>
      <x:c r="C16" s="967" t="n">
        <x:v>2</x:v>
      </x:c>
      <x:c r="D16" s="967" t="n">
        <x:v>5</x:v>
      </x:c>
      <x:c r="E16" s="967" t="n">
        <x:v>3</x:v>
      </x:c>
      <x:c r="F16" s="967" t="n">
        <x:v>5</x:v>
      </x:c>
      <x:c r="G16" s="967" t="n">
        <x:v>5</x:v>
      </x:c>
      <x:c r="H16" s="967" t="str">
        <x:v>Faye→Freezer / Borichi→Research / Diya→Living / Sam 필요시 이동</x:v>
      </x:c>
      <x:c r="I16" s="967" t="str">
        <x:v>Sam 1W, Jina 1W / 핵심3명 무료</x:v>
      </x:c>
      <x:c r="J16" s="967" t="str">
        <x:v>분리 출항에 필요한 양쪽 인물군 모두 기능</x:v>
      </x:c>
      <x:c r="K16" s="967"/>
      <x:c r="L16" s="967"/>
      <x:c r="M16" s="967"/>
      <x:c r="N16" s="967"/>
      <x:c r="O16" s="967"/>
      <x:c r="P16" s="967"/>
      <x:c r="Q16" s="967"/>
    </x:row>
    <x:row r="17" ht="36" hidden="0" customHeight="1">
      <x:c r="A17" s="967" t="str">
        <x:v>Normal 3</x:v>
      </x:c>
      <x:c r="B17" s="967" t="n">
        <x:v>2</x:v>
      </x:c>
      <x:c r="C17" s="967" t="n">
        <x:v>4</x:v>
      </x:c>
      <x:c r="D17" s="967" t="n">
        <x:v>1</x:v>
      </x:c>
      <x:c r="E17" s="967" t="n">
        <x:v>4</x:v>
      </x:c>
      <x:c r="F17" s="967" t="n">
        <x:v>5</x:v>
      </x:c>
      <x:c r="G17" s="967" t="n">
        <x:v>5</x:v>
      </x:c>
      <x:c r="H17" s="967" t="str">
        <x:v>Benjamin→Freezer / Borichi→Research / Diya→Living</x:v>
      </x:c>
      <x:c r="I17" s="967" t="str">
        <x:v>Sam 1W, Faye 2W / 정착 핵심3명 무료</x:v>
      </x:c>
      <x:c r="J17" s="967" t="str">
        <x:v>STAY 다수와 정착 실행인력이 실제 시스템 자원으로 남음</x:v>
      </x:c>
      <x:c r="K17" s="967"/>
      <x:c r="L17" s="967"/>
      <x:c r="M17" s="967"/>
      <x:c r="N17" s="967"/>
      <x:c r="O17" s="967"/>
      <x:c r="P17" s="967"/>
      <x:c r="Q17" s="967"/>
    </x:row>
    <x:row r="18" ht="15" hidden="0" customHeight="1">
      <x:c r="A18" s="967"/>
      <x:c r="B18" s="967"/>
      <x:c r="C18" s="967"/>
      <x:c r="D18" s="967"/>
      <x:c r="E18" s="967"/>
      <x:c r="F18" s="967"/>
      <x:c r="G18" s="967"/>
      <x:c r="H18" s="967"/>
      <x:c r="I18" s="967"/>
      <x:c r="J18" s="967"/>
      <x:c r="K18" s="967"/>
      <x:c r="L18" s="967"/>
      <x:c r="M18" s="967"/>
      <x:c r="N18" s="967"/>
      <x:c r="O18" s="967"/>
      <x:c r="P18" s="967"/>
      <x:c r="Q18" s="967"/>
    </x:row>
    <x:row r="19" ht="26" hidden="0" customHeight="1">
      <x:c r="A19" s="980" t="str">
        <x:v>3. Pivot 선택 — Normal 2/3가 True/Hidden의 '실패판'이 아니라 자기 논리를 갖는가</x:v>
      </x:c>
      <x:c r="B19" s="980"/>
      <x:c r="C19" s="980"/>
      <x:c r="D19" s="980"/>
      <x:c r="E19" s="980"/>
      <x:c r="F19" s="980"/>
      <x:c r="G19" s="980"/>
      <x:c r="H19" s="980"/>
      <x:c r="I19" s="980"/>
      <x:c r="J19" s="980"/>
      <x:c r="K19" s="980"/>
      <x:c r="L19" s="980"/>
      <x:c r="M19" s="980"/>
      <x:c r="N19" s="980"/>
      <x:c r="O19" s="980"/>
      <x:c r="P19" s="980"/>
      <x:c r="Q19" s="980"/>
    </x:row>
    <x:row r="20" ht="30" hidden="0" customHeight="1">
      <x:c r="A20" s="971" t="str">
        <x:v>Pivot</x:v>
      </x:c>
      <x:c r="B20" s="971" t="str">
        <x:v>Normal 2 대표</x:v>
      </x:c>
      <x:c r="C20" s="971" t="str">
        <x:v>Normal 3 대표</x:v>
      </x:c>
      <x:c r="D20" s="971" t="str">
        <x:v>왜 이 선택이 자연스러운가</x:v>
      </x:c>
      <x:c r="E20" s="971"/>
      <x:c r="F20" s="971" t="str">
        <x:v>검증 포인트: Normal2/3는 'True/Hidden 공략에 실패해서 떨어지는 엔딩'으로만 보이면 안 된다. N2는 음악/출항을 끝까지 밀어 Faye는 떠나지만 Diya·Benjamin의 정착 이유도 존중한 결과이고, N3는 생존과 정착 공동체를 우선해 Faye Route를 포기했지만 행성의 MEDIUM 근거와 STAY 다수를 만든 결과다. 즉 두 엔딩 모두 플레이어가 의도적으로 도달 가능한 독립 Route로 성립한다.</x:v>
      </x:c>
      <x:c r="G20" s="971"/>
      <x:c r="H20" s="971"/>
      <x:c r="I20" s="971"/>
      <x:c r="J20" s="971"/>
      <x:c r="K20" s="971"/>
      <x:c r="L20" s="971"/>
      <x:c r="M20" s="971"/>
      <x:c r="N20" s="971"/>
      <x:c r="O20" s="971"/>
      <x:c r="P20" s="971"/>
      <x:c r="Q20" s="971"/>
    </x:row>
    <x:row r="21" ht="24" hidden="0" customHeight="1">
      <x:c r="A21" s="967" t="str">
        <x:v>D6 보고</x:v>
      </x:c>
      <x:c r="B21" s="967" t="str">
        <x:v>B: 재검증 가능 기록</x:v>
      </x:c>
      <x:c r="C21" s="967" t="str">
        <x:v>B: 재검증 가능 기록</x:v>
      </x:c>
      <x:c r="D21" s="967" t="str">
        <x:v>둘 다 행성을 완전히 포기하지 않음</x:v>
      </x:c>
      <x:c r="E21" s="967"/>
      <x:c r="F21" s="967"/>
      <x:c r="G21" s="967"/>
      <x:c r="H21" s="967"/>
      <x:c r="I21" s="967"/>
      <x:c r="J21" s="967"/>
      <x:c r="K21" s="967"/>
      <x:c r="L21" s="967"/>
      <x:c r="M21" s="967"/>
      <x:c r="N21" s="967"/>
      <x:c r="O21" s="967"/>
      <x:c r="P21" s="967"/>
      <x:c r="Q21" s="967"/>
    </x:row>
    <x:row r="22" ht="24" hidden="0" customHeight="1">
      <x:c r="A22" s="967" t="str">
        <x:v>D7 공개</x:v>
      </x:c>
      <x:c r="B22" s="967" t="str">
        <x:v>B: 제한 공개</x:v>
      </x:c>
      <x:c r="C22" s="967" t="str">
        <x:v>B: 제한 공개</x:v>
      </x:c>
      <x:c r="D22" s="967" t="str">
        <x:v>공동체를 안정시켜 나중 최종 선택을 남김</x:v>
      </x:c>
      <x:c r="E22" s="967"/>
      <x:c r="F22" s="967"/>
      <x:c r="G22" s="967"/>
      <x:c r="H22" s="967"/>
      <x:c r="I22" s="967"/>
      <x:c r="J22" s="967"/>
      <x:c r="K22" s="967"/>
      <x:c r="L22" s="967"/>
      <x:c r="M22" s="967"/>
      <x:c r="N22" s="967"/>
      <x:c r="O22" s="967"/>
      <x:c r="P22" s="967"/>
      <x:c r="Q22" s="967"/>
    </x:row>
    <x:row r="23" ht="24" hidden="0" customHeight="1">
      <x:c r="A23" s="967" t="str">
        <x:v>D8 Borichi</x:v>
      </x:c>
      <x:c r="B23" s="967" t="str">
        <x:v>A: 쉬게 둠</x:v>
      </x:c>
      <x:c r="C23" s="967" t="str">
        <x:v>A: 쉬게 둠</x:v>
      </x:c>
      <x:c r="D23" s="967" t="str">
        <x:v>특수엔딩처럼 정보를 끝까지 쥐어짜지 않음</x:v>
      </x:c>
      <x:c r="E23" s="967"/>
      <x:c r="F23" s="967"/>
      <x:c r="G23" s="967"/>
      <x:c r="H23" s="967"/>
      <x:c r="I23" s="967"/>
      <x:c r="J23" s="967"/>
      <x:c r="K23" s="967"/>
      <x:c r="L23" s="967"/>
      <x:c r="M23" s="967"/>
      <x:c r="N23" s="967"/>
      <x:c r="O23" s="967"/>
      <x:c r="P23" s="967"/>
      <x:c r="Q23" s="967"/>
    </x:row>
    <x:row r="24" ht="24" hidden="0" customHeight="1">
      <x:c r="A24" s="967" t="str">
        <x:v>D9 Faye</x:v>
      </x:c>
      <x:c r="B24" s="967" t="str">
        <x:v>A: AUDIO_LINK 보존</x:v>
      </x:c>
      <x:c r="C24" s="967" t="str">
        <x:v>B: 부품 피난설비 전용</x:v>
      </x:c>
      <x:c r="D24" s="967" t="str">
        <x:v>N2는 Faye 출항 완주, N3는 생존/정착 우선</x:v>
      </x:c>
      <x:c r="E24" s="967"/>
      <x:c r="F24" s="967"/>
      <x:c r="G24" s="967"/>
      <x:c r="H24" s="967"/>
      <x:c r="I24" s="967"/>
      <x:c r="J24" s="967"/>
      <x:c r="K24" s="967"/>
      <x:c r="L24" s="967"/>
      <x:c r="M24" s="967"/>
      <x:c r="N24" s="967"/>
      <x:c r="O24" s="967"/>
      <x:c r="P24" s="967"/>
      <x:c r="Q24" s="967"/>
    </x:row>
    <x:row r="25" ht="24" hidden="0" customHeight="1">
      <x:c r="A25" s="967" t="str">
        <x:v>D10 Jina</x:v>
      </x:c>
      <x:c r="B25" s="967" t="str">
        <x:v>B: 업무복귀</x:v>
      </x:c>
      <x:c r="C25" s="967" t="str">
        <x:v>A: Mira 곁에 둠</x:v>
      </x:c>
      <x:c r="D25" s="967" t="str">
        <x:v>N2는 시간 효율, N3는 공동체 신뢰</x:v>
      </x:c>
      <x:c r="E25" s="967"/>
      <x:c r="F25" s="967"/>
      <x:c r="G25" s="967"/>
      <x:c r="H25" s="967"/>
      <x:c r="I25" s="967"/>
      <x:c r="J25" s="967"/>
      <x:c r="K25" s="967"/>
      <x:c r="L25" s="967"/>
      <x:c r="M25" s="967"/>
      <x:c r="N25" s="967"/>
      <x:c r="O25" s="967"/>
      <x:c r="P25" s="967"/>
      <x:c r="Q25" s="967"/>
    </x:row>
    <x:row r="26" ht="24" hidden="0" customHeight="1">
      <x:c r="A26" s="967" t="str">
        <x:v>D11 Diya</x:v>
      </x:c>
      <x:c r="B26" s="967" t="str">
        <x:v>B: 여기가 집</x:v>
      </x:c>
      <x:c r="C26" s="967" t="str">
        <x:v>B: 여기가 집</x:v>
      </x:c>
      <x:c r="D26" s="967" t="str">
        <x:v>둘 다 정착 인물의 STAY를 유지</x:v>
      </x:c>
      <x:c r="E26" s="967"/>
      <x:c r="F26" s="967"/>
      <x:c r="G26" s="967"/>
      <x:c r="H26" s="967"/>
      <x:c r="I26" s="967"/>
      <x:c r="J26" s="967"/>
      <x:c r="K26" s="967"/>
      <x:c r="L26" s="967"/>
      <x:c r="M26" s="967"/>
      <x:c r="N26" s="967"/>
      <x:c r="O26" s="967"/>
      <x:c r="P26" s="967"/>
      <x:c r="Q26" s="967"/>
    </x:row>
    <x:row r="27" ht="36" hidden="0" customHeight="1">
      <x:c r="A27" s="967" t="str">
        <x:v>D12 Benjamin</x:v>
      </x:c>
      <x:c r="B27" s="967" t="str">
        <x:v>B: 묘지부터</x:v>
      </x:c>
      <x:c r="C27" s="967" t="str">
        <x:v>B: 묘지부터</x:v>
      </x:c>
      <x:c r="D27" s="967" t="str">
        <x:v>Ben STAY 유지로 분리/거주 양쪽 모두 성립</x:v>
      </x:c>
      <x:c r="E27" s="967"/>
      <x:c r="F27" s="967"/>
      <x:c r="G27" s="967"/>
      <x:c r="H27" s="967"/>
      <x:c r="I27" s="967"/>
      <x:c r="J27" s="967"/>
      <x:c r="K27" s="967"/>
      <x:c r="L27" s="967"/>
      <x:c r="M27" s="967"/>
      <x:c r="N27" s="967"/>
      <x:c r="O27" s="967"/>
      <x:c r="P27" s="967"/>
      <x:c r="Q27" s="967"/>
    </x:row>
    <x:row r="28" ht="24" hidden="0" customHeight="1">
      <x:c r="A28" s="967" t="str">
        <x:v>D13 Sam</x:v>
      </x:c>
      <x:c r="B28" s="967" t="str">
        <x:v>A: 함께 기준 정리</x:v>
      </x:c>
      <x:c r="C28" s="967" t="str">
        <x:v>A: 함께 기준 정리</x:v>
      </x:c>
      <x:c r="D28" s="967" t="str">
        <x:v>샘 생존/리더십은 Normal에서도 중요</x:v>
      </x:c>
      <x:c r="E28" s="967"/>
      <x:c r="F28" s="967"/>
      <x:c r="G28" s="967"/>
      <x:c r="H28" s="967"/>
      <x:c r="I28" s="967"/>
      <x:c r="J28" s="967"/>
      <x:c r="K28" s="967"/>
      <x:c r="L28" s="967"/>
      <x:c r="M28" s="967"/>
      <x:c r="N28" s="967"/>
      <x:c r="O28" s="967"/>
      <x:c r="P28" s="967"/>
      <x:c r="Q28" s="967"/>
    </x:row>
    <x:row r="29" ht="15" hidden="0" customHeight="1">
      <x:c r="A29" s="967"/>
      <x:c r="B29" s="967"/>
      <x:c r="C29" s="967"/>
      <x:c r="D29" s="967"/>
      <x:c r="E29" s="967"/>
      <x:c r="F29" s="967"/>
      <x:c r="G29" s="967"/>
      <x:c r="H29" s="967"/>
      <x:c r="I29" s="967"/>
      <x:c r="J29" s="967"/>
      <x:c r="K29" s="967"/>
      <x:c r="L29" s="967"/>
      <x:c r="M29" s="967"/>
      <x:c r="N29" s="967"/>
      <x:c r="O29" s="967"/>
      <x:c r="P29" s="967"/>
      <x:c r="Q29" s="967"/>
    </x:row>
    <x:row r="30" ht="26" hidden="0" customHeight="1">
      <x:c r="A30" s="980" t="str">
        <x:v>4. D21 Evaluator 확인</x:v>
      </x:c>
      <x:c r="B30" s="980"/>
      <x:c r="C30" s="980"/>
      <x:c r="D30" s="980"/>
      <x:c r="E30" s="980"/>
      <x:c r="F30" s="980"/>
      <x:c r="G30" s="980"/>
      <x:c r="H30" s="980"/>
      <x:c r="I30" s="980"/>
      <x:c r="J30" s="980"/>
      <x:c r="K30" s="980"/>
      <x:c r="L30" s="980"/>
      <x:c r="M30" s="980"/>
      <x:c r="N30" s="980"/>
      <x:c r="O30" s="980"/>
      <x:c r="P30" s="980"/>
      <x:c r="Q30" s="980"/>
    </x:row>
    <x:row r="31" ht="30" hidden="0" customHeight="1">
      <x:c r="A31" s="983" t="str">
        <x:v>Route</x:v>
      </x:c>
      <x:c r="B31" s="983" t="str">
        <x:v>DeparturePossible</x:v>
      </x:c>
      <x:c r="C31" s="983" t="str">
        <x:v>DepartureCrew</x:v>
      </x:c>
      <x:c r="D31" s="983" t="str">
        <x:v>SettlementPossible</x:v>
      </x:c>
      <x:c r="E31" s="983" t="str">
        <x:v>SettlementCore</x:v>
      </x:c>
      <x:c r="F31" s="983" t="str">
        <x:v>Stay</x:v>
      </x:c>
      <x:c r="G31" s="983" t="str">
        <x:v>Leave</x:v>
      </x:c>
      <x:c r="H31" s="983" t="str">
        <x:v>True</x:v>
      </x:c>
      <x:c r="I31" s="983" t="str">
        <x:v>Hidden</x:v>
      </x:c>
      <x:c r="J31" s="983" t="str">
        <x:v>N3 조건</x:v>
      </x:c>
      <x:c r="K31" s="983" t="str">
        <x:v>최종</x:v>
      </x:c>
      <x:c r="L31" s="983"/>
      <x:c r="M31" s="983"/>
      <x:c r="N31" s="983"/>
      <x:c r="O31" s="983"/>
      <x:c r="P31" s="983"/>
      <x:c r="Q31" s="983"/>
    </x:row>
    <x:row r="32" ht="15" hidden="0" customHeight="1">
      <x:c r="A32" s="967" t="str">
        <x:v>Normal 2</x:v>
      </x:c>
      <x:c r="B32" s="987" t="b">
        <x:v>1</x:v>
      </x:c>
      <x:c r="C32" s="987" t="b">
        <x:v>1</x:v>
      </x:c>
      <x:c r="D32" s="987" t="b">
        <x:v>1</x:v>
      </x:c>
      <x:c r="E32" s="987" t="b">
        <x:v>1</x:v>
      </x:c>
      <x:c r="F32" s="967" t="n">
        <x:v>3</x:v>
      </x:c>
      <x:c r="G32" s="967" t="n">
        <x:v>3</x:v>
      </x:c>
      <x:c r="H32" s="987" t="b">
        <x:v>0</x:v>
      </x:c>
      <x:c r="I32" s="987" t="b">
        <x:v>0</x:v>
      </x:c>
      <x:c r="J32" s="987" t="b">
        <x:v>0</x:v>
      </x:c>
      <x:c r="K32" s="967" t="str">
        <x:v>Normal 2</x:v>
      </x:c>
      <x:c r="L32" s="967"/>
      <x:c r="M32" s="967"/>
      <x:c r="N32" s="967"/>
      <x:c r="O32" s="967"/>
      <x:c r="P32" s="967"/>
      <x:c r="Q32" s="967"/>
    </x:row>
    <x:row r="33" ht="15" hidden="0" customHeight="1">
      <x:c r="A33" s="967" t="str">
        <x:v>Normal 3</x:v>
      </x:c>
      <x:c r="B33" s="987" t="b">
        <x:v>1</x:v>
      </x:c>
      <x:c r="C33" s="987" t="b">
        <x:v>1</x:v>
      </x:c>
      <x:c r="D33" s="987" t="b">
        <x:v>1</x:v>
      </x:c>
      <x:c r="E33" s="987" t="b">
        <x:v>1</x:v>
      </x:c>
      <x:c r="F33" s="967" t="n">
        <x:v>4</x:v>
      </x:c>
      <x:c r="G33" s="967" t="n">
        <x:v>2</x:v>
      </x:c>
      <x:c r="H33" s="987" t="b">
        <x:v>0</x:v>
      </x:c>
      <x:c r="I33" s="987" t="b">
        <x:v>0</x:v>
      </x:c>
      <x:c r="J33" s="987" t="b">
        <x:v>1</x:v>
      </x:c>
      <x:c r="K33" s="967" t="str">
        <x:v>Normal 3</x:v>
      </x:c>
      <x:c r="L33" s="967"/>
      <x:c r="M33" s="967"/>
      <x:c r="N33" s="967"/>
      <x:c r="O33" s="967"/>
      <x:c r="P33" s="967"/>
      <x:c r="Q33" s="967"/>
    </x:row>
    <x:row r="34" ht="15" hidden="0" customHeight="1">
      <x:c r="A34" s="967"/>
      <x:c r="B34" s="967"/>
      <x:c r="C34" s="967"/>
      <x:c r="D34" s="967"/>
      <x:c r="E34" s="967"/>
      <x:c r="F34" s="967"/>
      <x:c r="G34" s="967"/>
      <x:c r="H34" s="967"/>
      <x:c r="I34" s="967"/>
      <x:c r="J34" s="967"/>
      <x:c r="K34" s="967"/>
      <x:c r="L34" s="967"/>
      <x:c r="M34" s="967"/>
      <x:c r="N34" s="967"/>
      <x:c r="O34" s="967"/>
      <x:c r="P34" s="967"/>
      <x:c r="Q34" s="967"/>
    </x:row>
    <x:row r="35" ht="26" hidden="0" customHeight="1">
      <x:c r="A35" s="980" t="str">
        <x:v>5. 전체 ActionID XP 초안 — 지급 문법</x:v>
      </x:c>
      <x:c r="B35" s="980"/>
      <x:c r="C35" s="980"/>
      <x:c r="D35" s="980"/>
      <x:c r="E35" s="980"/>
      <x:c r="F35" s="980"/>
      <x:c r="G35" s="980"/>
      <x:c r="H35" s="980"/>
      <x:c r="I35" s="980"/>
      <x:c r="J35" s="980"/>
      <x:c r="K35" s="980"/>
      <x:c r="L35" s="980"/>
      <x:c r="M35" s="980"/>
      <x:c r="N35" s="980"/>
      <x:c r="O35" s="980"/>
      <x:c r="P35" s="980"/>
      <x:c r="Q35" s="980"/>
    </x:row>
    <x:row r="36" ht="15" hidden="0" customHeight="1">
      <x:c r="A36" s="969" t="str">
        <x:v>행동 유형</x:v>
      </x:c>
      <x:c r="B36" s="969" t="str">
        <x:v>기본 XP</x:v>
      </x:c>
      <x:c r="C36" s="969" t="str">
        <x:v>예외/조건</x:v>
      </x:c>
      <x:c r="D36" s="969" t="str">
        <x:v>의도</x:v>
      </x:c>
      <x:c r="E36" s="967"/>
      <x:c r="F36" s="967"/>
      <x:c r="G36" s="967"/>
      <x:c r="H36" s="967"/>
      <x:c r="I36" s="967"/>
      <x:c r="J36" s="967"/>
      <x:c r="K36" s="967"/>
      <x:c r="L36" s="967"/>
      <x:c r="M36" s="967"/>
      <x:c r="N36" s="967"/>
      <x:c r="O36" s="967"/>
      <x:c r="P36" s="967"/>
      <x:c r="Q36" s="967"/>
    </x:row>
    <x:row r="37" ht="24" hidden="0" customHeight="1">
      <x:c r="A37" s="967" t="str">
        <x:v>SYSTEM / EVENT / 일반 보고</x:v>
      </x:c>
      <x:c r="B37" s="967" t="str">
        <x:v>0</x:v>
      </x:c>
      <x:c r="C37" s="967" t="str">
        <x:v>성장 자체가 주제가 아닌 경우</x:v>
      </x:c>
      <x:c r="D37" s="967" t="str">
        <x:v>진행만 했다고 자동 성장하지 않음</x:v>
      </x:c>
      <x:c r="E37" s="967"/>
      <x:c r="F37" s="967"/>
      <x:c r="G37" s="967"/>
      <x:c r="H37" s="967"/>
      <x:c r="I37" s="967"/>
      <x:c r="J37" s="967"/>
      <x:c r="K37" s="967"/>
      <x:c r="L37" s="967"/>
      <x:c r="M37" s="967"/>
      <x:c r="N37" s="967"/>
      <x:c r="O37" s="967"/>
      <x:c r="P37" s="967"/>
      <x:c r="Q37" s="967"/>
    </x:row>
    <x:row r="38" ht="24" hidden="0" customHeight="1">
      <x:c r="A38" s="967" t="str">
        <x:v>일반 Character 감정 장면</x:v>
      </x:c>
      <x:c r="B38" s="967" t="str">
        <x:v>0</x:v>
      </x:c>
      <x:c r="C38" s="967" t="str">
        <x:v>Pivot/Deepening/Focus면 별도</x:v>
      </x:c>
      <x:c r="D38" s="967" t="str">
        <x:v>관계 경험=자동 Stat 성장으로 만들지 않음</x:v>
      </x:c>
      <x:c r="E38" s="967"/>
      <x:c r="F38" s="967"/>
      <x:c r="G38" s="967"/>
      <x:c r="H38" s="967"/>
      <x:c r="I38" s="967"/>
      <x:c r="J38" s="967"/>
      <x:c r="K38" s="967"/>
      <x:c r="L38" s="967"/>
      <x:c r="M38" s="967"/>
      <x:c r="N38" s="967"/>
      <x:c r="O38" s="967"/>
      <x:c r="P38" s="967"/>
      <x:c r="Q38" s="967"/>
    </x:row>
    <x:row r="39" ht="24" hidden="0" customHeight="1">
      <x:c r="A39" s="967" t="str">
        <x:v>조사 Main</x:v>
      </x:c>
      <x:c r="B39" s="967" t="str">
        <x:v>기술 +1</x:v>
      </x:c>
      <x:c r="C39" s="967" t="str">
        <x:v>실제 관찰/가설/검증을 수행한 핵심 단계만</x:v>
      </x:c>
      <x:c r="D39" s="967" t="str">
        <x:v>Research 빌드의 초반 기반</x:v>
      </x:c>
      <x:c r="E39" s="967"/>
      <x:c r="F39" s="967"/>
      <x:c r="G39" s="967"/>
      <x:c r="H39" s="967"/>
      <x:c r="I39" s="967"/>
      <x:c r="J39" s="967"/>
      <x:c r="K39" s="967"/>
      <x:c r="L39" s="967"/>
      <x:c r="M39" s="967"/>
      <x:c r="N39" s="967"/>
      <x:c r="O39" s="967"/>
      <x:c r="P39" s="967"/>
      <x:c r="Q39" s="967"/>
    </x:row>
    <x:row r="40" ht="30" hidden="0" customHeight="1">
      <x:c r="A40" s="971" t="str">
        <x:v>Growth Activity</x:v>
      </x:c>
      <x:c r="B40" s="971" t="str">
        <x:v>선택 Stat +1</x:v>
      </x:c>
      <x:c r="C40" s="971" t="str">
        <x:v>2h 소비 / Will 회복을 고르면 XP0</x:v>
      </x:c>
      <x:c r="D40" s="971" t="str">
        <x:v>남는 시간으로 보완은 가능하되 느림</x:v>
      </x:c>
      <x:c r="E40" s="971"/>
      <x:c r="F40" s="971"/>
      <x:c r="G40" s="971"/>
      <x:c r="H40" s="971"/>
      <x:c r="I40" s="971"/>
      <x:c r="J40" s="971"/>
      <x:c r="K40" s="971"/>
      <x:c r="L40" s="971"/>
      <x:c r="M40" s="971"/>
      <x:c r="N40" s="971"/>
      <x:c r="O40" s="971"/>
      <x:c r="P40" s="971"/>
      <x:c r="Q40" s="971"/>
    </x:row>
    <x:row r="41" ht="24" hidden="0" customHeight="1">
      <x:c r="A41" s="967" t="str">
        <x:v>Strategic Pivot</x:v>
      </x:c>
      <x:c r="B41" s="967" t="str">
        <x:v>선택지별 +2~3</x:v>
      </x:c>
      <x:c r="C41" s="967" t="str">
        <x:v>22_BalancePatch_v1.1 기준</x:v>
      </x:c>
      <x:c r="D41" s="967" t="str">
        <x:v>공략의 주 공급</x:v>
      </x:c>
      <x:c r="E41" s="967"/>
      <x:c r="F41" s="967"/>
      <x:c r="G41" s="967"/>
      <x:c r="H41" s="967"/>
      <x:c r="I41" s="967"/>
      <x:c r="J41" s="967"/>
      <x:c r="K41" s="967"/>
      <x:c r="L41" s="967"/>
      <x:c r="M41" s="967"/>
      <x:c r="N41" s="967"/>
      <x:c r="O41" s="967"/>
      <x:c r="P41" s="967"/>
      <x:c r="Q41" s="967"/>
    </x:row>
    <x:row r="42" ht="30" hidden="0" customHeight="1">
      <x:c r="A42" s="971" t="str">
        <x:v>Focus / Deepening</x:v>
      </x:c>
      <x:c r="B42" s="971" t="str">
        <x:v>관련 Stat +1 후보</x:v>
      </x:c>
      <x:c r="C42" s="971" t="str">
        <x:v>Full Route 자격을 실제로 깊게 판 장면</x:v>
      </x:c>
      <x:c r="D42" s="971" t="str">
        <x:v>Route 투자 보조</x:v>
      </x:c>
      <x:c r="E42" s="971"/>
      <x:c r="F42" s="971"/>
      <x:c r="G42" s="971"/>
      <x:c r="H42" s="971"/>
      <x:c r="I42" s="971"/>
      <x:c r="J42" s="971"/>
      <x:c r="K42" s="971"/>
      <x:c r="L42" s="971"/>
      <x:c r="M42" s="971"/>
      <x:c r="N42" s="971"/>
      <x:c r="O42" s="971"/>
      <x:c r="P42" s="971"/>
      <x:c r="Q42" s="971"/>
    </x:row>
    <x:row r="43" ht="36" hidden="0" customHeight="1">
      <x:c r="A43" s="967" t="str">
        <x:v>표준 Repair / Preserve</x:v>
      </x:c>
      <x:c r="B43" s="967" t="str">
        <x:v>0</x:v>
      </x:c>
      <x:c r="C43" s="967" t="str">
        <x:v>Research Restoration 선택 시 기술+1, 특별 위험 해법은 별도</x:v>
      </x:c>
      <x:c r="D43" s="967" t="str">
        <x:v>수리/보존 반복이 자동 레벨업 루프가 되는 것 방지</x:v>
      </x:c>
      <x:c r="E43" s="967"/>
      <x:c r="F43" s="967"/>
      <x:c r="G43" s="967"/>
      <x:c r="H43" s="967"/>
      <x:c r="I43" s="967"/>
      <x:c r="J43" s="967"/>
      <x:c r="K43" s="967"/>
      <x:c r="L43" s="967"/>
      <x:c r="M43" s="967"/>
      <x:c r="N43" s="967"/>
      <x:c r="O43" s="967"/>
      <x:c r="P43" s="967"/>
      <x:c r="Q43" s="967"/>
    </x:row>
    <x:row r="44" ht="36" hidden="0" customHeight="1">
      <x:c r="A44" s="967" t="str">
        <x:v>Emergency 직접해결</x:v>
      </x:c>
      <x:c r="B44" s="967" t="str">
        <x:v>사용 Stat +1</x:v>
      </x:c>
      <x:c r="C44" s="967" t="str">
        <x:v>NPC/기본4h/Will-only 해결은 XP0, Root당 1회</x:v>
      </x:c>
      <x:c r="D44" s="967" t="str">
        <x:v>실제로 자신의 능력으로 위기를 돌파했을 때만 성장</x:v>
      </x:c>
      <x:c r="E44" s="967"/>
      <x:c r="F44" s="967"/>
      <x:c r="G44" s="967"/>
      <x:c r="H44" s="967"/>
      <x:c r="I44" s="967"/>
      <x:c r="J44" s="967"/>
      <x:c r="K44" s="967"/>
      <x:c r="L44" s="967"/>
      <x:c r="M44" s="967"/>
      <x:c r="N44" s="967"/>
      <x:c r="O44" s="967"/>
      <x:c r="P44" s="967"/>
      <x:c r="Q44" s="967"/>
    </x:row>
    <x:row r="45" ht="30" hidden="0" customHeight="1">
      <x:c r="A45" s="971" t="str">
        <x:v>Full Route Mastery</x:v>
      </x:c>
      <x:c r="B45" s="971" t="str">
        <x:v>관련 Stat +6</x:v>
      </x:c>
      <x:c r="C45" s="971" t="str">
        <x:v>Final 조건 충족</x:v>
      </x:c>
      <x:c r="D45" s="971" t="str">
        <x:v>+1Lv 클라이맥스</x:v>
      </x:c>
      <x:c r="E45" s="971"/>
      <x:c r="F45" s="971"/>
      <x:c r="G45" s="971"/>
      <x:c r="H45" s="971"/>
      <x:c r="I45" s="971"/>
      <x:c r="J45" s="971"/>
      <x:c r="K45" s="971"/>
      <x:c r="L45" s="971"/>
      <x:c r="M45" s="971"/>
      <x:c r="N45" s="971"/>
      <x:c r="O45" s="971"/>
      <x:c r="P45" s="971"/>
      <x:c r="Q45" s="971"/>
    </x:row>
    <x:row r="46" ht="15" hidden="0" customHeight="1">
      <x:c r="A46" s="967"/>
      <x:c r="B46" s="967"/>
      <x:c r="C46" s="967"/>
      <x:c r="D46" s="967"/>
      <x:c r="E46" s="967"/>
      <x:c r="F46" s="967"/>
      <x:c r="G46" s="967"/>
      <x:c r="H46" s="967"/>
      <x:c r="I46" s="967"/>
      <x:c r="J46" s="967"/>
      <x:c r="K46" s="967"/>
      <x:c r="L46" s="967"/>
      <x:c r="M46" s="967"/>
      <x:c r="N46" s="967"/>
      <x:c r="O46" s="967"/>
      <x:c r="P46" s="967"/>
      <x:c r="Q46" s="967"/>
    </x:row>
    <x:row r="47" ht="26" hidden="0" customHeight="1">
      <x:c r="A47" s="980" t="str">
        <x:v>6. 모든 ActionID XP Draft</x:v>
      </x:c>
      <x:c r="B47" s="980"/>
      <x:c r="C47" s="980"/>
      <x:c r="D47" s="980"/>
      <x:c r="E47" s="980"/>
      <x:c r="F47" s="980"/>
      <x:c r="G47" s="980"/>
      <x:c r="H47" s="980"/>
      <x:c r="I47" s="980"/>
      <x:c r="J47" s="980"/>
      <x:c r="K47" s="980"/>
      <x:c r="L47" s="980"/>
      <x:c r="M47" s="980"/>
      <x:c r="N47" s="980"/>
      <x:c r="O47" s="980"/>
      <x:c r="P47" s="980"/>
      <x:c r="Q47" s="980"/>
    </x:row>
    <x:row r="48" ht="30" hidden="0" customHeight="1">
      <x:c r="A48" s="983" t="str">
        <x:v>ActionID</x:v>
      </x:c>
      <x:c r="B48" s="983" t="str">
        <x:v>Day</x:v>
      </x:c>
      <x:c r="C48" s="983" t="str">
        <x:v>Week</x:v>
      </x:c>
      <x:c r="D48" s="983" t="str">
        <x:v>Type</x:v>
      </x:c>
      <x:c r="E48" s="983" t="str">
        <x:v>콘텐츠</x:v>
      </x:c>
      <x:c r="F48" s="983" t="str">
        <x:v>고정 강인함</x:v>
      </x:c>
      <x:c r="G48" s="983" t="str">
        <x:v>고정 교감</x:v>
      </x:c>
      <x:c r="H48" s="983" t="str">
        <x:v>고정 기술</x:v>
      </x:c>
      <x:c r="I48" s="983" t="str">
        <x:v>조건부 XP</x:v>
      </x:c>
      <x:c r="J48" s="983" t="str">
        <x:v>설계 이유</x:v>
      </x:c>
      <x:c r="K48" s="983" t="str">
        <x:v>상태</x:v>
      </x:c>
      <x:c r="L48" s="983"/>
      <x:c r="M48" s="983" t="str">
        <x:v>요약</x:v>
      </x:c>
      <x:c r="N48" s="983" t="str">
        <x:v>W1</x:v>
      </x:c>
      <x:c r="O48" s="983" t="str">
        <x:v>W2</x:v>
      </x:c>
      <x:c r="P48" s="983" t="str">
        <x:v>W3</x:v>
      </x:c>
      <x:c r="Q48" s="983" t="str">
        <x:v>비고</x:v>
      </x:c>
    </x:row>
    <x:row r="49" ht="24" hidden="0" customHeight="1">
      <x:c r="A49" s="967" t="str">
        <x:v>W1D1_01</x:v>
      </x:c>
      <x:c r="B49" s="967" t="n">
        <x:v>1</x:v>
      </x:c>
      <x:c r="C49" s="967" t="str">
        <x:v>W1</x:v>
      </x:c>
      <x:c r="D49" s="967" t="str">
        <x:v>SYSTEM</x:v>
      </x:c>
      <x:c r="E49" s="967" t="str">
        <x:v>시작 능력치 6Lv 배분</x:v>
      </x:c>
      <x:c r="F49" s="967" t="n">
        <x:v>0</x:v>
      </x:c>
      <x:c r="G49" s="967" t="n">
        <x:v>0</x:v>
      </x:c>
      <x:c r="H49" s="967" t="n">
        <x:v>0</x:v>
      </x:c>
      <x:c r="I49" s="967" t="str"/>
      <x:c r="J49" s="967" t="str">
        <x:v>진행/상태 변화 자체에는 XP 없음</x:v>
      </x:c>
      <x:c r="K49" s="967" t="str">
        <x:v>초안</x:v>
      </x:c>
      <x:c r="L49" s="967"/>
      <x:c r="M49" s="967" t="str">
        <x:v>고정 XP 합계</x:v>
      </x:c>
      <x:c r="N49" s="967" t="n">
        <x:v>3</x:v>
      </x:c>
      <x:c r="O49" s="967" t="n">
        <x:v>2</x:v>
      </x:c>
      <x:c r="P49" s="967" t="n">
        <x:v>0</x:v>
      </x:c>
      <x:c r="Q49" s="967" t="str">
        <x:v>조건부 제외</x:v>
      </x:c>
    </x:row>
    <x:row r="50" ht="36" hidden="0" customHeight="1">
      <x:c r="A50" s="967" t="str">
        <x:v>W1D1_02</x:v>
      </x:c>
      <x:c r="B50" s="967" t="n">
        <x:v>1</x:v>
      </x:c>
      <x:c r="C50" s="967" t="str">
        <x:v>W1</x:v>
      </x:c>
      <x:c r="D50" s="967" t="str">
        <x:v>MAIN</x:v>
      </x:c>
      <x:c r="E50" s="967" t="str">
        <x:v>벤자민에게 깨어난 직후 현재 상황 듣기</x:v>
      </x:c>
      <x:c r="F50" s="967" t="n">
        <x:v>0</x:v>
      </x:c>
      <x:c r="G50" s="967" t="n">
        <x:v>0</x:v>
      </x:c>
      <x:c r="H50" s="967" t="n">
        <x:v>0</x:v>
      </x:c>
      <x:c r="I50" s="967" t="str"/>
      <x:c r="J50" s="967" t="str">
        <x:v>일반 Main 진행 XP0 — 명시된 조사/Pivot만 성장</x:v>
      </x:c>
      <x:c r="K50" s="967" t="str">
        <x:v>초안</x:v>
      </x:c>
      <x:c r="L50" s="967"/>
      <x:c r="M50" s="967" t="str">
        <x:v>Strategic Pivot 수</x:v>
      </x:c>
      <x:c r="N50" s="967" t="n">
        <x:v>2</x:v>
      </x:c>
      <x:c r="O50" s="967" t="n">
        <x:v>6</x:v>
      </x:c>
      <x:c r="P50" s="967" t="n">
        <x:v>0</x:v>
      </x:c>
      <x:c r="Q50" s="967" t="str">
        <x:v>핵심 +2~3 XP</x:v>
      </x:c>
    </x:row>
    <x:row r="51" ht="36" hidden="0" customHeight="1">
      <x:c r="A51" s="967" t="str">
        <x:v>W1D1_03</x:v>
      </x:c>
      <x:c r="B51" s="967" t="n">
        <x:v>1</x:v>
      </x:c>
      <x:c r="C51" s="967" t="str">
        <x:v>W1</x:v>
      </x:c>
      <x:c r="D51" s="967" t="str">
        <x:v>MAIN</x:v>
      </x:c>
      <x:c r="E51" s="967" t="str">
        <x:v>핵심 동료 재회 진행 — 첫 2명</x:v>
      </x:c>
      <x:c r="F51" s="967" t="n">
        <x:v>0</x:v>
      </x:c>
      <x:c r="G51" s="967" t="n">
        <x:v>0</x:v>
      </x:c>
      <x:c r="H51" s="967" t="n">
        <x:v>0</x:v>
      </x:c>
      <x:c r="I51" s="967" t="str"/>
      <x:c r="J51" s="967" t="str">
        <x:v>일반 Main 진행 XP0 — 명시된 조사/Pivot만 성장</x:v>
      </x:c>
      <x:c r="K51" s="967" t="str">
        <x:v>초안</x:v>
      </x:c>
      <x:c r="L51" s="967"/>
      <x:c r="M51" s="967" t="str">
        <x:v>Growth Activity 수</x:v>
      </x:c>
      <x:c r="N51" s="967" t="n">
        <x:v>5</x:v>
      </x:c>
      <x:c r="O51" s="967" t="n">
        <x:v>6</x:v>
      </x:c>
      <x:c r="P51" s="967" t="n">
        <x:v>0</x:v>
      </x:c>
      <x:c r="Q51" s="967" t="str">
        <x:v>각 2h, 원하는 Stat +1</x:v>
      </x:c>
    </x:row>
    <x:row r="52" ht="36" hidden="0" customHeight="1">
      <x:c r="A52" s="967" t="str">
        <x:v>W1D1_04</x:v>
      </x:c>
      <x:c r="B52" s="967" t="n">
        <x:v>1</x:v>
      </x:c>
      <x:c r="C52" s="967" t="str">
        <x:v>W1</x:v>
      </x:c>
      <x:c r="D52" s="967" t="str">
        <x:v>CHARACTER</x:v>
      </x:c>
      <x:c r="E52" s="967" t="str">
        <x:v>벤자민과 묘지를 걷고 남겨진 이름 듣기</x:v>
      </x:c>
      <x:c r="F52" s="967" t="n">
        <x:v>0</x:v>
      </x:c>
      <x:c r="G52" s="967" t="n">
        <x:v>0</x:v>
      </x:c>
      <x:c r="H52" s="967" t="n">
        <x:v>0</x:v>
      </x:c>
      <x:c r="I52" s="967" t="str"/>
      <x:c r="J52" s="967" t="str">
        <x:v>일반 감정 장면은 XP0 — Pivot/Deepening일 때만 성장</x:v>
      </x:c>
      <x:c r="K52" s="967" t="str">
        <x:v>초안</x:v>
      </x:c>
      <x:c r="L52" s="967"/>
      <x:c r="M52" s="967" t="str">
        <x:v>직접 Emergency XP 기회</x:v>
      </x:c>
      <x:c r="N52" s="967" t="n">
        <x:v>0</x:v>
      </x:c>
      <x:c r="O52" s="967" t="n">
        <x:v>1</x:v>
      </x:c>
      <x:c r="P52" s="967" t="n">
        <x:v>7</x:v>
      </x:c>
      <x:c r="Q52" s="967" t="str">
        <x:v>실제로 Jay Stat 해결 시만</x:v>
      </x:c>
    </x:row>
    <x:row r="53" ht="24" hidden="0" customHeight="1">
      <x:c r="A53" s="967" t="str">
        <x:v>W1D1_05</x:v>
      </x:c>
      <x:c r="B53" s="967" t="n">
        <x:v>1</x:v>
      </x:c>
      <x:c r="C53" s="967" t="str">
        <x:v>W1</x:v>
      </x:c>
      <x:c r="D53" s="967" t="str">
        <x:v>ACTIVITY</x:v>
      </x:c>
      <x:c r="E53" s="967" t="str">
        <x:v>수송선의 현재 상태를 처음 점검하기</x:v>
      </x:c>
      <x:c r="F53" s="967" t="n">
        <x:v>0</x:v>
      </x:c>
      <x:c r="G53" s="967" t="n">
        <x:v>0</x:v>
      </x:c>
      <x:c r="H53" s="967" t="n">
        <x:v>0</x:v>
      </x:c>
      <x:c r="I53" s="967" t="str"/>
      <x:c r="J53" s="967" t="str">
        <x:v>기본 XP0</x:v>
      </x:c>
      <x:c r="K53" s="967" t="str">
        <x:v>초안</x:v>
      </x:c>
      <x:c r="L53" s="967"/>
      <x:c r="M53" s="967" t="str">
        <x:v>Mastery +6 후보</x:v>
      </x:c>
      <x:c r="N53" s="967" t="n">
        <x:v>0</x:v>
      </x:c>
      <x:c r="O53" s="967" t="n">
        <x:v>0</x:v>
      </x:c>
      <x:c r="P53" s="967" t="n">
        <x:v>6</x:v>
      </x:c>
      <x:c r="Q53" s="967" t="str">
        <x:v>Full Route만</x:v>
      </x:c>
    </x:row>
    <x:row r="54" ht="24" hidden="0" customHeight="1">
      <x:c r="A54" s="967" t="str">
        <x:v>W1D1_06</x:v>
      </x:c>
      <x:c r="B54" s="967" t="n">
        <x:v>1</x:v>
      </x:c>
      <x:c r="C54" s="967" t="str">
        <x:v>W1</x:v>
      </x:c>
      <x:c r="D54" s="967" t="str">
        <x:v>ACTIVITY</x:v>
      </x:c>
      <x:c r="E54" s="967" t="str">
        <x:v>일반 대화·상황 파악 슬롯</x:v>
      </x:c>
      <x:c r="F54" s="967" t="n">
        <x:v>0</x:v>
      </x:c>
      <x:c r="G54" s="967" t="n">
        <x:v>0</x:v>
      </x:c>
      <x:c r="H54" s="967" t="n">
        <x:v>0</x:v>
      </x:c>
      <x:c r="I54" s="967" t="str"/>
      <x:c r="J54" s="967" t="str">
        <x:v>기본 XP0</x:v>
      </x:c>
      <x:c r="K54" s="967" t="str">
        <x:v>초안</x:v>
      </x:c>
      <x:c r="L54" s="967"/>
      <x:c r="M54" s="967"/>
      <x:c r="N54" s="967"/>
      <x:c r="O54" s="967"/>
      <x:c r="P54" s="967"/>
      <x:c r="Q54" s="967"/>
    </x:row>
    <x:row r="55" ht="36" hidden="0" customHeight="1">
      <x:c r="A55" s="967" t="str">
        <x:v>W1D2_01</x:v>
      </x:c>
      <x:c r="B55" s="967" t="n">
        <x:v>2</x:v>
      </x:c>
      <x:c r="C55" s="967" t="str">
        <x:v>W1</x:v>
      </x:c>
      <x:c r="D55" s="967" t="str">
        <x:v>MAIN</x:v>
      </x:c>
      <x:c r="E55" s="967" t="str">
        <x:v>핵심 동료 재회 완료 — 남은 인물들</x:v>
      </x:c>
      <x:c r="F55" s="967" t="n">
        <x:v>0</x:v>
      </x:c>
      <x:c r="G55" s="967" t="n">
        <x:v>0</x:v>
      </x:c>
      <x:c r="H55" s="967" t="n">
        <x:v>0</x:v>
      </x:c>
      <x:c r="I55" s="967" t="str"/>
      <x:c r="J55" s="967" t="str">
        <x:v>일반 Main 진행 XP0 — 명시된 조사/Pivot만 성장</x:v>
      </x:c>
      <x:c r="K55" s="967" t="str">
        <x:v>초안</x:v>
      </x:c>
      <x:c r="L55" s="967"/>
      <x:c r="M55" s="967" t="str">
        <x:v>XP 초안 해석: '목표 성장곡선'은 하드 캡이 아니라 대표적인 집중 플레이의 도달선으로 본다. 완벽 공략이 Pivot·Growth·직접 Emergency를 많이 챙기면 더 빠르게 성장할 수 있지만, 그만큼 수리·보존·Affinity 회복·Character 시간을 포기한다. 따라서 XP 자체를 주차별로 강제 컷하지 않고, 실제 시간 경쟁이 과성장을 막게 한다. 다만 모든 Action 대사가 완성된 뒤 XP 과잉 루트는 마지막으로 다시 시뮬레이션해야 한다.</x:v>
      </x:c>
      <x:c r="N55" s="967"/>
      <x:c r="O55" s="967"/>
      <x:c r="P55" s="967"/>
      <x:c r="Q55" s="967"/>
    </x:row>
    <x:row r="56" ht="36" hidden="0" customHeight="1">
      <x:c r="A56" s="967" t="str">
        <x:v>W1D2_02</x:v>
      </x:c>
      <x:c r="B56" s="967" t="n">
        <x:v>2</x:v>
      </x:c>
      <x:c r="C56" s="967" t="str">
        <x:v>W1</x:v>
      </x:c>
      <x:c r="D56" s="967" t="str">
        <x:v>CHARACTER</x:v>
      </x:c>
      <x:c r="E56" s="967" t="str">
        <x:v>항해 중 의지하던 지나와 10년 시간차를 체감하는 첫 어긋남</x:v>
      </x:c>
      <x:c r="F56" s="967" t="n">
        <x:v>0</x:v>
      </x:c>
      <x:c r="G56" s="967" t="n">
        <x:v>0</x:v>
      </x:c>
      <x:c r="H56" s="967" t="n">
        <x:v>0</x:v>
      </x:c>
      <x:c r="I56" s="967" t="str"/>
      <x:c r="J56" s="967" t="str">
        <x:v>일반 감정 장면은 XP0 — Pivot/Deepening일 때만 성장</x:v>
      </x:c>
      <x:c r="K56" s="967" t="str">
        <x:v>초안</x:v>
      </x:c>
      <x:c r="L56" s="967"/>
      <x:c r="M56" s="967"/>
      <x:c r="N56" s="967"/>
      <x:c r="O56" s="967"/>
      <x:c r="P56" s="967"/>
      <x:c r="Q56" s="967"/>
    </x:row>
    <x:row r="57" ht="36" hidden="0" customHeight="1">
      <x:c r="A57" s="967" t="str">
        <x:v>W1D2_03</x:v>
      </x:c>
      <x:c r="B57" s="967" t="n">
        <x:v>2</x:v>
      </x:c>
      <x:c r="C57" s="967" t="str">
        <x:v>W1</x:v>
      </x:c>
      <x:c r="D57" s="967" t="str">
        <x:v>CHARACTER</x:v>
      </x:c>
      <x:c r="E57" s="967" t="str">
        <x:v>디야와 아이들의 생활공간 둘러보기</x:v>
      </x:c>
      <x:c r="F57" s="967" t="n">
        <x:v>0</x:v>
      </x:c>
      <x:c r="G57" s="967" t="n">
        <x:v>0</x:v>
      </x:c>
      <x:c r="H57" s="967" t="n">
        <x:v>0</x:v>
      </x:c>
      <x:c r="I57" s="967" t="str"/>
      <x:c r="J57" s="967" t="str">
        <x:v>일반 감정 장면은 XP0 — Pivot/Deepening일 때만 성장</x:v>
      </x:c>
      <x:c r="K57" s="967" t="str">
        <x:v>초안</x:v>
      </x:c>
      <x:c r="L57" s="967"/>
      <x:c r="M57" s="967"/>
      <x:c r="N57" s="967"/>
      <x:c r="O57" s="967"/>
      <x:c r="P57" s="967"/>
      <x:c r="Q57" s="967"/>
    </x:row>
    <x:row r="58" ht="24" hidden="0" customHeight="1">
      <x:c r="A58" s="967" t="str">
        <x:v>W1D2_04</x:v>
      </x:c>
      <x:c r="B58" s="967" t="n">
        <x:v>2</x:v>
      </x:c>
      <x:c r="C58" s="967" t="str">
        <x:v>W1</x:v>
      </x:c>
      <x:c r="D58" s="967" t="str">
        <x:v>ACTIVITY</x:v>
      </x:c>
      <x:c r="E58" s="967" t="str">
        <x:v>페이의 짧은 장비 정리 돕기</x:v>
      </x:c>
      <x:c r="F58" s="967" t="n">
        <x:v>0</x:v>
      </x:c>
      <x:c r="G58" s="967" t="n">
        <x:v>0</x:v>
      </x:c>
      <x:c r="H58" s="967" t="n">
        <x:v>0</x:v>
      </x:c>
      <x:c r="I58" s="967" t="str"/>
      <x:c r="J58" s="967" t="str">
        <x:v>기본 XP0</x:v>
      </x:c>
      <x:c r="K58" s="967" t="str">
        <x:v>초안</x:v>
      </x:c>
      <x:c r="L58" s="967"/>
      <x:c r="M58" s="967"/>
      <x:c r="N58" s="967"/>
      <x:c r="O58" s="967"/>
      <x:c r="P58" s="967"/>
      <x:c r="Q58" s="967"/>
    </x:row>
    <x:row r="59" ht="24" hidden="0" customHeight="1">
      <x:c r="A59" s="967" t="str">
        <x:v>W1D2_05</x:v>
      </x:c>
      <x:c r="B59" s="967" t="n">
        <x:v>2</x:v>
      </x:c>
      <x:c r="C59" s="967" t="str">
        <x:v>W1</x:v>
      </x:c>
      <x:c r="D59" s="967" t="str">
        <x:v>ACTIVITY</x:v>
      </x:c>
      <x:c r="E59" s="967" t="str">
        <x:v>보리치의 관측 기록 정리 돕기</x:v>
      </x:c>
      <x:c r="F59" s="967" t="n">
        <x:v>0</x:v>
      </x:c>
      <x:c r="G59" s="967" t="n">
        <x:v>0</x:v>
      </x:c>
      <x:c r="H59" s="967" t="n">
        <x:v>0</x:v>
      </x:c>
      <x:c r="I59" s="967" t="str"/>
      <x:c r="J59" s="967" t="str">
        <x:v>기본 XP0</x:v>
      </x:c>
      <x:c r="K59" s="967" t="str">
        <x:v>초안</x:v>
      </x:c>
      <x:c r="L59" s="967"/>
      <x:c r="M59" s="967"/>
      <x:c r="N59" s="967"/>
      <x:c r="O59" s="967"/>
      <x:c r="P59" s="967"/>
      <x:c r="Q59" s="967"/>
    </x:row>
    <x:row r="60" ht="24" hidden="0" customHeight="1">
      <x:c r="A60" s="967" t="str">
        <x:v>W1D2_06</x:v>
      </x:c>
      <x:c r="B60" s="967" t="n">
        <x:v>2</x:v>
      </x:c>
      <x:c r="C60" s="967" t="str">
        <x:v>W1</x:v>
      </x:c>
      <x:c r="D60" s="967" t="str">
        <x:v>SIDE</x:v>
      </x:c>
      <x:c r="E60" s="967" t="str">
        <x:v>18:00 이후 야간조 대표와 첫 인계 대화</x:v>
      </x:c>
      <x:c r="F60" s="967" t="n">
        <x:v>0</x:v>
      </x:c>
      <x:c r="G60" s="967" t="n">
        <x:v>0</x:v>
      </x:c>
      <x:c r="H60" s="967" t="n">
        <x:v>0</x:v>
      </x:c>
      <x:c r="I60" s="967" t="str"/>
      <x:c r="J60" s="967" t="str">
        <x:v>Side 기본 XP0 — 특별 실험/Deepening만 예외</x:v>
      </x:c>
      <x:c r="K60" s="967" t="str">
        <x:v>초안</x:v>
      </x:c>
      <x:c r="L60" s="967"/>
      <x:c r="M60" s="967"/>
      <x:c r="N60" s="967"/>
      <x:c r="O60" s="967"/>
      <x:c r="P60" s="967"/>
      <x:c r="Q60" s="967"/>
    </x:row>
    <x:row r="61" ht="24" hidden="0" customHeight="1">
      <x:c r="A61" s="967" t="str">
        <x:v>W1D2_07</x:v>
      </x:c>
      <x:c r="B61" s="967" t="n">
        <x:v>2</x:v>
      </x:c>
      <x:c r="C61" s="967" t="str">
        <x:v>W1</x:v>
      </x:c>
      <x:c r="D61" s="967" t="str">
        <x:v>ACTIVITY</x:v>
      </x:c>
      <x:c r="E61" s="967" t="str">
        <x:v>수송선 시설을 한 곳 더 자세히 확인</x:v>
      </x:c>
      <x:c r="F61" s="967" t="n">
        <x:v>0</x:v>
      </x:c>
      <x:c r="G61" s="967" t="n">
        <x:v>0</x:v>
      </x:c>
      <x:c r="H61" s="967" t="n">
        <x:v>0</x:v>
      </x:c>
      <x:c r="I61" s="967" t="str"/>
      <x:c r="J61" s="967" t="str">
        <x:v>기본 XP0</x:v>
      </x:c>
      <x:c r="K61" s="967" t="str">
        <x:v>초안</x:v>
      </x:c>
      <x:c r="L61" s="967"/>
      <x:c r="M61" s="967"/>
      <x:c r="N61" s="967"/>
      <x:c r="O61" s="967"/>
      <x:c r="P61" s="967"/>
      <x:c r="Q61" s="967"/>
    </x:row>
    <x:row r="62" ht="36" hidden="0" customHeight="1">
      <x:c r="A62" s="967" t="str">
        <x:v>W1D3_01</x:v>
      </x:c>
      <x:c r="B62" s="967" t="n">
        <x:v>3</x:v>
      </x:c>
      <x:c r="C62" s="967" t="str">
        <x:v>W1</x:v>
      </x:c>
      <x:c r="D62" s="967" t="str">
        <x:v>MAIN</x:v>
      </x:c>
      <x:c r="E62" s="967" t="str">
        <x:v>샘에게 오아시스 펌프·지하수 장기 안정성 조사 의뢰 받기</x:v>
      </x:c>
      <x:c r="F62" s="967" t="n">
        <x:v>0</x:v>
      </x:c>
      <x:c r="G62" s="967" t="n">
        <x:v>0</x:v>
      </x:c>
      <x:c r="H62" s="967" t="n">
        <x:v>0</x:v>
      </x:c>
      <x:c r="I62" s="967" t="str"/>
      <x:c r="J62" s="967" t="str">
        <x:v>일반 Main 진행 XP0 — 명시된 조사/Pivot만 성장</x:v>
      </x:c>
      <x:c r="K62" s="967" t="str">
        <x:v>초안</x:v>
      </x:c>
      <x:c r="L62" s="967"/>
      <x:c r="M62" s="967"/>
      <x:c r="N62" s="967"/>
      <x:c r="O62" s="967"/>
      <x:c r="P62" s="967"/>
      <x:c r="Q62" s="967"/>
    </x:row>
    <x:row r="63" ht="24" hidden="0" customHeight="1">
      <x:c r="A63" s="967" t="str">
        <x:v>W1D3_02</x:v>
      </x:c>
      <x:c r="B63" s="967" t="n">
        <x:v>3</x:v>
      </x:c>
      <x:c r="C63" s="967" t="str">
        <x:v>W1</x:v>
      </x:c>
      <x:c r="D63" s="967" t="str">
        <x:v>MAIN</x:v>
      </x:c>
      <x:c r="E63" s="967" t="str">
        <x:v>오아시스 조사 1단계 — 관찰</x:v>
      </x:c>
      <x:c r="F63" s="967" t="n">
        <x:v>0</x:v>
      </x:c>
      <x:c r="G63" s="967" t="n">
        <x:v>0</x:v>
      </x:c>
      <x:c r="H63" s="967" t="n">
        <x:v>1</x:v>
      </x:c>
      <x:c r="I63" s="967" t="str"/>
      <x:c r="J63" s="967" t="str">
        <x:v>핵심 조사/분석 단계</x:v>
      </x:c>
      <x:c r="K63" s="967" t="str">
        <x:v>초안</x:v>
      </x:c>
      <x:c r="L63" s="967"/>
      <x:c r="M63" s="967"/>
      <x:c r="N63" s="967"/>
      <x:c r="O63" s="967"/>
      <x:c r="P63" s="967"/>
      <x:c r="Q63" s="967"/>
    </x:row>
    <x:row r="64" ht="36" hidden="0" customHeight="1">
      <x:c r="A64" s="967" t="str">
        <x:v>W1D3_03</x:v>
      </x:c>
      <x:c r="B64" s="967" t="n">
        <x:v>3</x:v>
      </x:c>
      <x:c r="C64" s="967" t="str">
        <x:v>W1</x:v>
      </x:c>
      <x:c r="D64" s="967" t="str">
        <x:v>CHARACTER</x:v>
      </x:c>
      <x:c r="E64" s="967" t="str">
        <x:v>샘의 책임 부담 Episode 1 들어주기</x:v>
      </x:c>
      <x:c r="F64" s="967" t="n">
        <x:v>0</x:v>
      </x:c>
      <x:c r="G64" s="967" t="n">
        <x:v>0</x:v>
      </x:c>
      <x:c r="H64" s="967" t="n">
        <x:v>0</x:v>
      </x:c>
      <x:c r="I64" s="967" t="str"/>
      <x:c r="J64" s="967" t="str">
        <x:v>일반 감정 장면은 XP0 — Pivot/Deepening일 때만 성장</x:v>
      </x:c>
      <x:c r="K64" s="967" t="str">
        <x:v>초안</x:v>
      </x:c>
      <x:c r="L64" s="967"/>
      <x:c r="M64" s="967"/>
      <x:c r="N64" s="967"/>
      <x:c r="O64" s="967"/>
      <x:c r="P64" s="967"/>
      <x:c r="Q64" s="967"/>
    </x:row>
    <x:row r="65" ht="36" hidden="0" customHeight="1">
      <x:c r="A65" s="967" t="str">
        <x:v>W1D3_04</x:v>
      </x:c>
      <x:c r="B65" s="967" t="n">
        <x:v>3</x:v>
      </x:c>
      <x:c r="C65" s="967" t="str">
        <x:v>W1</x:v>
      </x:c>
      <x:c r="D65" s="967" t="str">
        <x:v>CHARACTER</x:v>
      </x:c>
      <x:c r="E65" s="967" t="str">
        <x:v>보리치와 관측 자료 대조하기</x:v>
      </x:c>
      <x:c r="F65" s="967" t="n">
        <x:v>0</x:v>
      </x:c>
      <x:c r="G65" s="967" t="n">
        <x:v>0</x:v>
      </x:c>
      <x:c r="H65" s="967" t="n">
        <x:v>0</x:v>
      </x:c>
      <x:c r="I65" s="967" t="str"/>
      <x:c r="J65" s="967" t="str">
        <x:v>일반 감정 장면은 XP0 — Pivot/Deepening일 때만 성장</x:v>
      </x:c>
      <x:c r="K65" s="967" t="str">
        <x:v>초안</x:v>
      </x:c>
      <x:c r="L65" s="967"/>
      <x:c r="M65" s="967"/>
      <x:c r="N65" s="967"/>
      <x:c r="O65" s="967"/>
      <x:c r="P65" s="967"/>
      <x:c r="Q65" s="967"/>
    </x:row>
    <x:row r="66" ht="24" hidden="0" customHeight="1">
      <x:c r="A66" s="967" t="str">
        <x:v>W1D3_05</x:v>
      </x:c>
      <x:c r="B66" s="967" t="n">
        <x:v>3</x:v>
      </x:c>
      <x:c r="C66" s="967" t="str">
        <x:v>W1</x:v>
      </x:c>
      <x:c r="D66" s="967" t="str">
        <x:v>REPAIR</x:v>
      </x:c>
      <x:c r="E66" s="967" t="str">
        <x:v>수송선 시설 1회 복구</x:v>
      </x:c>
      <x:c r="F66" s="967" t="n">
        <x:v>0</x:v>
      </x:c>
      <x:c r="G66" s="967" t="n">
        <x:v>0</x:v>
      </x:c>
      <x:c r="H66" s="967" t="n">
        <x:v>0</x:v>
      </x:c>
      <x:c r="I66" s="967" t="str">
        <x:v>Research Restoration을 선택한 경우 기술 +1 (Run 최대3회)</x:v>
      </x:c>
      <x:c r="J66" s="967" t="str">
        <x:v>Hidden 연구투자의 즉시 보상</x:v>
      </x:c>
      <x:c r="K66" s="967" t="str">
        <x:v>TEMP 후보</x:v>
      </x:c>
      <x:c r="L66" s="967"/>
      <x:c r="M66" s="967"/>
      <x:c r="N66" s="967"/>
      <x:c r="O66" s="967"/>
      <x:c r="P66" s="967"/>
      <x:c r="Q66" s="967"/>
    </x:row>
    <x:row r="67" ht="24" hidden="0" customHeight="1">
      <x:c r="A67" s="967" t="str">
        <x:v>W1D3_06</x:v>
      </x:c>
      <x:c r="B67" s="967" t="n">
        <x:v>3</x:v>
      </x:c>
      <x:c r="C67" s="967" t="str">
        <x:v>W1</x:v>
      </x:c>
      <x:c r="D67" s="967" t="str">
        <x:v>ACTIVITY</x:v>
      </x:c>
      <x:c r="E67" s="967" t="str">
        <x:v>성장용 생활 Activity</x:v>
      </x:c>
      <x:c r="F67" s="967" t="n">
        <x:v>0</x:v>
      </x:c>
      <x:c r="G67" s="967" t="n">
        <x:v>0</x:v>
      </x:c>
      <x:c r="H67" s="967" t="n">
        <x:v>0</x:v>
      </x:c>
      <x:c r="I67" s="967" t="str">
        <x:v>2h 성장 선택 시 원하는 Stat +1 / 휴식 선택 시 XP0</x:v>
      </x:c>
      <x:c r="J67" s="967" t="str">
        <x:v>느린 보완 성장</x:v>
      </x:c>
      <x:c r="K67" s="967" t="str">
        <x:v>초안</x:v>
      </x:c>
      <x:c r="L67" s="967"/>
      <x:c r="M67" s="967"/>
      <x:c r="N67" s="967"/>
      <x:c r="O67" s="967"/>
      <x:c r="P67" s="967"/>
      <x:c r="Q67" s="967"/>
    </x:row>
    <x:row r="68" ht="24" hidden="0" customHeight="1">
      <x:c r="A68" s="967" t="str">
        <x:v>W1D4_01</x:v>
      </x:c>
      <x:c r="B68" s="967" t="n">
        <x:v>4</x:v>
      </x:c>
      <x:c r="C68" s="967" t="str">
        <x:v>W1</x:v>
      </x:c>
      <x:c r="D68" s="967" t="str">
        <x:v>MAIN</x:v>
      </x:c>
      <x:c r="E68" s="967" t="str">
        <x:v>오아시스 조사 2단계 — 가설 세우기</x:v>
      </x:c>
      <x:c r="F68" s="967" t="n">
        <x:v>0</x:v>
      </x:c>
      <x:c r="G68" s="967" t="n">
        <x:v>0</x:v>
      </x:c>
      <x:c r="H68" s="967" t="n">
        <x:v>1</x:v>
      </x:c>
      <x:c r="I68" s="967" t="str"/>
      <x:c r="J68" s="967" t="str">
        <x:v>핵심 조사/분석 단계</x:v>
      </x:c>
      <x:c r="K68" s="967" t="str">
        <x:v>초안</x:v>
      </x:c>
      <x:c r="L68" s="967"/>
      <x:c r="M68" s="967"/>
      <x:c r="N68" s="967"/>
      <x:c r="O68" s="967"/>
      <x:c r="P68" s="967"/>
      <x:c r="Q68" s="967"/>
    </x:row>
    <x:row r="69" ht="36" hidden="0" customHeight="1">
      <x:c r="A69" s="967" t="str">
        <x:v>W1D4_02</x:v>
      </x:c>
      <x:c r="B69" s="967" t="n">
        <x:v>4</x:v>
      </x:c>
      <x:c r="C69" s="967" t="str">
        <x:v>W1</x:v>
      </x:c>
      <x:c r="D69" s="967" t="str">
        <x:v>CHARACTER</x:v>
      </x:c>
      <x:c r="E69" s="967" t="str">
        <x:v>지나와 과거의 제이에 대해 이야기하기</x:v>
      </x:c>
      <x:c r="F69" s="967" t="n">
        <x:v>0</x:v>
      </x:c>
      <x:c r="G69" s="967" t="n">
        <x:v>0</x:v>
      </x:c>
      <x:c r="H69" s="967" t="n">
        <x:v>0</x:v>
      </x:c>
      <x:c r="I69" s="967" t="str"/>
      <x:c r="J69" s="967" t="str">
        <x:v>일반 감정 장면은 XP0 — Pivot/Deepening일 때만 성장</x:v>
      </x:c>
      <x:c r="K69" s="967" t="str">
        <x:v>초안</x:v>
      </x:c>
      <x:c r="L69" s="967"/>
      <x:c r="M69" s="967"/>
      <x:c r="N69" s="967"/>
      <x:c r="O69" s="967"/>
      <x:c r="P69" s="967"/>
      <x:c r="Q69" s="967"/>
    </x:row>
    <x:row r="70" ht="36" hidden="0" customHeight="1">
      <x:c r="A70" s="967" t="str">
        <x:v>W1D4_03</x:v>
      </x:c>
      <x:c r="B70" s="967" t="n">
        <x:v>4</x:v>
      </x:c>
      <x:c r="C70" s="967" t="str">
        <x:v>W1</x:v>
      </x:c>
      <x:c r="D70" s="967" t="str">
        <x:v>CHARACTER</x:v>
      </x:c>
      <x:c r="E70" s="967" t="str">
        <x:v>페이에게 음악/일렉 기타 꿈을 처음 듣기</x:v>
      </x:c>
      <x:c r="F70" s="967" t="n">
        <x:v>0</x:v>
      </x:c>
      <x:c r="G70" s="967" t="n">
        <x:v>0</x:v>
      </x:c>
      <x:c r="H70" s="967" t="n">
        <x:v>0</x:v>
      </x:c>
      <x:c r="I70" s="967" t="str"/>
      <x:c r="J70" s="967" t="str">
        <x:v>일반 감정 장면은 XP0 — Pivot/Deepening일 때만 성장</x:v>
      </x:c>
      <x:c r="K70" s="967" t="str">
        <x:v>초안</x:v>
      </x:c>
      <x:c r="L70" s="967"/>
      <x:c r="M70" s="967"/>
      <x:c r="N70" s="967"/>
      <x:c r="O70" s="967"/>
      <x:c r="P70" s="967"/>
      <x:c r="Q70" s="967"/>
    </x:row>
    <x:row r="71" ht="24" hidden="0" customHeight="1">
      <x:c r="A71" s="967" t="str">
        <x:v>W1D4_04</x:v>
      </x:c>
      <x:c r="B71" s="967" t="n">
        <x:v>4</x:v>
      </x:c>
      <x:c r="C71" s="967" t="str">
        <x:v>W1</x:v>
      </x:c>
      <x:c r="D71" s="967" t="str">
        <x:v>REPAIR</x:v>
      </x:c>
      <x:c r="E71" s="967" t="str">
        <x:v>수송선 시설 1회 복구</x:v>
      </x:c>
      <x:c r="F71" s="967" t="n">
        <x:v>0</x:v>
      </x:c>
      <x:c r="G71" s="967" t="n">
        <x:v>0</x:v>
      </x:c>
      <x:c r="H71" s="967" t="n">
        <x:v>0</x:v>
      </x:c>
      <x:c r="I71" s="967" t="str">
        <x:v>Research Restoration을 선택한 경우 기술 +1 (Run 최대3회)</x:v>
      </x:c>
      <x:c r="J71" s="967" t="str">
        <x:v>Hidden 연구투자의 즉시 보상</x:v>
      </x:c>
      <x:c r="K71" s="967" t="str">
        <x:v>TEMP 후보</x:v>
      </x:c>
      <x:c r="L71" s="967"/>
      <x:c r="M71" s="967"/>
      <x:c r="N71" s="967"/>
      <x:c r="O71" s="967"/>
      <x:c r="P71" s="967"/>
      <x:c r="Q71" s="967"/>
    </x:row>
    <x:row r="72" ht="24" hidden="0" customHeight="1">
      <x:c r="A72" s="967" t="str">
        <x:v>W1D4_05</x:v>
      </x:c>
      <x:c r="B72" s="967" t="n">
        <x:v>4</x:v>
      </x:c>
      <x:c r="C72" s="967" t="str">
        <x:v>W1</x:v>
      </x:c>
      <x:c r="D72" s="967" t="str">
        <x:v>ACTIVITY</x:v>
      </x:c>
      <x:c r="E72" s="967" t="str">
        <x:v>거주지의 생활 흔적을 관찰/돕기</x:v>
      </x:c>
      <x:c r="F72" s="967" t="n">
        <x:v>0</x:v>
      </x:c>
      <x:c r="G72" s="967" t="n">
        <x:v>0</x:v>
      </x:c>
      <x:c r="H72" s="967" t="n">
        <x:v>0</x:v>
      </x:c>
      <x:c r="I72" s="967" t="str"/>
      <x:c r="J72" s="967" t="str">
        <x:v>기본 XP0</x:v>
      </x:c>
      <x:c r="K72" s="967" t="str">
        <x:v>초안</x:v>
      </x:c>
      <x:c r="L72" s="967"/>
      <x:c r="M72" s="967"/>
      <x:c r="N72" s="967"/>
      <x:c r="O72" s="967"/>
      <x:c r="P72" s="967"/>
      <x:c r="Q72" s="967"/>
    </x:row>
    <x:row r="73" ht="24" hidden="0" customHeight="1">
      <x:c r="A73" s="967" t="str">
        <x:v>W1D4_06</x:v>
      </x:c>
      <x:c r="B73" s="967" t="n">
        <x:v>4</x:v>
      </x:c>
      <x:c r="C73" s="967" t="str">
        <x:v>W1</x:v>
      </x:c>
      <x:c r="D73" s="967" t="str">
        <x:v>ACTIVITY</x:v>
      </x:c>
      <x:c r="E73" s="967" t="str">
        <x:v>성장용 생활 Activity</x:v>
      </x:c>
      <x:c r="F73" s="967" t="n">
        <x:v>0</x:v>
      </x:c>
      <x:c r="G73" s="967" t="n">
        <x:v>0</x:v>
      </x:c>
      <x:c r="H73" s="967" t="n">
        <x:v>0</x:v>
      </x:c>
      <x:c r="I73" s="967" t="str">
        <x:v>2h 성장 선택 시 원하는 Stat +1 / 휴식 선택 시 XP0</x:v>
      </x:c>
      <x:c r="J73" s="967" t="str">
        <x:v>느린 보완 성장</x:v>
      </x:c>
      <x:c r="K73" s="967" t="str">
        <x:v>초안</x:v>
      </x:c>
      <x:c r="L73" s="967"/>
      <x:c r="M73" s="967"/>
      <x:c r="N73" s="967"/>
      <x:c r="O73" s="967"/>
      <x:c r="P73" s="967"/>
      <x:c r="Q73" s="967"/>
    </x:row>
    <x:row r="74" ht="24" hidden="0" customHeight="1">
      <x:c r="A74" s="967" t="str">
        <x:v>W1D5_01</x:v>
      </x:c>
      <x:c r="B74" s="967" t="n">
        <x:v>5</x:v>
      </x:c>
      <x:c r="C74" s="967" t="str">
        <x:v>W1</x:v>
      </x:c>
      <x:c r="D74" s="967" t="str">
        <x:v>MAIN</x:v>
      </x:c>
      <x:c r="E74" s="967" t="str">
        <x:v>오아시스 조사 3단계 — 확인</x:v>
      </x:c>
      <x:c r="F74" s="967" t="n">
        <x:v>0</x:v>
      </x:c>
      <x:c r="G74" s="967" t="n">
        <x:v>0</x:v>
      </x:c>
      <x:c r="H74" s="967" t="n">
        <x:v>1</x:v>
      </x:c>
      <x:c r="I74" s="967" t="str"/>
      <x:c r="J74" s="967" t="str">
        <x:v>핵심 조사/분석 단계</x:v>
      </x:c>
      <x:c r="K74" s="967" t="str">
        <x:v>초안</x:v>
      </x:c>
      <x:c r="L74" s="967"/>
      <x:c r="M74" s="967"/>
      <x:c r="N74" s="967"/>
      <x:c r="O74" s="967"/>
      <x:c r="P74" s="967"/>
      <x:c r="Q74" s="967"/>
    </x:row>
    <x:row r="75" ht="36" hidden="0" customHeight="1">
      <x:c r="A75" s="967" t="str">
        <x:v>W1D5_02</x:v>
      </x:c>
      <x:c r="B75" s="967" t="n">
        <x:v>5</x:v>
      </x:c>
      <x:c r="C75" s="967" t="str">
        <x:v>W1</x:v>
      </x:c>
      <x:c r="D75" s="967" t="str">
        <x:v>CHARACTER</x:v>
      </x:c>
      <x:c r="E75" s="967" t="str">
        <x:v>디야와 거주지·아이들·뜨개질 이야기</x:v>
      </x:c>
      <x:c r="F75" s="967" t="n">
        <x:v>0</x:v>
      </x:c>
      <x:c r="G75" s="967" t="n">
        <x:v>0</x:v>
      </x:c>
      <x:c r="H75" s="967" t="n">
        <x:v>0</x:v>
      </x:c>
      <x:c r="I75" s="967" t="str"/>
      <x:c r="J75" s="967" t="str">
        <x:v>일반 감정 장면은 XP0 — Pivot/Deepening일 때만 성장</x:v>
      </x:c>
      <x:c r="K75" s="967" t="str">
        <x:v>초안</x:v>
      </x:c>
      <x:c r="L75" s="967"/>
      <x:c r="M75" s="967"/>
      <x:c r="N75" s="967"/>
      <x:c r="O75" s="967"/>
      <x:c r="P75" s="967"/>
      <x:c r="Q75" s="967"/>
    </x:row>
    <x:row r="76" ht="36" hidden="0" customHeight="1">
      <x:c r="A76" s="967" t="str">
        <x:v>W1D5_03</x:v>
      </x:c>
      <x:c r="B76" s="967" t="n">
        <x:v>5</x:v>
      </x:c>
      <x:c r="C76" s="967" t="str">
        <x:v>W1</x:v>
      </x:c>
      <x:c r="D76" s="967" t="str">
        <x:v>CHARACTER</x:v>
      </x:c>
      <x:c r="E76" s="967" t="str">
        <x:v>보리치의 악몽/과잉 확인을 우연히 목격</x:v>
      </x:c>
      <x:c r="F76" s="967" t="n">
        <x:v>0</x:v>
      </x:c>
      <x:c r="G76" s="967" t="n">
        <x:v>0</x:v>
      </x:c>
      <x:c r="H76" s="967" t="n">
        <x:v>0</x:v>
      </x:c>
      <x:c r="I76" s="967" t="str"/>
      <x:c r="J76" s="967" t="str">
        <x:v>일반 감정 장면은 XP0 — Pivot/Deepening일 때만 성장</x:v>
      </x:c>
      <x:c r="K76" s="967" t="str">
        <x:v>초안</x:v>
      </x:c>
      <x:c r="L76" s="967"/>
      <x:c r="M76" s="967"/>
      <x:c r="N76" s="967"/>
      <x:c r="O76" s="967"/>
      <x:c r="P76" s="967"/>
      <x:c r="Q76" s="967"/>
    </x:row>
    <x:row r="77" ht="36" hidden="0" customHeight="1">
      <x:c r="A77" s="967" t="str">
        <x:v>W1D5_04</x:v>
      </x:c>
      <x:c r="B77" s="967" t="n">
        <x:v>5</x:v>
      </x:c>
      <x:c r="C77" s="967" t="str">
        <x:v>W1</x:v>
      </x:c>
      <x:c r="D77" s="967" t="str">
        <x:v>CHARACTER</x:v>
      </x:c>
      <x:c r="E77" s="967" t="str">
        <x:v>벤자민 묘지 후속 대화</x:v>
      </x:c>
      <x:c r="F77" s="967" t="n">
        <x:v>0</x:v>
      </x:c>
      <x:c r="G77" s="967" t="n">
        <x:v>0</x:v>
      </x:c>
      <x:c r="H77" s="967" t="n">
        <x:v>0</x:v>
      </x:c>
      <x:c r="I77" s="967" t="str"/>
      <x:c r="J77" s="967" t="str">
        <x:v>일반 감정 장면은 XP0 — Pivot/Deepening일 때만 성장</x:v>
      </x:c>
      <x:c r="K77" s="967" t="str">
        <x:v>초안</x:v>
      </x:c>
      <x:c r="L77" s="967"/>
      <x:c r="M77" s="967"/>
      <x:c r="N77" s="967"/>
      <x:c r="O77" s="967"/>
      <x:c r="P77" s="967"/>
      <x:c r="Q77" s="967"/>
    </x:row>
    <x:row r="78" ht="24" hidden="0" customHeight="1">
      <x:c r="A78" s="967" t="str">
        <x:v>W1D5_05</x:v>
      </x:c>
      <x:c r="B78" s="967" t="n">
        <x:v>5</x:v>
      </x:c>
      <x:c r="C78" s="967" t="str">
        <x:v>W1</x:v>
      </x:c>
      <x:c r="D78" s="967" t="str">
        <x:v>REPAIR</x:v>
      </x:c>
      <x:c r="E78" s="967" t="str">
        <x:v>수송선 시설 1회 복구</x:v>
      </x:c>
      <x:c r="F78" s="967" t="n">
        <x:v>0</x:v>
      </x:c>
      <x:c r="G78" s="967" t="n">
        <x:v>0</x:v>
      </x:c>
      <x:c r="H78" s="967" t="n">
        <x:v>0</x:v>
      </x:c>
      <x:c r="I78" s="967" t="str">
        <x:v>Research Restoration을 선택한 경우 기술 +1 (Run 최대3회)</x:v>
      </x:c>
      <x:c r="J78" s="967" t="str">
        <x:v>Hidden 연구투자의 즉시 보상</x:v>
      </x:c>
      <x:c r="K78" s="967" t="str">
        <x:v>TEMP 후보</x:v>
      </x:c>
      <x:c r="L78" s="967"/>
      <x:c r="M78" s="967"/>
      <x:c r="N78" s="967"/>
      <x:c r="O78" s="967"/>
      <x:c r="P78" s="967"/>
      <x:c r="Q78" s="967"/>
    </x:row>
    <x:row r="79" ht="36" hidden="0" customHeight="1">
      <x:c r="A79" s="967" t="str">
        <x:v>W1D5_06</x:v>
      </x:c>
      <x:c r="B79" s="967" t="n">
        <x:v>5</x:v>
      </x:c>
      <x:c r="C79" s="967" t="str">
        <x:v>W1</x:v>
      </x:c>
      <x:c r="D79" s="967" t="str">
        <x:v>PRESERVE</x:v>
      </x:c>
      <x:c r="E79" s="967" t="str">
        <x:v>행성 생활 기반 사전 보존 작업</x:v>
      </x:c>
      <x:c r="F79" s="967" t="n">
        <x:v>0</x:v>
      </x:c>
      <x:c r="G79" s="967" t="n">
        <x:v>0</x:v>
      </x:c>
      <x:c r="H79" s="967" t="n">
        <x:v>0</x:v>
      </x:c>
      <x:c r="I79" s="967" t="str"/>
      <x:c r="J79" s="967" t="str">
        <x:v>표준 보존은 XP0 — Ending 투자와 성장 투자를 분리</x:v>
      </x:c>
      <x:c r="K79" s="967" t="str">
        <x:v>초안</x:v>
      </x:c>
      <x:c r="L79" s="967"/>
      <x:c r="M79" s="967"/>
      <x:c r="N79" s="967"/>
      <x:c r="O79" s="967"/>
      <x:c r="P79" s="967"/>
      <x:c r="Q79" s="967"/>
    </x:row>
    <x:row r="80" ht="24" hidden="0" customHeight="1">
      <x:c r="A80" s="967" t="str">
        <x:v>W1D5_07</x:v>
      </x:c>
      <x:c r="B80" s="967" t="n">
        <x:v>5</x:v>
      </x:c>
      <x:c r="C80" s="967" t="str">
        <x:v>W1</x:v>
      </x:c>
      <x:c r="D80" s="967" t="str">
        <x:v>ACTIVITY</x:v>
      </x:c>
      <x:c r="E80" s="967" t="str">
        <x:v>성장용 생활 Activity</x:v>
      </x:c>
      <x:c r="F80" s="967" t="n">
        <x:v>0</x:v>
      </x:c>
      <x:c r="G80" s="967" t="n">
        <x:v>0</x:v>
      </x:c>
      <x:c r="H80" s="967" t="n">
        <x:v>0</x:v>
      </x:c>
      <x:c r="I80" s="967" t="str">
        <x:v>2h 성장 선택 시 원하는 Stat +1 / 휴식 선택 시 XP0</x:v>
      </x:c>
      <x:c r="J80" s="967" t="str">
        <x:v>느린 보완 성장</x:v>
      </x:c>
      <x:c r="K80" s="967" t="str">
        <x:v>초안</x:v>
      </x:c>
      <x:c r="L80" s="967"/>
      <x:c r="M80" s="967"/>
      <x:c r="N80" s="967"/>
      <x:c r="O80" s="967"/>
      <x:c r="P80" s="967"/>
      <x:c r="Q80" s="967"/>
    </x:row>
    <x:row r="81" ht="36" hidden="0" customHeight="1">
      <x:c r="A81" s="967" t="str">
        <x:v>W1D6_01</x:v>
      </x:c>
      <x:c r="B81" s="967" t="n">
        <x:v>6</x:v>
      </x:c>
      <x:c r="C81" s="967" t="str">
        <x:v>W1</x:v>
      </x:c>
      <x:c r="D81" s="967" t="str">
        <x:v>MAIN</x:v>
      </x:c>
      <x:c r="E81" s="967" t="str">
        <x:v>오아시스 조사 결론을 샘에게 보고</x:v>
      </x:c>
      <x:c r="F81" s="967" t="n">
        <x:v>0</x:v>
      </x:c>
      <x:c r="G81" s="967" t="n">
        <x:v>0</x:v>
      </x:c>
      <x:c r="H81" s="967" t="n">
        <x:v>0</x:v>
      </x:c>
      <x:c r="I81" s="967" t="str">
        <x:v>A: 강인함+2 / B: 기술+2</x:v>
      </x:c>
      <x:c r="J81" s="967" t="str">
        <x:v>Strategic Pivot — 관계/시간/Route 대가와 맞교환</x:v>
      </x:c>
      <x:c r="K81" s="967" t="str">
        <x:v>v1.1 Pivot</x:v>
      </x:c>
      <x:c r="L81" s="967"/>
      <x:c r="M81" s="967"/>
      <x:c r="N81" s="967"/>
      <x:c r="O81" s="967"/>
      <x:c r="P81" s="967"/>
      <x:c r="Q81" s="967"/>
    </x:row>
    <x:row r="82" ht="36" hidden="0" customHeight="1">
      <x:c r="A82" s="967" t="str">
        <x:v>W1D6_02</x:v>
      </x:c>
      <x:c r="B82" s="967" t="n">
        <x:v>6</x:v>
      </x:c>
      <x:c r="C82" s="967" t="str">
        <x:v>W1</x:v>
      </x:c>
      <x:c r="D82" s="967" t="str">
        <x:v>MAIN</x:v>
      </x:c>
      <x:c r="E82" s="967" t="str">
        <x:v>전체 공개/제한 공개의 위험을 실제로 대비하기</x:v>
      </x:c>
      <x:c r="F82" s="967" t="n">
        <x:v>0</x:v>
      </x:c>
      <x:c r="G82" s="967" t="n">
        <x:v>0</x:v>
      </x:c>
      <x:c r="H82" s="967" t="n">
        <x:v>0</x:v>
      </x:c>
      <x:c r="I82" s="967" t="str"/>
      <x:c r="J82" s="967" t="str">
        <x:v>일반 Main 진행 XP0 — 명시된 조사/Pivot만 성장</x:v>
      </x:c>
      <x:c r="K82" s="967" t="str">
        <x:v>초안</x:v>
      </x:c>
      <x:c r="L82" s="967"/>
      <x:c r="M82" s="967"/>
      <x:c r="N82" s="967"/>
      <x:c r="O82" s="967"/>
      <x:c r="P82" s="967"/>
      <x:c r="Q82" s="967"/>
    </x:row>
    <x:row r="83" ht="36" hidden="0" customHeight="1">
      <x:c r="A83" s="967" t="str">
        <x:v>W1D6_03</x:v>
      </x:c>
      <x:c r="B83" s="967" t="n">
        <x:v>6</x:v>
      </x:c>
      <x:c r="C83" s="967" t="str">
        <x:v>W1</x:v>
      </x:c>
      <x:c r="D83" s="967" t="str">
        <x:v>CHARACTER</x:v>
      </x:c>
      <x:c r="E83" s="967" t="str">
        <x:v>샘의 책임 부담 Episode 2 들어주기</x:v>
      </x:c>
      <x:c r="F83" s="967" t="n">
        <x:v>0</x:v>
      </x:c>
      <x:c r="G83" s="967" t="n">
        <x:v>0</x:v>
      </x:c>
      <x:c r="H83" s="967" t="n">
        <x:v>0</x:v>
      </x:c>
      <x:c r="I83" s="967" t="str"/>
      <x:c r="J83" s="967" t="str">
        <x:v>일반 감정 장면은 XP0 — Pivot/Deepening일 때만 성장</x:v>
      </x:c>
      <x:c r="K83" s="967" t="str">
        <x:v>초안</x:v>
      </x:c>
      <x:c r="L83" s="967"/>
      <x:c r="M83" s="967"/>
      <x:c r="N83" s="967"/>
      <x:c r="O83" s="967"/>
      <x:c r="P83" s="967"/>
      <x:c r="Q83" s="967"/>
    </x:row>
    <x:row r="84" ht="36" hidden="0" customHeight="1">
      <x:c r="A84" s="967" t="str">
        <x:v>W1D6_04</x:v>
      </x:c>
      <x:c r="B84" s="967" t="n">
        <x:v>6</x:v>
      </x:c>
      <x:c r="C84" s="967" t="str">
        <x:v>W1</x:v>
      </x:c>
      <x:c r="D84" s="967" t="str">
        <x:v>CHARACTER</x:v>
      </x:c>
      <x:c r="E84" s="967" t="str">
        <x:v>Character Focus A — 지나 / 페이 / 보리치 중 1명 깊게 따라가기</x:v>
      </x:c>
      <x:c r="F84" s="967" t="n">
        <x:v>0</x:v>
      </x:c>
      <x:c r="G84" s="967" t="n">
        <x:v>0</x:v>
      </x:c>
      <x:c r="H84" s="967" t="n">
        <x:v>0</x:v>
      </x:c>
      <x:c r="I84" s="967" t="str">
        <x:v>선택 인물 Mastery Stat +1</x:v>
      </x:c>
      <x:c r="J84" s="967" t="str">
        <x:v>Focus/Deepening — Route를 깊게 판 보조 성장</x:v>
      </x:c>
      <x:c r="K84" s="967" t="str">
        <x:v>초안</x:v>
      </x:c>
      <x:c r="L84" s="967"/>
      <x:c r="M84" s="967"/>
      <x:c r="N84" s="967"/>
      <x:c r="O84" s="967"/>
      <x:c r="P84" s="967"/>
      <x:c r="Q84" s="967"/>
    </x:row>
    <x:row r="85" ht="24" hidden="0" customHeight="1">
      <x:c r="A85" s="967" t="str">
        <x:v>W1D6_05</x:v>
      </x:c>
      <x:c r="B85" s="967" t="n">
        <x:v>6</x:v>
      </x:c>
      <x:c r="C85" s="967" t="str">
        <x:v>W1</x:v>
      </x:c>
      <x:c r="D85" s="967" t="str">
        <x:v>REPAIR</x:v>
      </x:c>
      <x:c r="E85" s="967" t="str">
        <x:v>수송선 시설 1회 복구</x:v>
      </x:c>
      <x:c r="F85" s="967" t="n">
        <x:v>0</x:v>
      </x:c>
      <x:c r="G85" s="967" t="n">
        <x:v>0</x:v>
      </x:c>
      <x:c r="H85" s="967" t="n">
        <x:v>0</x:v>
      </x:c>
      <x:c r="I85" s="967" t="str">
        <x:v>Research Restoration을 선택한 경우 기술 +1 (Run 최대3회)</x:v>
      </x:c>
      <x:c r="J85" s="967" t="str">
        <x:v>Hidden 연구투자의 즉시 보상</x:v>
      </x:c>
      <x:c r="K85" s="967" t="str">
        <x:v>TEMP 후보</x:v>
      </x:c>
      <x:c r="L85" s="967"/>
      <x:c r="M85" s="967"/>
      <x:c r="N85" s="967"/>
      <x:c r="O85" s="967"/>
      <x:c r="P85" s="967"/>
      <x:c r="Q85" s="967"/>
    </x:row>
    <x:row r="86" ht="24" hidden="0" customHeight="1">
      <x:c r="A86" s="967" t="str">
        <x:v>W1D6_06</x:v>
      </x:c>
      <x:c r="B86" s="967" t="n">
        <x:v>6</x:v>
      </x:c>
      <x:c r="C86" s="967" t="str">
        <x:v>W1</x:v>
      </x:c>
      <x:c r="D86" s="967" t="str">
        <x:v>ACTIVITY</x:v>
      </x:c>
      <x:c r="E86" s="967" t="str">
        <x:v>성장용 생활 Activity</x:v>
      </x:c>
      <x:c r="F86" s="967" t="n">
        <x:v>0</x:v>
      </x:c>
      <x:c r="G86" s="967" t="n">
        <x:v>0</x:v>
      </x:c>
      <x:c r="H86" s="967" t="n">
        <x:v>0</x:v>
      </x:c>
      <x:c r="I86" s="967" t="str">
        <x:v>2h 성장 선택 시 원하는 Stat +1 / 휴식 선택 시 XP0</x:v>
      </x:c>
      <x:c r="J86" s="967" t="str">
        <x:v>느린 보완 성장</x:v>
      </x:c>
      <x:c r="K86" s="967" t="str">
        <x:v>초안</x:v>
      </x:c>
      <x:c r="L86" s="967"/>
      <x:c r="M86" s="967"/>
      <x:c r="N86" s="967"/>
      <x:c r="O86" s="967"/>
      <x:c r="P86" s="967"/>
      <x:c r="Q86" s="967"/>
    </x:row>
    <x:row r="87" ht="36" hidden="0" customHeight="1">
      <x:c r="A87" s="967" t="str">
        <x:v>W1D7_01</x:v>
      </x:c>
      <x:c r="B87" s="967" t="n">
        <x:v>7</x:v>
      </x:c>
      <x:c r="C87" s="967" t="str">
        <x:v>W1</x:v>
      </x:c>
      <x:c r="D87" s="967" t="str">
        <x:v>MAIN</x:v>
      </x:c>
      <x:c r="E87" s="967" t="str">
        <x:v>공개 방식 마지막 준비</x:v>
      </x:c>
      <x:c r="F87" s="967" t="n">
        <x:v>0</x:v>
      </x:c>
      <x:c r="G87" s="967" t="n">
        <x:v>0</x:v>
      </x:c>
      <x:c r="H87" s="967" t="n">
        <x:v>0</x:v>
      </x:c>
      <x:c r="I87" s="967" t="str"/>
      <x:c r="J87" s="967" t="str">
        <x:v>일반 Main 진행 XP0 — 명시된 조사/Pivot만 성장</x:v>
      </x:c>
      <x:c r="K87" s="967" t="str">
        <x:v>초안</x:v>
      </x:c>
      <x:c r="L87" s="967"/>
      <x:c r="M87" s="967"/>
      <x:c r="N87" s="967"/>
      <x:c r="O87" s="967"/>
      <x:c r="P87" s="967"/>
      <x:c r="Q87" s="967"/>
    </x:row>
    <x:row r="88" ht="36" hidden="0" customHeight="1">
      <x:c r="A88" s="967" t="str">
        <x:v>W1D7_02</x:v>
      </x:c>
      <x:c r="B88" s="967" t="n">
        <x:v>7</x:v>
      </x:c>
      <x:c r="C88" s="967" t="str">
        <x:v>W1</x:v>
      </x:c>
      <x:c r="D88" s="967" t="str">
        <x:v>MAIN</x:v>
      </x:c>
      <x:c r="E88" s="967" t="str">
        <x:v>대형 공동체 공개 Event — 전체 공개 / 제한 공개</x:v>
      </x:c>
      <x:c r="F88" s="967" t="n">
        <x:v>0</x:v>
      </x:c>
      <x:c r="G88" s="967" t="n">
        <x:v>0</x:v>
      </x:c>
      <x:c r="H88" s="967" t="n">
        <x:v>0</x:v>
      </x:c>
      <x:c r="I88" s="967" t="str">
        <x:v>A: 강인함+2 / B: 교감+2</x:v>
      </x:c>
      <x:c r="J88" s="967" t="str">
        <x:v>Strategic Pivot — 관계/시간/Route 대가와 맞교환</x:v>
      </x:c>
      <x:c r="K88" s="967" t="str">
        <x:v>v1.1 Pivot</x:v>
      </x:c>
      <x:c r="L88" s="967"/>
      <x:c r="M88" s="967"/>
      <x:c r="N88" s="967"/>
      <x:c r="O88" s="967"/>
      <x:c r="P88" s="967"/>
      <x:c r="Q88" s="967"/>
    </x:row>
    <x:row r="89" ht="48" hidden="0" customHeight="1">
      <x:c r="A89" s="967" t="str">
        <x:v>W1D7_03</x:v>
      </x:c>
      <x:c r="B89" s="967" t="n">
        <x:v>7</x:v>
      </x:c>
      <x:c r="C89" s="967" t="str">
        <x:v>W1</x:v>
      </x:c>
      <x:c r="D89" s="967" t="str">
        <x:v>CHARACTER</x:v>
      </x:c>
      <x:c r="E89" s="967" t="str">
        <x:v>Character Focus B — 벤자민 / 디야 중 1명의 공개 이후 반응 깊게 확인</x:v>
      </x:c>
      <x:c r="F89" s="967" t="n">
        <x:v>0</x:v>
      </x:c>
      <x:c r="G89" s="967" t="n">
        <x:v>0</x:v>
      </x:c>
      <x:c r="H89" s="967" t="n">
        <x:v>0</x:v>
      </x:c>
      <x:c r="I89" s="967" t="str">
        <x:v>선택 인물 Mastery Stat +1</x:v>
      </x:c>
      <x:c r="J89" s="967" t="str">
        <x:v>Focus/Deepening — Route를 깊게 판 보조 성장</x:v>
      </x:c>
      <x:c r="K89" s="967" t="str">
        <x:v>초안</x:v>
      </x:c>
      <x:c r="L89" s="967"/>
      <x:c r="M89" s="967"/>
      <x:c r="N89" s="967"/>
      <x:c r="O89" s="967"/>
      <x:c r="P89" s="967"/>
      <x:c r="Q89" s="967"/>
    </x:row>
    <x:row r="90" ht="36" hidden="0" customHeight="1">
      <x:c r="A90" s="967" t="str">
        <x:v>W1D7_04</x:v>
      </x:c>
      <x:c r="B90" s="967" t="n">
        <x:v>7</x:v>
      </x:c>
      <x:c r="C90" s="967" t="str">
        <x:v>W1</x:v>
      </x:c>
      <x:c r="D90" s="967" t="str">
        <x:v>CHARACTER</x:v>
      </x:c>
      <x:c r="E90" s="967" t="str">
        <x:v>샘의 공개 결정 후 부담을 들어주기</x:v>
      </x:c>
      <x:c r="F90" s="967" t="n">
        <x:v>0</x:v>
      </x:c>
      <x:c r="G90" s="967" t="n">
        <x:v>0</x:v>
      </x:c>
      <x:c r="H90" s="967" t="n">
        <x:v>0</x:v>
      </x:c>
      <x:c r="I90" s="967" t="str"/>
      <x:c r="J90" s="967" t="str">
        <x:v>일반 감정 장면은 XP0 — Pivot/Deepening일 때만 성장</x:v>
      </x:c>
      <x:c r="K90" s="967" t="str">
        <x:v>초안</x:v>
      </x:c>
      <x:c r="L90" s="967"/>
      <x:c r="M90" s="967"/>
      <x:c r="N90" s="967"/>
      <x:c r="O90" s="967"/>
      <x:c r="P90" s="967"/>
      <x:c r="Q90" s="967"/>
    </x:row>
    <x:row r="91" ht="24" hidden="0" customHeight="1">
      <x:c r="A91" s="967" t="str">
        <x:v>W1D7_05</x:v>
      </x:c>
      <x:c r="B91" s="967" t="n">
        <x:v>7</x:v>
      </x:c>
      <x:c r="C91" s="967" t="str">
        <x:v>W1</x:v>
      </x:c>
      <x:c r="D91" s="967" t="str">
        <x:v>REPAIR</x:v>
      </x:c>
      <x:c r="E91" s="967" t="str">
        <x:v>수송선 시설 1회 복구</x:v>
      </x:c>
      <x:c r="F91" s="967" t="n">
        <x:v>0</x:v>
      </x:c>
      <x:c r="G91" s="967" t="n">
        <x:v>0</x:v>
      </x:c>
      <x:c r="H91" s="967" t="n">
        <x:v>0</x:v>
      </x:c>
      <x:c r="I91" s="967" t="str">
        <x:v>Research Restoration을 선택한 경우 기술 +1 (Run 최대3회)</x:v>
      </x:c>
      <x:c r="J91" s="967" t="str">
        <x:v>Hidden 연구투자의 즉시 보상</x:v>
      </x:c>
      <x:c r="K91" s="967" t="str">
        <x:v>TEMP 후보</x:v>
      </x:c>
      <x:c r="L91" s="967"/>
      <x:c r="M91" s="967"/>
      <x:c r="N91" s="967"/>
      <x:c r="O91" s="967"/>
      <x:c r="P91" s="967"/>
      <x:c r="Q91" s="967"/>
    </x:row>
    <x:row r="92" ht="24" hidden="0" customHeight="1">
      <x:c r="A92" s="967" t="str">
        <x:v>W1D7_06</x:v>
      </x:c>
      <x:c r="B92" s="967" t="n">
        <x:v>7</x:v>
      </x:c>
      <x:c r="C92" s="967" t="str">
        <x:v>W1</x:v>
      </x:c>
      <x:c r="D92" s="967" t="str">
        <x:v>ACTIVITY</x:v>
      </x:c>
      <x:c r="E92" s="967" t="str">
        <x:v>휴식 또는 성장 Activity</x:v>
      </x:c>
      <x:c r="F92" s="967" t="n">
        <x:v>0</x:v>
      </x:c>
      <x:c r="G92" s="967" t="n">
        <x:v>0</x:v>
      </x:c>
      <x:c r="H92" s="967" t="n">
        <x:v>0</x:v>
      </x:c>
      <x:c r="I92" s="967" t="str">
        <x:v>2h 성장 선택 시 원하는 Stat +1 / 휴식 선택 시 XP0</x:v>
      </x:c>
      <x:c r="J92" s="967" t="str">
        <x:v>느린 보완 성장</x:v>
      </x:c>
      <x:c r="K92" s="967" t="str">
        <x:v>초안</x:v>
      </x:c>
      <x:c r="L92" s="967"/>
      <x:c r="M92" s="967"/>
      <x:c r="N92" s="967"/>
      <x:c r="O92" s="967"/>
      <x:c r="P92" s="967"/>
      <x:c r="Q92" s="967"/>
    </x:row>
    <x:row r="93" ht="36" hidden="0" customHeight="1">
      <x:c r="A93" s="967" t="str">
        <x:v>W2D8_01</x:v>
      </x:c>
      <x:c r="B93" s="967" t="n">
        <x:v>8</x:v>
      </x:c>
      <x:c r="C93" s="967" t="str">
        <x:v>W2</x:v>
      </x:c>
      <x:c r="D93" s="967" t="str">
        <x:v>MAIN</x:v>
      </x:c>
      <x:c r="E93" s="967" t="str">
        <x:v>샌드웜 출현 → 보리치 분석 → 대형 모래폭풍 접근 발견</x:v>
      </x:c>
      <x:c r="F93" s="967" t="n">
        <x:v>0</x:v>
      </x:c>
      <x:c r="G93" s="967" t="n">
        <x:v>0</x:v>
      </x:c>
      <x:c r="H93" s="967" t="n">
        <x:v>1</x:v>
      </x:c>
      <x:c r="I93" s="967" t="str"/>
      <x:c r="J93" s="967" t="str">
        <x:v>핵심 조사/분석 단계</x:v>
      </x:c>
      <x:c r="K93" s="967" t="str">
        <x:v>초안</x:v>
      </x:c>
      <x:c r="L93" s="967"/>
      <x:c r="M93" s="967"/>
      <x:c r="N93" s="967"/>
      <x:c r="O93" s="967"/>
      <x:c r="P93" s="967"/>
      <x:c r="Q93" s="967"/>
    </x:row>
    <x:row r="94" ht="36" hidden="0" customHeight="1">
      <x:c r="A94" s="967" t="str">
        <x:v>W2D8_02</x:v>
      </x:c>
      <x:c r="B94" s="967" t="n">
        <x:v>8</x:v>
      </x:c>
      <x:c r="C94" s="967" t="str">
        <x:v>W2</x:v>
      </x:c>
      <x:c r="D94" s="967" t="str">
        <x:v>CHARACTER</x:v>
      </x:c>
      <x:c r="E94" s="967" t="str">
        <x:v>샌드웜 사건 직후 보리치의 이상 반응을 추궁</x:v>
      </x:c>
      <x:c r="F94" s="967" t="n">
        <x:v>0</x:v>
      </x:c>
      <x:c r="G94" s="967" t="n">
        <x:v>0</x:v>
      </x:c>
      <x:c r="H94" s="967" t="n">
        <x:v>0</x:v>
      </x:c>
      <x:c r="I94" s="967" t="str">
        <x:v>A: XP0 / B: 기술+3</x:v>
      </x:c>
      <x:c r="J94" s="967" t="str">
        <x:v>Strategic Pivot — 관계/시간/Route 대가와 맞교환</x:v>
      </x:c>
      <x:c r="K94" s="967" t="str">
        <x:v>v1.1 Pivot</x:v>
      </x:c>
      <x:c r="L94" s="967"/>
      <x:c r="M94" s="967"/>
      <x:c r="N94" s="967"/>
      <x:c r="O94" s="967"/>
      <x:c r="P94" s="967"/>
      <x:c r="Q94" s="967"/>
    </x:row>
    <x:row r="95" ht="36" hidden="0" customHeight="1">
      <x:c r="A95" s="967" t="str">
        <x:v>W2D8_03</x:v>
      </x:c>
      <x:c r="B95" s="967" t="n">
        <x:v>8</x:v>
      </x:c>
      <x:c r="C95" s="967" t="str">
        <x:v>W2</x:v>
      </x:c>
      <x:c r="D95" s="967" t="str">
        <x:v>MAIN</x:v>
      </x:c>
      <x:c r="E95" s="967" t="str">
        <x:v>샘과 폭풍 대비 우선순위를 정리</x:v>
      </x:c>
      <x:c r="F95" s="967" t="n">
        <x:v>0</x:v>
      </x:c>
      <x:c r="G95" s="967" t="n">
        <x:v>0</x:v>
      </x:c>
      <x:c r="H95" s="967" t="n">
        <x:v>0</x:v>
      </x:c>
      <x:c r="I95" s="967" t="str"/>
      <x:c r="J95" s="967" t="str">
        <x:v>일반 Main 진행 XP0 — 명시된 조사/Pivot만 성장</x:v>
      </x:c>
      <x:c r="K95" s="967" t="str">
        <x:v>초안</x:v>
      </x:c>
      <x:c r="L95" s="967"/>
      <x:c r="M95" s="967"/>
      <x:c r="N95" s="967"/>
      <x:c r="O95" s="967"/>
      <x:c r="P95" s="967"/>
      <x:c r="Q95" s="967"/>
    </x:row>
    <x:row r="96" ht="24" hidden="0" customHeight="1">
      <x:c r="A96" s="967" t="str">
        <x:v>W2D8_04</x:v>
      </x:c>
      <x:c r="B96" s="967" t="n">
        <x:v>8</x:v>
      </x:c>
      <x:c r="C96" s="967" t="str">
        <x:v>W2</x:v>
      </x:c>
      <x:c r="D96" s="967" t="str">
        <x:v>REPAIR</x:v>
      </x:c>
      <x:c r="E96" s="967" t="str">
        <x:v>수송선 시설 1회 복구</x:v>
      </x:c>
      <x:c r="F96" s="967" t="n">
        <x:v>0</x:v>
      </x:c>
      <x:c r="G96" s="967" t="n">
        <x:v>0</x:v>
      </x:c>
      <x:c r="H96" s="967" t="n">
        <x:v>0</x:v>
      </x:c>
      <x:c r="I96" s="967" t="str"/>
      <x:c r="J96" s="967" t="str">
        <x:v>표준 수리 반복은 XP0 — 자동 기술 파밍 방지</x:v>
      </x:c>
      <x:c r="K96" s="967" t="str">
        <x:v>초안</x:v>
      </x:c>
      <x:c r="L96" s="967"/>
      <x:c r="M96" s="967"/>
      <x:c r="N96" s="967"/>
      <x:c r="O96" s="967"/>
      <x:c r="P96" s="967"/>
      <x:c r="Q96" s="967"/>
    </x:row>
    <x:row r="97" ht="36" hidden="0" customHeight="1">
      <x:c r="A97" s="967" t="str">
        <x:v>W2D8_05</x:v>
      </x:c>
      <x:c r="B97" s="967" t="n">
        <x:v>8</x:v>
      </x:c>
      <x:c r="C97" s="967" t="str">
        <x:v>W2</x:v>
      </x:c>
      <x:c r="D97" s="967" t="str">
        <x:v>PRESERVE</x:v>
      </x:c>
      <x:c r="E97" s="967" t="str">
        <x:v>오아시스 또는 거주지 보존 작업</x:v>
      </x:c>
      <x:c r="F97" s="967" t="n">
        <x:v>0</x:v>
      </x:c>
      <x:c r="G97" s="967" t="n">
        <x:v>0</x:v>
      </x:c>
      <x:c r="H97" s="967" t="n">
        <x:v>0</x:v>
      </x:c>
      <x:c r="I97" s="967" t="str"/>
      <x:c r="J97" s="967" t="str">
        <x:v>표준 보존은 XP0 — Ending 투자와 성장 투자를 분리</x:v>
      </x:c>
      <x:c r="K97" s="967" t="str">
        <x:v>초안</x:v>
      </x:c>
      <x:c r="L97" s="967"/>
      <x:c r="M97" s="967"/>
      <x:c r="N97" s="967"/>
      <x:c r="O97" s="967"/>
      <x:c r="P97" s="967"/>
      <x:c r="Q97" s="967"/>
    </x:row>
    <x:row r="98" ht="24" hidden="0" customHeight="1">
      <x:c r="A98" s="967" t="str">
        <x:v>W2D8_06</x:v>
      </x:c>
      <x:c r="B98" s="967" t="n">
        <x:v>8</x:v>
      </x:c>
      <x:c r="C98" s="967" t="str">
        <x:v>W2</x:v>
      </x:c>
      <x:c r="D98" s="967" t="str">
        <x:v>SIDE</x:v>
      </x:c>
      <x:c r="E98" s="967" t="str">
        <x:v>18:00 이후 야간조 대표와 폭풍 경고 대화</x:v>
      </x:c>
      <x:c r="F98" s="967" t="n">
        <x:v>0</x:v>
      </x:c>
      <x:c r="G98" s="967" t="n">
        <x:v>0</x:v>
      </x:c>
      <x:c r="H98" s="967" t="n">
        <x:v>0</x:v>
      </x:c>
      <x:c r="I98" s="967" t="str"/>
      <x:c r="J98" s="967" t="str">
        <x:v>Side 기본 XP0 — 특별 실험/Deepening만 예외</x:v>
      </x:c>
      <x:c r="K98" s="967" t="str">
        <x:v>초안</x:v>
      </x:c>
      <x:c r="L98" s="967"/>
      <x:c r="M98" s="967"/>
      <x:c r="N98" s="967"/>
      <x:c r="O98" s="967"/>
      <x:c r="P98" s="967"/>
      <x:c r="Q98" s="967"/>
    </x:row>
    <x:row r="99" ht="24" hidden="0" customHeight="1">
      <x:c r="A99" s="967" t="str">
        <x:v>W2D8_07</x:v>
      </x:c>
      <x:c r="B99" s="967" t="n">
        <x:v>8</x:v>
      </x:c>
      <x:c r="C99" s="967" t="str">
        <x:v>W2</x:v>
      </x:c>
      <x:c r="D99" s="967" t="str">
        <x:v>ACTIVITY</x:v>
      </x:c>
      <x:c r="E99" s="967" t="str">
        <x:v>성장 또는 휴식 Activity</x:v>
      </x:c>
      <x:c r="F99" s="967" t="n">
        <x:v>0</x:v>
      </x:c>
      <x:c r="G99" s="967" t="n">
        <x:v>0</x:v>
      </x:c>
      <x:c r="H99" s="967" t="n">
        <x:v>0</x:v>
      </x:c>
      <x:c r="I99" s="967" t="str">
        <x:v>2h 성장 선택 시 원하는 Stat +1 / 휴식 선택 시 XP0</x:v>
      </x:c>
      <x:c r="J99" s="967" t="str">
        <x:v>느린 보완 성장</x:v>
      </x:c>
      <x:c r="K99" s="967" t="str">
        <x:v>초안</x:v>
      </x:c>
      <x:c r="L99" s="967"/>
      <x:c r="M99" s="967"/>
      <x:c r="N99" s="967"/>
      <x:c r="O99" s="967"/>
      <x:c r="P99" s="967"/>
      <x:c r="Q99" s="967"/>
    </x:row>
    <x:row r="100" ht="36" hidden="0" customHeight="1">
      <x:c r="A100" s="967" t="str">
        <x:v>W2D9_01</x:v>
      </x:c>
      <x:c r="B100" s="967" t="n">
        <x:v>9</x:v>
      </x:c>
      <x:c r="C100" s="967" t="str">
        <x:v>W2</x:v>
      </x:c>
      <x:c r="D100" s="967" t="str">
        <x:v>MAIN</x:v>
      </x:c>
      <x:c r="E100" s="967" t="str">
        <x:v>수송선을 폭풍 피난처로 사용하기로 결정하고 대피 계획 수립</x:v>
      </x:c>
      <x:c r="F100" s="967" t="n">
        <x:v>0</x:v>
      </x:c>
      <x:c r="G100" s="967" t="n">
        <x:v>0</x:v>
      </x:c>
      <x:c r="H100" s="967" t="n">
        <x:v>0</x:v>
      </x:c>
      <x:c r="I100" s="967" t="str"/>
      <x:c r="J100" s="967" t="str">
        <x:v>일반 Main 진행 XP0 — 명시된 조사/Pivot만 성장</x:v>
      </x:c>
      <x:c r="K100" s="967" t="str">
        <x:v>초안</x:v>
      </x:c>
      <x:c r="L100" s="967"/>
      <x:c r="M100" s="967"/>
      <x:c r="N100" s="967"/>
      <x:c r="O100" s="967"/>
      <x:c r="P100" s="967"/>
      <x:c r="Q100" s="967"/>
    </x:row>
    <x:row r="101" ht="24" hidden="0" customHeight="1">
      <x:c r="A101" s="967" t="str">
        <x:v>W2D9_02</x:v>
      </x:c>
      <x:c r="B101" s="967" t="n">
        <x:v>9</x:v>
      </x:c>
      <x:c r="C101" s="967" t="str">
        <x:v>W2</x:v>
      </x:c>
      <x:c r="D101" s="967" t="str">
        <x:v>MAIN</x:v>
      </x:c>
      <x:c r="E101" s="967" t="str">
        <x:v>핵심 피난 시설 상태 점검 — 산소/거주/전력</x:v>
      </x:c>
      <x:c r="F101" s="967" t="n">
        <x:v>0</x:v>
      </x:c>
      <x:c r="G101" s="967" t="n">
        <x:v>0</x:v>
      </x:c>
      <x:c r="H101" s="967" t="n">
        <x:v>1</x:v>
      </x:c>
      <x:c r="I101" s="967" t="str"/>
      <x:c r="J101" s="967" t="str">
        <x:v>핵심 조사/분석 단계</x:v>
      </x:c>
      <x:c r="K101" s="967" t="str">
        <x:v>초안</x:v>
      </x:c>
      <x:c r="L101" s="967"/>
      <x:c r="M101" s="967"/>
      <x:c r="N101" s="967"/>
      <x:c r="O101" s="967"/>
      <x:c r="P101" s="967"/>
      <x:c r="Q101" s="967"/>
    </x:row>
    <x:row r="102" ht="48" hidden="0" customHeight="1">
      <x:c r="A102" s="967" t="str">
        <x:v>W2D9_03</x:v>
      </x:c>
      <x:c r="B102" s="967" t="n">
        <x:v>9</x:v>
      </x:c>
      <x:c r="C102" s="967" t="str">
        <x:v>W2</x:v>
      </x:c>
      <x:c r="D102" s="967" t="str">
        <x:v>CHARACTER</x:v>
      </x:c>
      <x:c r="E102" s="967" t="str">
        <x:v>페이 Character/Side — 엔진 보조전원을 함교 방송망에 연결해 음악을 보내보기</x:v>
      </x:c>
      <x:c r="F102" s="967" t="n">
        <x:v>0</x:v>
      </x:c>
      <x:c r="G102" s="967" t="n">
        <x:v>0</x:v>
      </x:c>
      <x:c r="H102" s="967" t="n">
        <x:v>0</x:v>
      </x:c>
      <x:c r="I102" s="967" t="str">
        <x:v>A: 기술+1 / B: 기술+3</x:v>
      </x:c>
      <x:c r="J102" s="967" t="str">
        <x:v>Strategic Pivot — 관계/시간/Route 대가와 맞교환</x:v>
      </x:c>
      <x:c r="K102" s="967" t="str">
        <x:v>v1.1 Pivot</x:v>
      </x:c>
      <x:c r="L102" s="967"/>
      <x:c r="M102" s="967"/>
      <x:c r="N102" s="967"/>
      <x:c r="O102" s="967"/>
      <x:c r="P102" s="967"/>
      <x:c r="Q102" s="967"/>
    </x:row>
    <x:row r="103" ht="36" hidden="0" customHeight="1">
      <x:c r="A103" s="967" t="str">
        <x:v>W2D9_04</x:v>
      </x:c>
      <x:c r="B103" s="967" t="n">
        <x:v>9</x:v>
      </x:c>
      <x:c r="C103" s="967" t="str">
        <x:v>W2</x:v>
      </x:c>
      <x:c r="D103" s="967" t="str">
        <x:v>CHARACTER</x:v>
      </x:c>
      <x:c r="E103" s="967" t="str">
        <x:v>샘의 책임 부담 Episode 듣기</x:v>
      </x:c>
      <x:c r="F103" s="967" t="n">
        <x:v>0</x:v>
      </x:c>
      <x:c r="G103" s="967" t="n">
        <x:v>0</x:v>
      </x:c>
      <x:c r="H103" s="967" t="n">
        <x:v>0</x:v>
      </x:c>
      <x:c r="I103" s="967" t="str"/>
      <x:c r="J103" s="967" t="str">
        <x:v>일반 감정 장면은 XP0 — Pivot/Deepening일 때만 성장</x:v>
      </x:c>
      <x:c r="K103" s="967" t="str">
        <x:v>초안</x:v>
      </x:c>
      <x:c r="L103" s="967"/>
      <x:c r="M103" s="967"/>
      <x:c r="N103" s="967"/>
      <x:c r="O103" s="967"/>
      <x:c r="P103" s="967"/>
      <x:c r="Q103" s="967"/>
    </x:row>
    <x:row r="104" ht="24" hidden="0" customHeight="1">
      <x:c r="A104" s="967" t="str">
        <x:v>W2D9_05</x:v>
      </x:c>
      <x:c r="B104" s="967" t="n">
        <x:v>9</x:v>
      </x:c>
      <x:c r="C104" s="967" t="str">
        <x:v>W2</x:v>
      </x:c>
      <x:c r="D104" s="967" t="str">
        <x:v>REPAIR</x:v>
      </x:c>
      <x:c r="E104" s="967" t="str">
        <x:v>수송선 핵심 시설 1회 복구</x:v>
      </x:c>
      <x:c r="F104" s="967" t="n">
        <x:v>0</x:v>
      </x:c>
      <x:c r="G104" s="967" t="n">
        <x:v>0</x:v>
      </x:c>
      <x:c r="H104" s="967" t="n">
        <x:v>0</x:v>
      </x:c>
      <x:c r="I104" s="967" t="str"/>
      <x:c r="J104" s="967" t="str">
        <x:v>표준 수리 반복은 XP0 — 자동 기술 파밍 방지</x:v>
      </x:c>
      <x:c r="K104" s="967" t="str">
        <x:v>초안</x:v>
      </x:c>
      <x:c r="L104" s="967"/>
      <x:c r="M104" s="967"/>
      <x:c r="N104" s="967"/>
      <x:c r="O104" s="967"/>
      <x:c r="P104" s="967"/>
      <x:c r="Q104" s="967"/>
    </x:row>
    <x:row r="105" ht="36" hidden="0" customHeight="1">
      <x:c r="A105" s="967" t="str">
        <x:v>W2D9_06</x:v>
      </x:c>
      <x:c r="B105" s="967" t="n">
        <x:v>9</x:v>
      </x:c>
      <x:c r="C105" s="967" t="str">
        <x:v>W2</x:v>
      </x:c>
      <x:c r="D105" s="967" t="str">
        <x:v>PRESERVE</x:v>
      </x:c>
      <x:c r="E105" s="967" t="str">
        <x:v>오아시스 보존 작업</x:v>
      </x:c>
      <x:c r="F105" s="967" t="n">
        <x:v>0</x:v>
      </x:c>
      <x:c r="G105" s="967" t="n">
        <x:v>0</x:v>
      </x:c>
      <x:c r="H105" s="967" t="n">
        <x:v>0</x:v>
      </x:c>
      <x:c r="I105" s="967" t="str"/>
      <x:c r="J105" s="967" t="str">
        <x:v>표준 보존은 XP0 — Ending 투자와 성장 투자를 분리</x:v>
      </x:c>
      <x:c r="K105" s="967" t="str">
        <x:v>초안</x:v>
      </x:c>
      <x:c r="L105" s="967"/>
      <x:c r="M105" s="967"/>
      <x:c r="N105" s="967"/>
      <x:c r="O105" s="967"/>
      <x:c r="P105" s="967"/>
      <x:c r="Q105" s="967"/>
    </x:row>
    <x:row r="106" ht="36" hidden="0" customHeight="1">
      <x:c r="A106" s="967" t="str">
        <x:v>W2D9_07</x:v>
      </x:c>
      <x:c r="B106" s="967" t="n">
        <x:v>9</x:v>
      </x:c>
      <x:c r="C106" s="967" t="str">
        <x:v>W2</x:v>
      </x:c>
      <x:c r="D106" s="967" t="str">
        <x:v>PRESERVE</x:v>
      </x:c>
      <x:c r="E106" s="967" t="str">
        <x:v>거주지 보존 작업</x:v>
      </x:c>
      <x:c r="F106" s="967" t="n">
        <x:v>0</x:v>
      </x:c>
      <x:c r="G106" s="967" t="n">
        <x:v>0</x:v>
      </x:c>
      <x:c r="H106" s="967" t="n">
        <x:v>0</x:v>
      </x:c>
      <x:c r="I106" s="967" t="str"/>
      <x:c r="J106" s="967" t="str">
        <x:v>표준 보존은 XP0 — Ending 투자와 성장 투자를 분리</x:v>
      </x:c>
      <x:c r="K106" s="967" t="str">
        <x:v>초안</x:v>
      </x:c>
      <x:c r="L106" s="967"/>
      <x:c r="M106" s="967"/>
      <x:c r="N106" s="967"/>
      <x:c r="O106" s="967"/>
      <x:c r="P106" s="967"/>
      <x:c r="Q106" s="967"/>
    </x:row>
    <x:row r="107" ht="24" hidden="0" customHeight="1">
      <x:c r="A107" s="967" t="str">
        <x:v>W2D9_08</x:v>
      </x:c>
      <x:c r="B107" s="967" t="n">
        <x:v>9</x:v>
      </x:c>
      <x:c r="C107" s="967" t="str">
        <x:v>W2</x:v>
      </x:c>
      <x:c r="D107" s="967" t="str">
        <x:v>SIDE</x:v>
      </x:c>
      <x:c r="E107" s="967" t="str">
        <x:v>18:00 이후 야간조 근무 준비 확인</x:v>
      </x:c>
      <x:c r="F107" s="967" t="n">
        <x:v>0</x:v>
      </x:c>
      <x:c r="G107" s="967" t="n">
        <x:v>0</x:v>
      </x:c>
      <x:c r="H107" s="967" t="n">
        <x:v>0</x:v>
      </x:c>
      <x:c r="I107" s="967" t="str"/>
      <x:c r="J107" s="967" t="str">
        <x:v>Side 기본 XP0 — 특별 실험/Deepening만 예외</x:v>
      </x:c>
      <x:c r="K107" s="967" t="str">
        <x:v>초안</x:v>
      </x:c>
      <x:c r="L107" s="967"/>
      <x:c r="M107" s="967"/>
      <x:c r="N107" s="967"/>
      <x:c r="O107" s="967"/>
      <x:c r="P107" s="967"/>
      <x:c r="Q107" s="967"/>
    </x:row>
    <x:row r="108" ht="36" hidden="0" customHeight="1">
      <x:c r="A108" s="967" t="str">
        <x:v>W2D10_01</x:v>
      </x:c>
      <x:c r="B108" s="967" t="n">
        <x:v>10</x:v>
      </x:c>
      <x:c r="C108" s="967" t="str">
        <x:v>W2</x:v>
      </x:c>
      <x:c r="D108" s="967" t="str">
        <x:v>MAIN</x:v>
      </x:c>
      <x:c r="E108" s="967" t="str">
        <x:v>대피 준비 Main 진행 — 물자·동선·인원 확인</x:v>
      </x:c>
      <x:c r="F108" s="967" t="n">
        <x:v>0</x:v>
      </x:c>
      <x:c r="G108" s="967" t="n">
        <x:v>0</x:v>
      </x:c>
      <x:c r="H108" s="967" t="n">
        <x:v>0</x:v>
      </x:c>
      <x:c r="I108" s="967" t="str"/>
      <x:c r="J108" s="967" t="str">
        <x:v>일반 Main 진행 XP0 — 명시된 조사/Pivot만 성장</x:v>
      </x:c>
      <x:c r="K108" s="967" t="str">
        <x:v>초안</x:v>
      </x:c>
      <x:c r="L108" s="967"/>
      <x:c r="M108" s="967"/>
      <x:c r="N108" s="967"/>
      <x:c r="O108" s="967"/>
      <x:c r="P108" s="967"/>
      <x:c r="Q108" s="967"/>
    </x:row>
    <x:row r="109" ht="24" hidden="0" customHeight="1">
      <x:c r="A109" s="967" t="str">
        <x:v>W2D10_02</x:v>
      </x:c>
      <x:c r="B109" s="967" t="n">
        <x:v>10</x:v>
      </x:c>
      <x:c r="C109" s="967" t="str">
        <x:v>W2</x:v>
      </x:c>
      <x:c r="D109" s="967" t="str">
        <x:v>EVENT</x:v>
      </x:c>
      <x:c r="E109" s="967" t="str">
        <x:v>모래폭풍 뒤 미라 실종 Event 발생</x:v>
      </x:c>
      <x:c r="F109" s="967" t="n">
        <x:v>0</x:v>
      </x:c>
      <x:c r="G109" s="967" t="n">
        <x:v>0</x:v>
      </x:c>
      <x:c r="H109" s="967" t="n">
        <x:v>0</x:v>
      </x:c>
      <x:c r="I109" s="967" t="str"/>
      <x:c r="J109" s="967" t="str">
        <x:v>진행/상태 변화 자체에는 XP 없음</x:v>
      </x:c>
      <x:c r="K109" s="967" t="str">
        <x:v>초안</x:v>
      </x:c>
      <x:c r="L109" s="967"/>
      <x:c r="M109" s="967"/>
      <x:c r="N109" s="967"/>
      <x:c r="O109" s="967"/>
      <x:c r="P109" s="967"/>
      <x:c r="Q109" s="967"/>
    </x:row>
    <x:row r="110" ht="36" hidden="0" customHeight="1">
      <x:c r="A110" s="967" t="str">
        <x:v>W2D10_03</x:v>
      </x:c>
      <x:c r="B110" s="967" t="n">
        <x:v>10</x:v>
      </x:c>
      <x:c r="C110" s="967" t="str">
        <x:v>W2</x:v>
      </x:c>
      <x:c r="D110" s="967" t="str">
        <x:v>EMERGENCY</x:v>
      </x:c>
      <x:c r="E110" s="967" t="str">
        <x:v>제이가 실종된 미라를 직접 수색해 발견</x:v>
      </x:c>
      <x:c r="F110" s="967" t="n">
        <x:v>0</x:v>
      </x:c>
      <x:c r="G110" s="967" t="n">
        <x:v>0</x:v>
      </x:c>
      <x:c r="H110" s="967" t="n">
        <x:v>0</x:v>
      </x:c>
      <x:c r="I110" s="967" t="str">
        <x:v>Jay가 Stat 해법으로 직접 해결 시 사용 Stat +1 (Root당1회); NPC/기본/Will-only=0</x:v>
      </x:c>
      <x:c r="J110" s="967" t="str">
        <x:v>직접 능력으로 위기를 돌파한 경우</x:v>
      </x:c>
      <x:c r="K110" s="967" t="str">
        <x:v>초안</x:v>
      </x:c>
      <x:c r="L110" s="967"/>
      <x:c r="M110" s="967"/>
      <x:c r="N110" s="967"/>
      <x:c r="O110" s="967"/>
      <x:c r="P110" s="967"/>
      <x:c r="Q110" s="967"/>
    </x:row>
    <x:row r="111" ht="36" hidden="0" customHeight="1">
      <x:c r="A111" s="967" t="str">
        <x:v>W2D10_04</x:v>
      </x:c>
      <x:c r="B111" s="967" t="n">
        <x:v>10</x:v>
      </x:c>
      <x:c r="C111" s="967" t="str">
        <x:v>W2</x:v>
      </x:c>
      <x:c r="D111" s="967" t="str">
        <x:v>CHARACTER</x:v>
      </x:c>
      <x:c r="E111" s="967" t="str">
        <x:v>미라 발견 후 지나와 짧은 대화</x:v>
      </x:c>
      <x:c r="F111" s="967" t="n">
        <x:v>0</x:v>
      </x:c>
      <x:c r="G111" s="967" t="n">
        <x:v>0</x:v>
      </x:c>
      <x:c r="H111" s="967" t="n">
        <x:v>0</x:v>
      </x:c>
      <x:c r="I111" s="967" t="str">
        <x:v>A: XP0 / B: 강인함+2</x:v>
      </x:c>
      <x:c r="J111" s="967" t="str">
        <x:v>Strategic Pivot — 관계/시간/Route 대가와 맞교환</x:v>
      </x:c>
      <x:c r="K111" s="967" t="str">
        <x:v>v1.1 Pivot</x:v>
      </x:c>
      <x:c r="L111" s="967"/>
      <x:c r="M111" s="967"/>
      <x:c r="N111" s="967"/>
      <x:c r="O111" s="967"/>
      <x:c r="P111" s="967"/>
      <x:c r="Q111" s="967"/>
    </x:row>
    <x:row r="112" ht="24" hidden="0" customHeight="1">
      <x:c r="A112" s="967" t="str">
        <x:v>W2D10_05</x:v>
      </x:c>
      <x:c r="B112" s="967" t="n">
        <x:v>10</x:v>
      </x:c>
      <x:c r="C112" s="967" t="str">
        <x:v>W2</x:v>
      </x:c>
      <x:c r="D112" s="967" t="str">
        <x:v>REPAIR</x:v>
      </x:c>
      <x:c r="E112" s="967" t="str">
        <x:v>수송선 시설 1회 복구</x:v>
      </x:c>
      <x:c r="F112" s="967" t="n">
        <x:v>0</x:v>
      </x:c>
      <x:c r="G112" s="967" t="n">
        <x:v>0</x:v>
      </x:c>
      <x:c r="H112" s="967" t="n">
        <x:v>0</x:v>
      </x:c>
      <x:c r="I112" s="967" t="str"/>
      <x:c r="J112" s="967" t="str">
        <x:v>표준 수리 반복은 XP0 — 자동 기술 파밍 방지</x:v>
      </x:c>
      <x:c r="K112" s="967" t="str">
        <x:v>초안</x:v>
      </x:c>
      <x:c r="L112" s="967"/>
      <x:c r="M112" s="967"/>
      <x:c r="N112" s="967"/>
      <x:c r="O112" s="967"/>
      <x:c r="P112" s="967"/>
      <x:c r="Q112" s="967"/>
    </x:row>
    <x:row r="113" ht="36" hidden="0" customHeight="1">
      <x:c r="A113" s="967" t="str">
        <x:v>W2D10_06</x:v>
      </x:c>
      <x:c r="B113" s="967" t="n">
        <x:v>10</x:v>
      </x:c>
      <x:c r="C113" s="967" t="str">
        <x:v>W2</x:v>
      </x:c>
      <x:c r="D113" s="967" t="str">
        <x:v>PRESERVE</x:v>
      </x:c>
      <x:c r="E113" s="967" t="str">
        <x:v>오아시스 보존 작업</x:v>
      </x:c>
      <x:c r="F113" s="967" t="n">
        <x:v>0</x:v>
      </x:c>
      <x:c r="G113" s="967" t="n">
        <x:v>0</x:v>
      </x:c>
      <x:c r="H113" s="967" t="n">
        <x:v>0</x:v>
      </x:c>
      <x:c r="I113" s="967" t="str"/>
      <x:c r="J113" s="967" t="str">
        <x:v>표준 보존은 XP0 — Ending 투자와 성장 투자를 분리</x:v>
      </x:c>
      <x:c r="K113" s="967" t="str">
        <x:v>초안</x:v>
      </x:c>
      <x:c r="L113" s="967"/>
      <x:c r="M113" s="967"/>
      <x:c r="N113" s="967"/>
      <x:c r="O113" s="967"/>
      <x:c r="P113" s="967"/>
      <x:c r="Q113" s="967"/>
    </x:row>
    <x:row r="114" ht="36" hidden="0" customHeight="1">
      <x:c r="A114" s="967" t="str">
        <x:v>W2D10_07</x:v>
      </x:c>
      <x:c r="B114" s="967" t="n">
        <x:v>10</x:v>
      </x:c>
      <x:c r="C114" s="967" t="str">
        <x:v>W2</x:v>
      </x:c>
      <x:c r="D114" s="967" t="str">
        <x:v>PRESERVE</x:v>
      </x:c>
      <x:c r="E114" s="967" t="str">
        <x:v>거주지 보존 작업</x:v>
      </x:c>
      <x:c r="F114" s="967" t="n">
        <x:v>0</x:v>
      </x:c>
      <x:c r="G114" s="967" t="n">
        <x:v>0</x:v>
      </x:c>
      <x:c r="H114" s="967" t="n">
        <x:v>0</x:v>
      </x:c>
      <x:c r="I114" s="967" t="str"/>
      <x:c r="J114" s="967" t="str">
        <x:v>표준 보존은 XP0 — Ending 투자와 성장 투자를 분리</x:v>
      </x:c>
      <x:c r="K114" s="967" t="str">
        <x:v>초안</x:v>
      </x:c>
      <x:c r="L114" s="967"/>
      <x:c r="M114" s="967"/>
      <x:c r="N114" s="967"/>
      <x:c r="O114" s="967"/>
      <x:c r="P114" s="967"/>
      <x:c r="Q114" s="967"/>
    </x:row>
    <x:row r="115" ht="36" hidden="0" customHeight="1">
      <x:c r="A115" s="967" t="str">
        <x:v>W2D10_08</x:v>
      </x:c>
      <x:c r="B115" s="967" t="n">
        <x:v>10</x:v>
      </x:c>
      <x:c r="C115" s="967" t="str">
        <x:v>W2</x:v>
      </x:c>
      <x:c r="D115" s="967" t="str">
        <x:v>CHARACTER</x:v>
      </x:c>
      <x:c r="E115" s="967" t="str">
        <x:v>벤자민 Route Deepening — 묘지에서 마지막으로 손볼 것</x:v>
      </x:c>
      <x:c r="F115" s="967" t="n">
        <x:v>0</x:v>
      </x:c>
      <x:c r="G115" s="967" t="n">
        <x:v>0</x:v>
      </x:c>
      <x:c r="H115" s="967" t="n">
        <x:v>0</x:v>
      </x:c>
      <x:c r="I115" s="967" t="str">
        <x:v>강인함 +1</x:v>
      </x:c>
      <x:c r="J115" s="967" t="str">
        <x:v>Focus/Deepening — Route를 깊게 판 보조 성장</x:v>
      </x:c>
      <x:c r="K115" s="967" t="str">
        <x:v>초안</x:v>
      </x:c>
      <x:c r="L115" s="967"/>
      <x:c r="M115" s="967"/>
      <x:c r="N115" s="967"/>
      <x:c r="O115" s="967"/>
      <x:c r="P115" s="967"/>
      <x:c r="Q115" s="967"/>
    </x:row>
    <x:row r="116" ht="24" hidden="0" customHeight="1">
      <x:c r="A116" s="967" t="str">
        <x:v>W2D10_09</x:v>
      </x:c>
      <x:c r="B116" s="967" t="n">
        <x:v>10</x:v>
      </x:c>
      <x:c r="C116" s="967" t="str">
        <x:v>W2</x:v>
      </x:c>
      <x:c r="D116" s="967" t="str">
        <x:v>ACTIVITY</x:v>
      </x:c>
      <x:c r="E116" s="967" t="str">
        <x:v>성장 또는 휴식 Activity</x:v>
      </x:c>
      <x:c r="F116" s="967" t="n">
        <x:v>0</x:v>
      </x:c>
      <x:c r="G116" s="967" t="n">
        <x:v>0</x:v>
      </x:c>
      <x:c r="H116" s="967" t="n">
        <x:v>0</x:v>
      </x:c>
      <x:c r="I116" s="967" t="str">
        <x:v>2h 성장 선택 시 원하는 Stat +1 / 휴식 선택 시 XP0</x:v>
      </x:c>
      <x:c r="J116" s="967" t="str">
        <x:v>느린 보완 성장</x:v>
      </x:c>
      <x:c r="K116" s="967" t="str">
        <x:v>초안</x:v>
      </x:c>
      <x:c r="L116" s="967"/>
      <x:c r="M116" s="967"/>
      <x:c r="N116" s="967"/>
      <x:c r="O116" s="967"/>
      <x:c r="P116" s="967"/>
      <x:c r="Q116" s="967"/>
    </x:row>
    <x:row r="117" ht="36" hidden="0" customHeight="1">
      <x:c r="A117" s="967" t="str">
        <x:v>W2D11_01</x:v>
      </x:c>
      <x:c r="B117" s="967" t="n">
        <x:v>11</x:v>
      </x:c>
      <x:c r="C117" s="967" t="str">
        <x:v>W2</x:v>
      </x:c>
      <x:c r="D117" s="967" t="str">
        <x:v>MAIN</x:v>
      </x:c>
      <x:c r="E117" s="967" t="str">
        <x:v>대피 준비 Main 진행 — 주민 이동 계획/필수 물자</x:v>
      </x:c>
      <x:c r="F117" s="967" t="n">
        <x:v>0</x:v>
      </x:c>
      <x:c r="G117" s="967" t="n">
        <x:v>0</x:v>
      </x:c>
      <x:c r="H117" s="967" t="n">
        <x:v>0</x:v>
      </x:c>
      <x:c r="I117" s="967" t="str"/>
      <x:c r="J117" s="967" t="str">
        <x:v>일반 Main 진행 XP0 — 명시된 조사/Pivot만 성장</x:v>
      </x:c>
      <x:c r="K117" s="967" t="str">
        <x:v>초안</x:v>
      </x:c>
      <x:c r="L117" s="967"/>
      <x:c r="M117" s="967"/>
      <x:c r="N117" s="967"/>
      <x:c r="O117" s="967"/>
      <x:c r="P117" s="967"/>
      <x:c r="Q117" s="967"/>
    </x:row>
    <x:row r="118" ht="24" hidden="0" customHeight="1">
      <x:c r="A118" s="967" t="str">
        <x:v>W2D11_02</x:v>
      </x:c>
      <x:c r="B118" s="967" t="n">
        <x:v>11</x:v>
      </x:c>
      <x:c r="C118" s="967" t="str">
        <x:v>W2</x:v>
      </x:c>
      <x:c r="D118" s="967" t="str">
        <x:v>SIDE</x:v>
      </x:c>
      <x:c r="E118" s="967" t="str">
        <x:v>어린이 축제/공동체 휴식 Event</x:v>
      </x:c>
      <x:c r="F118" s="967" t="n">
        <x:v>0</x:v>
      </x:c>
      <x:c r="G118" s="967" t="n">
        <x:v>0</x:v>
      </x:c>
      <x:c r="H118" s="967" t="n">
        <x:v>0</x:v>
      </x:c>
      <x:c r="I118" s="967" t="str"/>
      <x:c r="J118" s="967" t="str">
        <x:v>Side 기본 XP0 — 특별 실험/Deepening만 예외</x:v>
      </x:c>
      <x:c r="K118" s="967" t="str">
        <x:v>초안</x:v>
      </x:c>
      <x:c r="L118" s="967"/>
      <x:c r="M118" s="967"/>
      <x:c r="N118" s="967"/>
      <x:c r="O118" s="967"/>
      <x:c r="P118" s="967"/>
      <x:c r="Q118" s="967"/>
    </x:row>
    <x:row r="119" ht="36" hidden="0" customHeight="1">
      <x:c r="A119" s="967" t="str">
        <x:v>W2D11_03</x:v>
      </x:c>
      <x:c r="B119" s="967" t="n">
        <x:v>11</x:v>
      </x:c>
      <x:c r="C119" s="967" t="str">
        <x:v>W2</x:v>
      </x:c>
      <x:c r="D119" s="967" t="str">
        <x:v>CHARACTER</x:v>
      </x:c>
      <x:c r="E119" s="967" t="str">
        <x:v>축제 후 디야와 '아이들의 미래' 대면 Character Quest</x:v>
      </x:c>
      <x:c r="F119" s="967" t="n">
        <x:v>0</x:v>
      </x:c>
      <x:c r="G119" s="967" t="n">
        <x:v>0</x:v>
      </x:c>
      <x:c r="H119" s="967" t="n">
        <x:v>0</x:v>
      </x:c>
      <x:c r="I119" s="967" t="str">
        <x:v>A: 교감+2 / B: XP0</x:v>
      </x:c>
      <x:c r="J119" s="967" t="str">
        <x:v>Strategic Pivot — 관계/시간/Route 대가와 맞교환</x:v>
      </x:c>
      <x:c r="K119" s="967" t="str">
        <x:v>v1.1 Pivot</x:v>
      </x:c>
      <x:c r="L119" s="967"/>
      <x:c r="M119" s="967"/>
      <x:c r="N119" s="967"/>
      <x:c r="O119" s="967"/>
      <x:c r="P119" s="967"/>
      <x:c r="Q119" s="967"/>
    </x:row>
    <x:row r="120" ht="24" hidden="0" customHeight="1">
      <x:c r="A120" s="967" t="str">
        <x:v>W2D11_04</x:v>
      </x:c>
      <x:c r="B120" s="967" t="n">
        <x:v>11</x:v>
      </x:c>
      <x:c r="C120" s="967" t="str">
        <x:v>W2</x:v>
      </x:c>
      <x:c r="D120" s="967" t="str">
        <x:v>REPAIR</x:v>
      </x:c>
      <x:c r="E120" s="967" t="str">
        <x:v>수송선 시설 1회 복구</x:v>
      </x:c>
      <x:c r="F120" s="967" t="n">
        <x:v>0</x:v>
      </x:c>
      <x:c r="G120" s="967" t="n">
        <x:v>0</x:v>
      </x:c>
      <x:c r="H120" s="967" t="n">
        <x:v>0</x:v>
      </x:c>
      <x:c r="I120" s="967" t="str"/>
      <x:c r="J120" s="967" t="str">
        <x:v>표준 수리 반복은 XP0 — 자동 기술 파밍 방지</x:v>
      </x:c>
      <x:c r="K120" s="967" t="str">
        <x:v>초안</x:v>
      </x:c>
      <x:c r="L120" s="967"/>
      <x:c r="M120" s="967"/>
      <x:c r="N120" s="967"/>
      <x:c r="O120" s="967"/>
      <x:c r="P120" s="967"/>
      <x:c r="Q120" s="967"/>
    </x:row>
    <x:row r="121" ht="36" hidden="0" customHeight="1">
      <x:c r="A121" s="967" t="str">
        <x:v>W2D11_05</x:v>
      </x:c>
      <x:c r="B121" s="967" t="n">
        <x:v>11</x:v>
      </x:c>
      <x:c r="C121" s="967" t="str">
        <x:v>W2</x:v>
      </x:c>
      <x:c r="D121" s="967" t="str">
        <x:v>PRESERVE</x:v>
      </x:c>
      <x:c r="E121" s="967" t="str">
        <x:v>오아시스 보존 작업</x:v>
      </x:c>
      <x:c r="F121" s="967" t="n">
        <x:v>0</x:v>
      </x:c>
      <x:c r="G121" s="967" t="n">
        <x:v>0</x:v>
      </x:c>
      <x:c r="H121" s="967" t="n">
        <x:v>0</x:v>
      </x:c>
      <x:c r="I121" s="967" t="str"/>
      <x:c r="J121" s="967" t="str">
        <x:v>표준 보존은 XP0 — Ending 투자와 성장 투자를 분리</x:v>
      </x:c>
      <x:c r="K121" s="967" t="str">
        <x:v>초안</x:v>
      </x:c>
      <x:c r="L121" s="967"/>
      <x:c r="M121" s="967"/>
      <x:c r="N121" s="967"/>
      <x:c r="O121" s="967"/>
      <x:c r="P121" s="967"/>
      <x:c r="Q121" s="967"/>
    </x:row>
    <x:row r="122" ht="36" hidden="0" customHeight="1">
      <x:c r="A122" s="967" t="str">
        <x:v>W2D11_06</x:v>
      </x:c>
      <x:c r="B122" s="967" t="n">
        <x:v>11</x:v>
      </x:c>
      <x:c r="C122" s="967" t="str">
        <x:v>W2</x:v>
      </x:c>
      <x:c r="D122" s="967" t="str">
        <x:v>PRESERVE</x:v>
      </x:c>
      <x:c r="E122" s="967" t="str">
        <x:v>거주지 보존 작업</x:v>
      </x:c>
      <x:c r="F122" s="967" t="n">
        <x:v>0</x:v>
      </x:c>
      <x:c r="G122" s="967" t="n">
        <x:v>0</x:v>
      </x:c>
      <x:c r="H122" s="967" t="n">
        <x:v>0</x:v>
      </x:c>
      <x:c r="I122" s="967" t="str"/>
      <x:c r="J122" s="967" t="str">
        <x:v>표준 보존은 XP0 — Ending 투자와 성장 투자를 분리</x:v>
      </x:c>
      <x:c r="K122" s="967" t="str">
        <x:v>초안</x:v>
      </x:c>
      <x:c r="L122" s="967"/>
      <x:c r="M122" s="967"/>
      <x:c r="N122" s="967"/>
      <x:c r="O122" s="967"/>
      <x:c r="P122" s="967"/>
      <x:c r="Q122" s="967"/>
    </x:row>
    <x:row r="123" ht="36" hidden="0" customHeight="1">
      <x:c r="A123" s="967" t="str">
        <x:v>W2D11_07</x:v>
      </x:c>
      <x:c r="B123" s="967" t="n">
        <x:v>11</x:v>
      </x:c>
      <x:c r="C123" s="967" t="str">
        <x:v>W2</x:v>
      </x:c>
      <x:c r="D123" s="967" t="str">
        <x:v>CHARACTER</x:v>
      </x:c>
      <x:c r="E123" s="967" t="str">
        <x:v>샘 또는 페이 Character Episode 진행</x:v>
      </x:c>
      <x:c r="F123" s="967" t="n">
        <x:v>0</x:v>
      </x:c>
      <x:c r="G123" s="967" t="n">
        <x:v>0</x:v>
      </x:c>
      <x:c r="H123" s="967" t="n">
        <x:v>0</x:v>
      </x:c>
      <x:c r="I123" s="967" t="str"/>
      <x:c r="J123" s="967" t="str">
        <x:v>일반 감정 장면은 XP0 — Pivot/Deepening일 때만 성장</x:v>
      </x:c>
      <x:c r="K123" s="967" t="str">
        <x:v>초안</x:v>
      </x:c>
      <x:c r="L123" s="967"/>
      <x:c r="M123" s="967"/>
      <x:c r="N123" s="967"/>
      <x:c r="O123" s="967"/>
      <x:c r="P123" s="967"/>
      <x:c r="Q123" s="967"/>
    </x:row>
    <x:row r="124" ht="24" hidden="0" customHeight="1">
      <x:c r="A124" s="967" t="str">
        <x:v>W2D11_08</x:v>
      </x:c>
      <x:c r="B124" s="967" t="n">
        <x:v>11</x:v>
      </x:c>
      <x:c r="C124" s="967" t="str">
        <x:v>W2</x:v>
      </x:c>
      <x:c r="D124" s="967" t="str">
        <x:v>ACTIVITY</x:v>
      </x:c>
      <x:c r="E124" s="967" t="str">
        <x:v>휴식/성장 Activity</x:v>
      </x:c>
      <x:c r="F124" s="967" t="n">
        <x:v>0</x:v>
      </x:c>
      <x:c r="G124" s="967" t="n">
        <x:v>0</x:v>
      </x:c>
      <x:c r="H124" s="967" t="n">
        <x:v>0</x:v>
      </x:c>
      <x:c r="I124" s="967" t="str">
        <x:v>2h 성장 선택 시 원하는 Stat +1 / 휴식 선택 시 XP0</x:v>
      </x:c>
      <x:c r="J124" s="967" t="str">
        <x:v>느린 보완 성장</x:v>
      </x:c>
      <x:c r="K124" s="967" t="str">
        <x:v>초안</x:v>
      </x:c>
      <x:c r="L124" s="967"/>
      <x:c r="M124" s="967"/>
      <x:c r="N124" s="967"/>
      <x:c r="O124" s="967"/>
      <x:c r="P124" s="967"/>
      <x:c r="Q124" s="967"/>
    </x:row>
    <x:row r="125" ht="36" hidden="0" customHeight="1">
      <x:c r="A125" s="967" t="str">
        <x:v>W2D12_01</x:v>
      </x:c>
      <x:c r="B125" s="967" t="n">
        <x:v>12</x:v>
      </x:c>
      <x:c r="C125" s="967" t="str">
        <x:v>W2</x:v>
      </x:c>
      <x:c r="D125" s="967" t="str">
        <x:v>MAIN</x:v>
      </x:c>
      <x:c r="E125" s="967" t="str">
        <x:v>대피 준비 Main 진행 — 수송선 내부 수용/생명유지 확인</x:v>
      </x:c>
      <x:c r="F125" s="967" t="n">
        <x:v>0</x:v>
      </x:c>
      <x:c r="G125" s="967" t="n">
        <x:v>0</x:v>
      </x:c>
      <x:c r="H125" s="967" t="n">
        <x:v>0</x:v>
      </x:c>
      <x:c r="I125" s="967" t="str"/>
      <x:c r="J125" s="967" t="str">
        <x:v>일반 Main 진행 XP0 — 명시된 조사/Pivot만 성장</x:v>
      </x:c>
      <x:c r="K125" s="967" t="str">
        <x:v>초안</x:v>
      </x:c>
      <x:c r="L125" s="967"/>
      <x:c r="M125" s="967"/>
      <x:c r="N125" s="967"/>
      <x:c r="O125" s="967"/>
      <x:c r="P125" s="967"/>
      <x:c r="Q125" s="967"/>
    </x:row>
    <x:row r="126" ht="36" hidden="0" customHeight="1">
      <x:c r="A126" s="967" t="str">
        <x:v>W2D12_02</x:v>
      </x:c>
      <x:c r="B126" s="967" t="n">
        <x:v>12</x:v>
      </x:c>
      <x:c r="C126" s="967" t="str">
        <x:v>W2</x:v>
      </x:c>
      <x:c r="D126" s="967" t="str">
        <x:v>CHARACTER</x:v>
      </x:c>
      <x:c r="E126" s="967" t="str">
        <x:v>지나와 제이의 과거를 깊게 이야기하기</x:v>
      </x:c>
      <x:c r="F126" s="967" t="n">
        <x:v>0</x:v>
      </x:c>
      <x:c r="G126" s="967" t="n">
        <x:v>0</x:v>
      </x:c>
      <x:c r="H126" s="967" t="n">
        <x:v>0</x:v>
      </x:c>
      <x:c r="I126" s="967" t="str">
        <x:v>교감 +1</x:v>
      </x:c>
      <x:c r="J126" s="967" t="str">
        <x:v>Focus/Deepening — Route를 깊게 판 보조 성장</x:v>
      </x:c>
      <x:c r="K126" s="967" t="str">
        <x:v>초안</x:v>
      </x:c>
      <x:c r="L126" s="967"/>
      <x:c r="M126" s="967"/>
      <x:c r="N126" s="967"/>
      <x:c r="O126" s="967"/>
      <x:c r="P126" s="967"/>
      <x:c r="Q126" s="967"/>
    </x:row>
    <x:row r="127" ht="36" hidden="0" customHeight="1">
      <x:c r="A127" s="967" t="str">
        <x:v>W2D12_03</x:v>
      </x:c>
      <x:c r="B127" s="967" t="n">
        <x:v>12</x:v>
      </x:c>
      <x:c r="C127" s="967" t="str">
        <x:v>W2</x:v>
      </x:c>
      <x:c r="D127" s="967" t="str">
        <x:v>CHARACTER</x:v>
      </x:c>
      <x:c r="E127" s="967" t="str">
        <x:v>벤자민이 다시 '살아 있는 사람들의 배'를 보기 시작하는 Beat</x:v>
      </x:c>
      <x:c r="F127" s="967" t="n">
        <x:v>0</x:v>
      </x:c>
      <x:c r="G127" s="967" t="n">
        <x:v>0</x:v>
      </x:c>
      <x:c r="H127" s="967" t="n">
        <x:v>0</x:v>
      </x:c>
      <x:c r="I127" s="967" t="str">
        <x:v>A: 강인함+2 / B: XP0</x:v>
      </x:c>
      <x:c r="J127" s="967" t="str">
        <x:v>Strategic Pivot — 관계/시간/Route 대가와 맞교환</x:v>
      </x:c>
      <x:c r="K127" s="967" t="str">
        <x:v>v1.1 Pivot</x:v>
      </x:c>
      <x:c r="L127" s="967"/>
      <x:c r="M127" s="967"/>
      <x:c r="N127" s="967"/>
      <x:c r="O127" s="967"/>
      <x:c r="P127" s="967"/>
      <x:c r="Q127" s="967"/>
    </x:row>
    <x:row r="128" ht="36" hidden="0" customHeight="1">
      <x:c r="A128" s="967" t="str">
        <x:v>W2D12_04</x:v>
      </x:c>
      <x:c r="B128" s="967" t="n">
        <x:v>12</x:v>
      </x:c>
      <x:c r="C128" s="967" t="str">
        <x:v>W2</x:v>
      </x:c>
      <x:c r="D128" s="967" t="str">
        <x:v>SIDE</x:v>
      </x:c>
      <x:c r="E128" s="967" t="str">
        <x:v>온실 작물 시험재배 — "모래에서도 자랄까"</x:v>
      </x:c>
      <x:c r="F128" s="967" t="n">
        <x:v>0</x:v>
      </x:c>
      <x:c r="G128" s="967" t="n">
        <x:v>0</x:v>
      </x:c>
      <x:c r="H128" s="967" t="n">
        <x:v>0</x:v>
      </x:c>
      <x:c r="I128" s="967" t="str">
        <x:v>기술 +1</x:v>
      </x:c>
      <x:c r="J128" s="967" t="str">
        <x:v>Focus/Deepening — Route를 깊게 판 보조 성장</x:v>
      </x:c>
      <x:c r="K128" s="967" t="str">
        <x:v>초안</x:v>
      </x:c>
      <x:c r="L128" s="967"/>
      <x:c r="M128" s="967"/>
      <x:c r="N128" s="967"/>
      <x:c r="O128" s="967"/>
      <x:c r="P128" s="967"/>
      <x:c r="Q128" s="967"/>
    </x:row>
    <x:row r="129" ht="24" hidden="0" customHeight="1">
      <x:c r="A129" s="967" t="str">
        <x:v>W2D12_05</x:v>
      </x:c>
      <x:c r="B129" s="967" t="n">
        <x:v>12</x:v>
      </x:c>
      <x:c r="C129" s="967" t="str">
        <x:v>W2</x:v>
      </x:c>
      <x:c r="D129" s="967" t="str">
        <x:v>REPAIR</x:v>
      </x:c>
      <x:c r="E129" s="967" t="str">
        <x:v>핵심 시설 집중 복구</x:v>
      </x:c>
      <x:c r="F129" s="967" t="n">
        <x:v>0</x:v>
      </x:c>
      <x:c r="G129" s="967" t="n">
        <x:v>0</x:v>
      </x:c>
      <x:c r="H129" s="967" t="n">
        <x:v>0</x:v>
      </x:c>
      <x:c r="I129" s="967" t="str"/>
      <x:c r="J129" s="967" t="str">
        <x:v>표준 수리 반복은 XP0 — 자동 기술 파밍 방지</x:v>
      </x:c>
      <x:c r="K129" s="967" t="str">
        <x:v>초안</x:v>
      </x:c>
      <x:c r="L129" s="967"/>
      <x:c r="M129" s="967"/>
      <x:c r="N129" s="967"/>
      <x:c r="O129" s="967"/>
      <x:c r="P129" s="967"/>
      <x:c r="Q129" s="967"/>
    </x:row>
    <x:row r="130" ht="36" hidden="0" customHeight="1">
      <x:c r="A130" s="967" t="str">
        <x:v>W2D12_06</x:v>
      </x:c>
      <x:c r="B130" s="967" t="n">
        <x:v>12</x:v>
      </x:c>
      <x:c r="C130" s="967" t="str">
        <x:v>W2</x:v>
      </x:c>
      <x:c r="D130" s="967" t="str">
        <x:v>PRESERVE</x:v>
      </x:c>
      <x:c r="E130" s="967" t="str">
        <x:v>오아시스 또는 거주지 집중 보존</x:v>
      </x:c>
      <x:c r="F130" s="967" t="n">
        <x:v>0</x:v>
      </x:c>
      <x:c r="G130" s="967" t="n">
        <x:v>0</x:v>
      </x:c>
      <x:c r="H130" s="967" t="n">
        <x:v>0</x:v>
      </x:c>
      <x:c r="I130" s="967" t="str"/>
      <x:c r="J130" s="967" t="str">
        <x:v>표준 보존은 XP0 — Ending 투자와 성장 투자를 분리</x:v>
      </x:c>
      <x:c r="K130" s="967" t="str">
        <x:v>초안</x:v>
      </x:c>
      <x:c r="L130" s="967"/>
      <x:c r="M130" s="967"/>
      <x:c r="N130" s="967"/>
      <x:c r="O130" s="967"/>
      <x:c r="P130" s="967"/>
      <x:c r="Q130" s="967"/>
    </x:row>
    <x:row r="131" ht="36" hidden="0" customHeight="1">
      <x:c r="A131" s="967" t="str">
        <x:v>W2D12_07</x:v>
      </x:c>
      <x:c r="B131" s="967" t="n">
        <x:v>12</x:v>
      </x:c>
      <x:c r="C131" s="967" t="str">
        <x:v>W2</x:v>
      </x:c>
      <x:c r="D131" s="967" t="str">
        <x:v>PRESERVE</x:v>
      </x:c>
      <x:c r="E131" s="967" t="str">
        <x:v>묘지 보존/추모 작업</x:v>
      </x:c>
      <x:c r="F131" s="967" t="n">
        <x:v>0</x:v>
      </x:c>
      <x:c r="G131" s="967" t="n">
        <x:v>0</x:v>
      </x:c>
      <x:c r="H131" s="967" t="n">
        <x:v>0</x:v>
      </x:c>
      <x:c r="I131" s="967" t="str"/>
      <x:c r="J131" s="967" t="str">
        <x:v>표준 보존은 XP0 — Ending 투자와 성장 투자를 분리</x:v>
      </x:c>
      <x:c r="K131" s="967" t="str">
        <x:v>초안</x:v>
      </x:c>
      <x:c r="L131" s="967"/>
      <x:c r="M131" s="967"/>
      <x:c r="N131" s="967"/>
      <x:c r="O131" s="967"/>
      <x:c r="P131" s="967"/>
      <x:c r="Q131" s="967"/>
    </x:row>
    <x:row r="132" ht="24" hidden="0" customHeight="1">
      <x:c r="A132" s="967" t="str">
        <x:v>W2D12_08</x:v>
      </x:c>
      <x:c r="B132" s="967" t="n">
        <x:v>12</x:v>
      </x:c>
      <x:c r="C132" s="967" t="str">
        <x:v>W2</x:v>
      </x:c>
      <x:c r="D132" s="967" t="str">
        <x:v>SIDE</x:v>
      </x:c>
      <x:c r="E132" s="967" t="str">
        <x:v>야간조 대표와 근무 상황 대화</x:v>
      </x:c>
      <x:c r="F132" s="967" t="n">
        <x:v>0</x:v>
      </x:c>
      <x:c r="G132" s="967" t="n">
        <x:v>0</x:v>
      </x:c>
      <x:c r="H132" s="967" t="n">
        <x:v>0</x:v>
      </x:c>
      <x:c r="I132" s="967" t="str"/>
      <x:c r="J132" s="967" t="str">
        <x:v>Side 기본 XP0 — 특별 실험/Deepening만 예외</x:v>
      </x:c>
      <x:c r="K132" s="967" t="str">
        <x:v>초안</x:v>
      </x:c>
      <x:c r="L132" s="967"/>
      <x:c r="M132" s="967"/>
      <x:c r="N132" s="967"/>
      <x:c r="O132" s="967"/>
      <x:c r="P132" s="967"/>
      <x:c r="Q132" s="967"/>
    </x:row>
    <x:row r="133" ht="24" hidden="0" customHeight="1">
      <x:c r="A133" s="967" t="str">
        <x:v>W2D12_09</x:v>
      </x:c>
      <x:c r="B133" s="967" t="n">
        <x:v>12</x:v>
      </x:c>
      <x:c r="C133" s="967" t="str">
        <x:v>W2</x:v>
      </x:c>
      <x:c r="D133" s="967" t="str">
        <x:v>ACTIVITY</x:v>
      </x:c>
      <x:c r="E133" s="967" t="str">
        <x:v>성장/휴식 Activity</x:v>
      </x:c>
      <x:c r="F133" s="967" t="n">
        <x:v>0</x:v>
      </x:c>
      <x:c r="G133" s="967" t="n">
        <x:v>0</x:v>
      </x:c>
      <x:c r="H133" s="967" t="n">
        <x:v>0</x:v>
      </x:c>
      <x:c r="I133" s="967" t="str">
        <x:v>2h 성장 선택 시 원하는 Stat +1 / 휴식 선택 시 XP0</x:v>
      </x:c>
      <x:c r="J133" s="967" t="str">
        <x:v>느린 보완 성장</x:v>
      </x:c>
      <x:c r="K133" s="967" t="str">
        <x:v>초안</x:v>
      </x:c>
      <x:c r="L133" s="967"/>
      <x:c r="M133" s="967"/>
      <x:c r="N133" s="967"/>
      <x:c r="O133" s="967"/>
      <x:c r="P133" s="967"/>
      <x:c r="Q133" s="967"/>
    </x:row>
    <x:row r="134" ht="36" hidden="0" customHeight="1">
      <x:c r="A134" s="967" t="str">
        <x:v>W2D13_01</x:v>
      </x:c>
      <x:c r="B134" s="967" t="n">
        <x:v>13</x:v>
      </x:c>
      <x:c r="C134" s="967" t="str">
        <x:v>W2</x:v>
      </x:c>
      <x:c r="D134" s="967" t="str">
        <x:v>MAIN</x:v>
      </x:c>
      <x:c r="E134" s="967" t="str">
        <x:v>최종 대피 준비 Main — 남은 외부 작업 목록 확정</x:v>
      </x:c>
      <x:c r="F134" s="967" t="n">
        <x:v>0</x:v>
      </x:c>
      <x:c r="G134" s="967" t="n">
        <x:v>0</x:v>
      </x:c>
      <x:c r="H134" s="967" t="n">
        <x:v>0</x:v>
      </x:c>
      <x:c r="I134" s="967" t="str"/>
      <x:c r="J134" s="967" t="str">
        <x:v>일반 Main 진행 XP0 — 명시된 조사/Pivot만 성장</x:v>
      </x:c>
      <x:c r="K134" s="967" t="str">
        <x:v>초안</x:v>
      </x:c>
      <x:c r="L134" s="967"/>
      <x:c r="M134" s="967"/>
      <x:c r="N134" s="967"/>
      <x:c r="O134" s="967"/>
      <x:c r="P134" s="967"/>
      <x:c r="Q134" s="967"/>
    </x:row>
    <x:row r="135" ht="24" hidden="0" customHeight="1">
      <x:c r="A135" s="967" t="str">
        <x:v>W2D13_02</x:v>
      </x:c>
      <x:c r="B135" s="967" t="n">
        <x:v>13</x:v>
      </x:c>
      <x:c r="C135" s="967" t="str">
        <x:v>W2</x:v>
      </x:c>
      <x:c r="D135" s="967" t="str">
        <x:v>REPAIR</x:v>
      </x:c>
      <x:c r="E135" s="967" t="str">
        <x:v>수송선 시설 집중 복구</x:v>
      </x:c>
      <x:c r="F135" s="967" t="n">
        <x:v>0</x:v>
      </x:c>
      <x:c r="G135" s="967" t="n">
        <x:v>0</x:v>
      </x:c>
      <x:c r="H135" s="967" t="n">
        <x:v>0</x:v>
      </x:c>
      <x:c r="I135" s="967" t="str"/>
      <x:c r="J135" s="967" t="str">
        <x:v>표준 수리 반복은 XP0 — 자동 기술 파밍 방지</x:v>
      </x:c>
      <x:c r="K135" s="967" t="str">
        <x:v>초안</x:v>
      </x:c>
      <x:c r="L135" s="967"/>
      <x:c r="M135" s="967"/>
      <x:c r="N135" s="967"/>
      <x:c r="O135" s="967"/>
      <x:c r="P135" s="967"/>
      <x:c r="Q135" s="967"/>
    </x:row>
    <x:row r="136" ht="36" hidden="0" customHeight="1">
      <x:c r="A136" s="967" t="str">
        <x:v>W2D13_03</x:v>
      </x:c>
      <x:c r="B136" s="967" t="n">
        <x:v>13</x:v>
      </x:c>
      <x:c r="C136" s="967" t="str">
        <x:v>W2</x:v>
      </x:c>
      <x:c r="D136" s="967" t="str">
        <x:v>PRESERVE</x:v>
      </x:c>
      <x:c r="E136" s="967" t="str">
        <x:v>오아시스 보존 작업</x:v>
      </x:c>
      <x:c r="F136" s="967" t="n">
        <x:v>0</x:v>
      </x:c>
      <x:c r="G136" s="967" t="n">
        <x:v>0</x:v>
      </x:c>
      <x:c r="H136" s="967" t="n">
        <x:v>0</x:v>
      </x:c>
      <x:c r="I136" s="967" t="str"/>
      <x:c r="J136" s="967" t="str">
        <x:v>표준 보존은 XP0 — Ending 투자와 성장 투자를 분리</x:v>
      </x:c>
      <x:c r="K136" s="967" t="str">
        <x:v>초안</x:v>
      </x:c>
      <x:c r="L136" s="967"/>
      <x:c r="M136" s="967"/>
      <x:c r="N136" s="967"/>
      <x:c r="O136" s="967"/>
      <x:c r="P136" s="967"/>
      <x:c r="Q136" s="967"/>
    </x:row>
    <x:row r="137" ht="36" hidden="0" customHeight="1">
      <x:c r="A137" s="967" t="str">
        <x:v>W2D13_04</x:v>
      </x:c>
      <x:c r="B137" s="967" t="n">
        <x:v>13</x:v>
      </x:c>
      <x:c r="C137" s="967" t="str">
        <x:v>W2</x:v>
      </x:c>
      <x:c r="D137" s="967" t="str">
        <x:v>PRESERVE</x:v>
      </x:c>
      <x:c r="E137" s="967" t="str">
        <x:v>거주지 보존 작업</x:v>
      </x:c>
      <x:c r="F137" s="967" t="n">
        <x:v>0</x:v>
      </x:c>
      <x:c r="G137" s="967" t="n">
        <x:v>0</x:v>
      </x:c>
      <x:c r="H137" s="967" t="n">
        <x:v>0</x:v>
      </x:c>
      <x:c r="I137" s="967" t="str"/>
      <x:c r="J137" s="967" t="str">
        <x:v>표준 보존은 XP0 — Ending 투자와 성장 투자를 분리</x:v>
      </x:c>
      <x:c r="K137" s="967" t="str">
        <x:v>초안</x:v>
      </x:c>
      <x:c r="L137" s="967"/>
      <x:c r="M137" s="967"/>
      <x:c r="N137" s="967"/>
      <x:c r="O137" s="967"/>
      <x:c r="P137" s="967"/>
      <x:c r="Q137" s="967"/>
    </x:row>
    <x:row r="138" ht="36" hidden="0" customHeight="1">
      <x:c r="A138" s="967" t="str">
        <x:v>W2D13_05</x:v>
      </x:c>
      <x:c r="B138" s="967" t="n">
        <x:v>13</x:v>
      </x:c>
      <x:c r="C138" s="967" t="str">
        <x:v>W2</x:v>
      </x:c>
      <x:c r="D138" s="967" t="str">
        <x:v>CHARACTER</x:v>
      </x:c>
      <x:c r="E138" s="967" t="str">
        <x:v>묘지 보존/벤자민 Character 후속</x:v>
      </x:c>
      <x:c r="F138" s="967" t="n">
        <x:v>0</x:v>
      </x:c>
      <x:c r="G138" s="967" t="n">
        <x:v>0</x:v>
      </x:c>
      <x:c r="H138" s="967" t="n">
        <x:v>0</x:v>
      </x:c>
      <x:c r="I138" s="967" t="str"/>
      <x:c r="J138" s="967" t="str">
        <x:v>일반 감정 장면은 XP0 — Pivot/Deepening일 때만 성장</x:v>
      </x:c>
      <x:c r="K138" s="967" t="str">
        <x:v>초안</x:v>
      </x:c>
      <x:c r="L138" s="967"/>
      <x:c r="M138" s="967"/>
      <x:c r="N138" s="967"/>
      <x:c r="O138" s="967"/>
      <x:c r="P138" s="967"/>
      <x:c r="Q138" s="967"/>
    </x:row>
    <x:row r="139" ht="36" hidden="0" customHeight="1">
      <x:c r="A139" s="967" t="str">
        <x:v>W2D13_06</x:v>
      </x:c>
      <x:c r="B139" s="967" t="n">
        <x:v>13</x:v>
      </x:c>
      <x:c r="C139" s="967" t="str">
        <x:v>W2</x:v>
      </x:c>
      <x:c r="D139" s="967" t="str">
        <x:v>CHARACTER</x:v>
      </x:c>
      <x:c r="E139" s="967" t="str">
        <x:v>페이 Route Deepening — 공연용 음향·악기 장비를 살려두기</x:v>
      </x:c>
      <x:c r="F139" s="967" t="n">
        <x:v>0</x:v>
      </x:c>
      <x:c r="G139" s="967" t="n">
        <x:v>0</x:v>
      </x:c>
      <x:c r="H139" s="967" t="n">
        <x:v>0</x:v>
      </x:c>
      <x:c r="I139" s="967" t="str">
        <x:v>기술 +1</x:v>
      </x:c>
      <x:c r="J139" s="967" t="str">
        <x:v>Focus/Deepening — Route를 깊게 판 보조 성장</x:v>
      </x:c>
      <x:c r="K139" s="967" t="str">
        <x:v>초안</x:v>
      </x:c>
      <x:c r="L139" s="967"/>
      <x:c r="M139" s="967"/>
      <x:c r="N139" s="967"/>
      <x:c r="O139" s="967"/>
      <x:c r="P139" s="967"/>
      <x:c r="Q139" s="967"/>
    </x:row>
    <x:row r="140" ht="36" hidden="0" customHeight="1">
      <x:c r="A140" s="967" t="str">
        <x:v>W2D13_07</x:v>
      </x:c>
      <x:c r="B140" s="967" t="n">
        <x:v>13</x:v>
      </x:c>
      <x:c r="C140" s="967" t="str">
        <x:v>W2</x:v>
      </x:c>
      <x:c r="D140" s="967" t="str">
        <x:v>CHARACTER</x:v>
      </x:c>
      <x:c r="E140" s="967" t="str">
        <x:v>샘과 야간 인계 전에 짧게 대화</x:v>
      </x:c>
      <x:c r="F140" s="967" t="n">
        <x:v>0</x:v>
      </x:c>
      <x:c r="G140" s="967" t="n">
        <x:v>0</x:v>
      </x:c>
      <x:c r="H140" s="967" t="n">
        <x:v>0</x:v>
      </x:c>
      <x:c r="I140" s="967" t="str">
        <x:v>A: XP0 / B: 강인함+3</x:v>
      </x:c>
      <x:c r="J140" s="967" t="str">
        <x:v>Strategic Pivot — 관계/시간/Route 대가와 맞교환</x:v>
      </x:c>
      <x:c r="K140" s="967" t="str">
        <x:v>v1.1 Pivot</x:v>
      </x:c>
      <x:c r="L140" s="967"/>
      <x:c r="M140" s="967"/>
      <x:c r="N140" s="967"/>
      <x:c r="O140" s="967"/>
      <x:c r="P140" s="967"/>
      <x:c r="Q140" s="967"/>
    </x:row>
    <x:row r="141" ht="24" hidden="0" customHeight="1">
      <x:c r="A141" s="967" t="str">
        <x:v>W2D13_08</x:v>
      </x:c>
      <x:c r="B141" s="967" t="n">
        <x:v>13</x:v>
      </x:c>
      <x:c r="C141" s="967" t="str">
        <x:v>W2</x:v>
      </x:c>
      <x:c r="D141" s="967" t="str">
        <x:v>ACTIVITY</x:v>
      </x:c>
      <x:c r="E141" s="967" t="str">
        <x:v>휴식/성장 Activity</x:v>
      </x:c>
      <x:c r="F141" s="967" t="n">
        <x:v>0</x:v>
      </x:c>
      <x:c r="G141" s="967" t="n">
        <x:v>0</x:v>
      </x:c>
      <x:c r="H141" s="967" t="n">
        <x:v>0</x:v>
      </x:c>
      <x:c r="I141" s="967" t="str">
        <x:v>2h 성장 선택 시 원하는 Stat +1 / 휴식 선택 시 XP0</x:v>
      </x:c>
      <x:c r="J141" s="967" t="str">
        <x:v>느린 보완 성장</x:v>
      </x:c>
      <x:c r="K141" s="967" t="str">
        <x:v>초안</x:v>
      </x:c>
      <x:c r="L141" s="967"/>
      <x:c r="M141" s="967"/>
      <x:c r="N141" s="967"/>
      <x:c r="O141" s="967"/>
      <x:c r="P141" s="967"/>
      <x:c r="Q141" s="967"/>
    </x:row>
    <x:row r="142" ht="36" hidden="0" customHeight="1">
      <x:c r="A142" s="967" t="str">
        <x:v>W2D13_09</x:v>
      </x:c>
      <x:c r="B142" s="967" t="n">
        <x:v>13</x:v>
      </x:c>
      <x:c r="C142" s="967" t="str">
        <x:v>W2</x:v>
      </x:c>
      <x:c r="D142" s="967" t="str">
        <x:v>EVENT</x:v>
      </x:c>
      <x:c r="E142" s="967" t="str">
        <x:v>Overnight: 온실 고장과 외부 야간조 구조 요청 동시 발생</x:v>
      </x:c>
      <x:c r="F142" s="967" t="n">
        <x:v>0</x:v>
      </x:c>
      <x:c r="G142" s="967" t="n">
        <x:v>0</x:v>
      </x:c>
      <x:c r="H142" s="967" t="n">
        <x:v>0</x:v>
      </x:c>
      <x:c r="I142" s="967" t="str"/>
      <x:c r="J142" s="967" t="str">
        <x:v>진행/상태 변화 자체에는 XP 없음</x:v>
      </x:c>
      <x:c r="K142" s="967" t="str">
        <x:v>초안</x:v>
      </x:c>
      <x:c r="L142" s="967"/>
      <x:c r="M142" s="967"/>
      <x:c r="N142" s="967"/>
      <x:c r="O142" s="967"/>
      <x:c r="P142" s="967"/>
      <x:c r="Q142" s="967"/>
    </x:row>
    <x:row r="143" ht="36" hidden="0" customHeight="1">
      <x:c r="A143" s="967" t="str">
        <x:v>W2D14_01</x:v>
      </x:c>
      <x:c r="B143" s="967" t="n">
        <x:v>14</x:v>
      </x:c>
      <x:c r="C143" s="967" t="str">
        <x:v>W2</x:v>
      </x:c>
      <x:c r="D143" s="967" t="str">
        <x:v>CHARACTER</x:v>
      </x:c>
      <x:c r="E143" s="967" t="str">
        <x:v>아침: 샘 야간 사건 후속 Character Event</x:v>
      </x:c>
      <x:c r="F143" s="967" t="n">
        <x:v>0</x:v>
      </x:c>
      <x:c r="G143" s="967" t="n">
        <x:v>0</x:v>
      </x:c>
      <x:c r="H143" s="967" t="n">
        <x:v>0</x:v>
      </x:c>
      <x:c r="I143" s="967" t="str"/>
      <x:c r="J143" s="967" t="str">
        <x:v>일반 감정 장면은 XP0 — Pivot/Deepening일 때만 성장</x:v>
      </x:c>
      <x:c r="K143" s="967" t="str">
        <x:v>초안</x:v>
      </x:c>
      <x:c r="L143" s="967"/>
      <x:c r="M143" s="967"/>
      <x:c r="N143" s="967"/>
      <x:c r="O143" s="967"/>
      <x:c r="P143" s="967"/>
      <x:c r="Q143" s="967"/>
    </x:row>
    <x:row r="144" ht="36" hidden="0" customHeight="1">
      <x:c r="A144" s="967" t="str">
        <x:v>W2D14_02</x:v>
      </x:c>
      <x:c r="B144" s="967" t="n">
        <x:v>14</x:v>
      </x:c>
      <x:c r="C144" s="967" t="str">
        <x:v>W2</x:v>
      </x:c>
      <x:c r="D144" s="967" t="str">
        <x:v>MAIN</x:v>
      </x:c>
      <x:c r="E144" s="967" t="str">
        <x:v>주민·물자 최종 대피</x:v>
      </x:c>
      <x:c r="F144" s="967" t="n">
        <x:v>0</x:v>
      </x:c>
      <x:c r="G144" s="967" t="n">
        <x:v>0</x:v>
      </x:c>
      <x:c r="H144" s="967" t="n">
        <x:v>0</x:v>
      </x:c>
      <x:c r="I144" s="967" t="str"/>
      <x:c r="J144" s="967" t="str">
        <x:v>일반 Main 진행 XP0 — 명시된 조사/Pivot만 성장</x:v>
      </x:c>
      <x:c r="K144" s="967" t="str">
        <x:v>초안</x:v>
      </x:c>
      <x:c r="L144" s="967"/>
      <x:c r="M144" s="967"/>
      <x:c r="N144" s="967"/>
      <x:c r="O144" s="967"/>
      <x:c r="P144" s="967"/>
      <x:c r="Q144" s="967"/>
    </x:row>
    <x:row r="145" ht="36" hidden="0" customHeight="1">
      <x:c r="A145" s="967" t="str">
        <x:v>W2D14_03</x:v>
      </x:c>
      <x:c r="B145" s="967" t="n">
        <x:v>14</x:v>
      </x:c>
      <x:c r="C145" s="967" t="str">
        <x:v>W2</x:v>
      </x:c>
      <x:c r="D145" s="967" t="str">
        <x:v>MAIN</x:v>
      </x:c>
      <x:c r="E145" s="967" t="str">
        <x:v>수송선 출입구 최종 봉쇄</x:v>
      </x:c>
      <x:c r="F145" s="967" t="n">
        <x:v>0</x:v>
      </x:c>
      <x:c r="G145" s="967" t="n">
        <x:v>0</x:v>
      </x:c>
      <x:c r="H145" s="967" t="n">
        <x:v>0</x:v>
      </x:c>
      <x:c r="I145" s="967" t="str"/>
      <x:c r="J145" s="967" t="str">
        <x:v>일반 Main 진행 XP0 — 명시된 조사/Pivot만 성장</x:v>
      </x:c>
      <x:c r="K145" s="967" t="str">
        <x:v>초안</x:v>
      </x:c>
      <x:c r="L145" s="967"/>
      <x:c r="M145" s="967"/>
      <x:c r="N145" s="967"/>
      <x:c r="O145" s="967"/>
      <x:c r="P145" s="967"/>
      <x:c r="Q145" s="967"/>
    </x:row>
    <x:row r="146" ht="24" hidden="0" customHeight="1">
      <x:c r="A146" s="967" t="str">
        <x:v>W2D14_04</x:v>
      </x:c>
      <x:c r="B146" s="967" t="n">
        <x:v>14</x:v>
      </x:c>
      <x:c r="C146" s="967" t="str">
        <x:v>W2</x:v>
      </x:c>
      <x:c r="D146" s="967" t="str">
        <x:v>REPAIR</x:v>
      </x:c>
      <x:c r="E146" s="967" t="str">
        <x:v>마지막 수송선 시설 수리</x:v>
      </x:c>
      <x:c r="F146" s="967" t="n">
        <x:v>0</x:v>
      </x:c>
      <x:c r="G146" s="967" t="n">
        <x:v>0</x:v>
      </x:c>
      <x:c r="H146" s="967" t="n">
        <x:v>0</x:v>
      </x:c>
      <x:c r="I146" s="967" t="str"/>
      <x:c r="J146" s="967" t="str">
        <x:v>표준 수리 반복은 XP0 — 자동 기술 파밍 방지</x:v>
      </x:c>
      <x:c r="K146" s="967" t="str">
        <x:v>초안</x:v>
      </x:c>
      <x:c r="L146" s="967"/>
      <x:c r="M146" s="967"/>
      <x:c r="N146" s="967"/>
      <x:c r="O146" s="967"/>
      <x:c r="P146" s="967"/>
      <x:c r="Q146" s="967"/>
    </x:row>
    <x:row r="147" ht="36" hidden="0" customHeight="1">
      <x:c r="A147" s="967" t="str">
        <x:v>W2D14_05</x:v>
      </x:c>
      <x:c r="B147" s="967" t="n">
        <x:v>14</x:v>
      </x:c>
      <x:c r="C147" s="967" t="str">
        <x:v>W2</x:v>
      </x:c>
      <x:c r="D147" s="967" t="str">
        <x:v>PRESERVE</x:v>
      </x:c>
      <x:c r="E147" s="967" t="str">
        <x:v>마지막 오아시스 보존 작업</x:v>
      </x:c>
      <x:c r="F147" s="967" t="n">
        <x:v>0</x:v>
      </x:c>
      <x:c r="G147" s="967" t="n">
        <x:v>0</x:v>
      </x:c>
      <x:c r="H147" s="967" t="n">
        <x:v>0</x:v>
      </x:c>
      <x:c r="I147" s="967" t="str"/>
      <x:c r="J147" s="967" t="str">
        <x:v>표준 보존은 XP0 — Ending 투자와 성장 투자를 분리</x:v>
      </x:c>
      <x:c r="K147" s="967" t="str">
        <x:v>초안</x:v>
      </x:c>
      <x:c r="L147" s="967"/>
      <x:c r="M147" s="967"/>
      <x:c r="N147" s="967"/>
      <x:c r="O147" s="967"/>
      <x:c r="P147" s="967"/>
      <x:c r="Q147" s="967"/>
    </x:row>
    <x:row r="148" ht="36" hidden="0" customHeight="1">
      <x:c r="A148" s="967" t="str">
        <x:v>W2D14_06</x:v>
      </x:c>
      <x:c r="B148" s="967" t="n">
        <x:v>14</x:v>
      </x:c>
      <x:c r="C148" s="967" t="str">
        <x:v>W2</x:v>
      </x:c>
      <x:c r="D148" s="967" t="str">
        <x:v>PRESERVE</x:v>
      </x:c>
      <x:c r="E148" s="967" t="str">
        <x:v>마지막 거주지 보존 작업</x:v>
      </x:c>
      <x:c r="F148" s="967" t="n">
        <x:v>0</x:v>
      </x:c>
      <x:c r="G148" s="967" t="n">
        <x:v>0</x:v>
      </x:c>
      <x:c r="H148" s="967" t="n">
        <x:v>0</x:v>
      </x:c>
      <x:c r="I148" s="967" t="str"/>
      <x:c r="J148" s="967" t="str">
        <x:v>표준 보존은 XP0 — Ending 투자와 성장 투자를 분리</x:v>
      </x:c>
      <x:c r="K148" s="967" t="str">
        <x:v>초안</x:v>
      </x:c>
      <x:c r="L148" s="967"/>
      <x:c r="M148" s="967"/>
      <x:c r="N148" s="967"/>
      <x:c r="O148" s="967"/>
      <x:c r="P148" s="967"/>
      <x:c r="Q148" s="967"/>
    </x:row>
    <x:row r="149" ht="36" hidden="0" customHeight="1">
      <x:c r="A149" s="967" t="str">
        <x:v>W2D14_07</x:v>
      </x:c>
      <x:c r="B149" s="967" t="n">
        <x:v>14</x:v>
      </x:c>
      <x:c r="C149" s="967" t="str">
        <x:v>W2</x:v>
      </x:c>
      <x:c r="D149" s="967" t="str">
        <x:v>PRESERVE</x:v>
      </x:c>
      <x:c r="E149" s="967" t="str">
        <x:v>마지막 묘지 보존/인사</x:v>
      </x:c>
      <x:c r="F149" s="967" t="n">
        <x:v>0</x:v>
      </x:c>
      <x:c r="G149" s="967" t="n">
        <x:v>0</x:v>
      </x:c>
      <x:c r="H149" s="967" t="n">
        <x:v>0</x:v>
      </x:c>
      <x:c r="I149" s="967" t="str"/>
      <x:c r="J149" s="967" t="str">
        <x:v>표준 보존은 XP0 — Ending 투자와 성장 투자를 분리</x:v>
      </x:c>
      <x:c r="K149" s="967" t="str">
        <x:v>초안</x:v>
      </x:c>
      <x:c r="L149" s="967"/>
      <x:c r="M149" s="967"/>
      <x:c r="N149" s="967"/>
      <x:c r="O149" s="967"/>
      <x:c r="P149" s="967"/>
      <x:c r="Q149" s="967"/>
    </x:row>
    <x:row r="150" ht="36" hidden="0" customHeight="1">
      <x:c r="A150" s="967" t="str">
        <x:v>W2D14_08</x:v>
      </x:c>
      <x:c r="B150" s="967" t="n">
        <x:v>14</x:v>
      </x:c>
      <x:c r="C150" s="967" t="str">
        <x:v>W2</x:v>
      </x:c>
      <x:c r="D150" s="967" t="str">
        <x:v>CHARACTER</x:v>
      </x:c>
      <x:c r="E150" s="967" t="str">
        <x:v>외부에서 마지막 Character 대화 1회</x:v>
      </x:c>
      <x:c r="F150" s="967" t="n">
        <x:v>0</x:v>
      </x:c>
      <x:c r="G150" s="967" t="n">
        <x:v>0</x:v>
      </x:c>
      <x:c r="H150" s="967" t="n">
        <x:v>0</x:v>
      </x:c>
      <x:c r="I150" s="967" t="str"/>
      <x:c r="J150" s="967" t="str">
        <x:v>일반 감정 장면은 XP0 — Pivot/Deepening일 때만 성장</x:v>
      </x:c>
      <x:c r="K150" s="967" t="str">
        <x:v>초안</x:v>
      </x:c>
      <x:c r="L150" s="967"/>
      <x:c r="M150" s="967"/>
      <x:c r="N150" s="967"/>
      <x:c r="O150" s="967"/>
      <x:c r="P150" s="967"/>
      <x:c r="Q150" s="967"/>
    </x:row>
    <x:row r="151" ht="24" hidden="0" customHeight="1">
      <x:c r="A151" s="967" t="str">
        <x:v>W2D14_09</x:v>
      </x:c>
      <x:c r="B151" s="967" t="n">
        <x:v>14</x:v>
      </x:c>
      <x:c r="C151" s="967" t="str">
        <x:v>W2</x:v>
      </x:c>
      <x:c r="D151" s="967" t="str">
        <x:v>ACTIVITY</x:v>
      </x:c>
      <x:c r="E151" s="967" t="str">
        <x:v>휴식/성장 Activity</x:v>
      </x:c>
      <x:c r="F151" s="967" t="n">
        <x:v>0</x:v>
      </x:c>
      <x:c r="G151" s="967" t="n">
        <x:v>0</x:v>
      </x:c>
      <x:c r="H151" s="967" t="n">
        <x:v>0</x:v>
      </x:c>
      <x:c r="I151" s="967" t="str">
        <x:v>2h 성장 선택 시 원하는 Stat +1 / 휴식 선택 시 XP0</x:v>
      </x:c>
      <x:c r="J151" s="967" t="str">
        <x:v>느린 보완 성장</x:v>
      </x:c>
      <x:c r="K151" s="967" t="str">
        <x:v>초안</x:v>
      </x:c>
      <x:c r="L151" s="967"/>
      <x:c r="M151" s="967"/>
      <x:c r="N151" s="967"/>
      <x:c r="O151" s="967"/>
      <x:c r="P151" s="967"/>
      <x:c r="Q151" s="967"/>
    </x:row>
    <x:row r="152" ht="36" hidden="0" customHeight="1">
      <x:c r="A152" s="967" t="str">
        <x:v>W3D15_01</x:v>
      </x:c>
      <x:c r="B152" s="967" t="n">
        <x:v>15</x:v>
      </x:c>
      <x:c r="C152" s="967" t="str">
        <x:v>W3</x:v>
      </x:c>
      <x:c r="D152" s="967" t="str">
        <x:v>MAIN</x:v>
      </x:c>
      <x:c r="E152" s="967" t="str">
        <x:v>수송선 내부 4구역 전환 / 8개 시설 상태 브리핑</x:v>
      </x:c>
      <x:c r="F152" s="967" t="n">
        <x:v>0</x:v>
      </x:c>
      <x:c r="G152" s="967" t="n">
        <x:v>0</x:v>
      </x:c>
      <x:c r="H152" s="967" t="n">
        <x:v>0</x:v>
      </x:c>
      <x:c r="I152" s="967" t="str"/>
      <x:c r="J152" s="967" t="str">
        <x:v>일반 Main 진행 XP0 — 명시된 조사/Pivot만 성장</x:v>
      </x:c>
      <x:c r="K152" s="967" t="str">
        <x:v>초안</x:v>
      </x:c>
      <x:c r="L152" s="967"/>
      <x:c r="M152" s="967"/>
      <x:c r="N152" s="967"/>
      <x:c r="O152" s="967"/>
      <x:c r="P152" s="967"/>
      <x:c r="Q152" s="967"/>
    </x:row>
    <x:row r="153" ht="36" hidden="0" customHeight="1">
      <x:c r="A153" s="967" t="str">
        <x:v>W3D15_02</x:v>
      </x:c>
      <x:c r="B153" s="967" t="n">
        <x:v>15</x:v>
      </x:c>
      <x:c r="C153" s="967" t="str">
        <x:v>W3</x:v>
      </x:c>
      <x:c r="D153" s="967" t="str">
        <x:v>EMERGENCY</x:v>
      </x:c>
      <x:c r="E153" s="967" t="str">
        <x:v>첫 Wave — 시설 2곳 동시 Emergency</x:v>
      </x:c>
      <x:c r="F153" s="967" t="n">
        <x:v>0</x:v>
      </x:c>
      <x:c r="G153" s="967" t="n">
        <x:v>0</x:v>
      </x:c>
      <x:c r="H153" s="967" t="n">
        <x:v>0</x:v>
      </x:c>
      <x:c r="I153" s="967" t="str">
        <x:v>Jay가 Stat 해법으로 직접 해결 시 사용 Stat +1 (Root당1회); NPC/기본/Will-only=0</x:v>
      </x:c>
      <x:c r="J153" s="967" t="str">
        <x:v>직접 능력으로 위기를 돌파한 경우</x:v>
      </x:c>
      <x:c r="K153" s="967" t="str">
        <x:v>초안</x:v>
      </x:c>
      <x:c r="L153" s="967"/>
      <x:c r="M153" s="967"/>
      <x:c r="N153" s="967"/>
      <x:c r="O153" s="967"/>
      <x:c r="P153" s="967"/>
      <x:c r="Q153" s="967"/>
    </x:row>
    <x:row r="154" ht="24" hidden="0" customHeight="1">
      <x:c r="A154" s="967" t="str">
        <x:v>W3D15_03</x:v>
      </x:c>
      <x:c r="B154" s="967" t="n">
        <x:v>15</x:v>
      </x:c>
      <x:c r="C154" s="967" t="str">
        <x:v>W3</x:v>
      </x:c>
      <x:c r="D154" s="967" t="str">
        <x:v>SYSTEM</x:v>
      </x:c>
      <x:c r="E154" s="967" t="str">
        <x:v>NPC 이동 요청 기능 익히기</x:v>
      </x:c>
      <x:c r="F154" s="967" t="n">
        <x:v>0</x:v>
      </x:c>
      <x:c r="G154" s="967" t="n">
        <x:v>0</x:v>
      </x:c>
      <x:c r="H154" s="967" t="n">
        <x:v>0</x:v>
      </x:c>
      <x:c r="I154" s="967" t="str"/>
      <x:c r="J154" s="967" t="str">
        <x:v>진행/상태 변화 자체에는 XP 없음</x:v>
      </x:c>
      <x:c r="K154" s="967" t="str">
        <x:v>초안</x:v>
      </x:c>
      <x:c r="L154" s="967"/>
      <x:c r="M154" s="967"/>
      <x:c r="N154" s="967"/>
      <x:c r="O154" s="967"/>
      <x:c r="P154" s="967"/>
      <x:c r="Q154" s="967"/>
    </x:row>
    <x:row r="155" ht="24" hidden="0" customHeight="1">
      <x:c r="A155" s="967" t="str">
        <x:v>W3D15_04</x:v>
      </x:c>
      <x:c r="B155" s="967" t="n">
        <x:v>15</x:v>
      </x:c>
      <x:c r="C155" s="967" t="str">
        <x:v>W3</x:v>
      </x:c>
      <x:c r="D155" s="967" t="str">
        <x:v>REPAIR</x:v>
      </x:c>
      <x:c r="E155" s="967" t="str">
        <x:v>시설 일반 수리 1회</x:v>
      </x:c>
      <x:c r="F155" s="967" t="n">
        <x:v>0</x:v>
      </x:c>
      <x:c r="G155" s="967" t="n">
        <x:v>0</x:v>
      </x:c>
      <x:c r="H155" s="967" t="n">
        <x:v>0</x:v>
      </x:c>
      <x:c r="I155" s="967" t="str"/>
      <x:c r="J155" s="967" t="str">
        <x:v>표준 수리 반복은 XP0 — 자동 기술 파밍 방지</x:v>
      </x:c>
      <x:c r="K155" s="967" t="str">
        <x:v>초안</x:v>
      </x:c>
      <x:c r="L155" s="967"/>
      <x:c r="M155" s="967"/>
      <x:c r="N155" s="967"/>
      <x:c r="O155" s="967"/>
      <x:c r="P155" s="967"/>
      <x:c r="Q155" s="967"/>
    </x:row>
    <x:row r="156" ht="36" hidden="0" customHeight="1">
      <x:c r="A156" s="967" t="str">
        <x:v>W3D15_05</x:v>
      </x:c>
      <x:c r="B156" s="967" t="n">
        <x:v>15</x:v>
      </x:c>
      <x:c r="C156" s="967" t="str">
        <x:v>W3</x:v>
      </x:c>
      <x:c r="D156" s="967" t="str">
        <x:v>CHARACTER</x:v>
      </x:c>
      <x:c r="E156" s="967" t="str">
        <x:v>폭풍 첫날 핵심 인물 1명 상태 확인</x:v>
      </x:c>
      <x:c r="F156" s="967" t="n">
        <x:v>0</x:v>
      </x:c>
      <x:c r="G156" s="967" t="n">
        <x:v>0</x:v>
      </x:c>
      <x:c r="H156" s="967" t="n">
        <x:v>0</x:v>
      </x:c>
      <x:c r="I156" s="967" t="str"/>
      <x:c r="J156" s="967" t="str">
        <x:v>일반 감정 장면은 XP0 — Pivot/Deepening일 때만 성장</x:v>
      </x:c>
      <x:c r="K156" s="967" t="str">
        <x:v>초안</x:v>
      </x:c>
      <x:c r="L156" s="967"/>
      <x:c r="M156" s="967"/>
      <x:c r="N156" s="967"/>
      <x:c r="O156" s="967"/>
      <x:c r="P156" s="967"/>
      <x:c r="Q156" s="967"/>
    </x:row>
    <x:row r="157" ht="36" hidden="0" customHeight="1">
      <x:c r="A157" s="967" t="str">
        <x:v>W3D15_06</x:v>
      </x:c>
      <x:c r="B157" s="967" t="n">
        <x:v>15</x:v>
      </x:c>
      <x:c r="C157" s="967" t="str">
        <x:v>W3</x:v>
      </x:c>
      <x:c r="D157" s="967" t="str">
        <x:v>EMERGENCY</x:v>
      </x:c>
      <x:c r="E157" s="967" t="str">
        <x:v>Emergency 후속 피해/수리 예비 버퍼</x:v>
      </x:c>
      <x:c r="F157" s="967" t="n">
        <x:v>0</x:v>
      </x:c>
      <x:c r="G157" s="967" t="n">
        <x:v>0</x:v>
      </x:c>
      <x:c r="H157" s="967" t="n">
        <x:v>0</x:v>
      </x:c>
      <x:c r="I157" s="967" t="str">
        <x:v>Jay가 Stat 해법으로 직접 해결 시 사용 Stat +1 (Root당1회); NPC/기본/Will-only=0</x:v>
      </x:c>
      <x:c r="J157" s="967" t="str">
        <x:v>직접 능력으로 위기를 돌파한 경우</x:v>
      </x:c>
      <x:c r="K157" s="967" t="str">
        <x:v>초안</x:v>
      </x:c>
      <x:c r="L157" s="967"/>
      <x:c r="M157" s="967"/>
      <x:c r="N157" s="967"/>
      <x:c r="O157" s="967"/>
      <x:c r="P157" s="967"/>
      <x:c r="Q157" s="967"/>
    </x:row>
    <x:row r="158" ht="24" hidden="0" customHeight="1">
      <x:c r="A158" s="967" t="str">
        <x:v>W3D15_07</x:v>
      </x:c>
      <x:c r="B158" s="967" t="n">
        <x:v>15</x:v>
      </x:c>
      <x:c r="C158" s="967" t="str">
        <x:v>W3</x:v>
      </x:c>
      <x:c r="D158" s="967" t="str">
        <x:v>EVENT</x:v>
      </x:c>
      <x:c r="E158" s="967" t="str">
        <x:v>Day15 종료 후 미래 결정 선언</x:v>
      </x:c>
      <x:c r="F158" s="967" t="n">
        <x:v>0</x:v>
      </x:c>
      <x:c r="G158" s="967" t="n">
        <x:v>0</x:v>
      </x:c>
      <x:c r="H158" s="967" t="n">
        <x:v>0</x:v>
      </x:c>
      <x:c r="I158" s="967" t="str"/>
      <x:c r="J158" s="967" t="str">
        <x:v>진행/상태 변화 자체에는 XP 없음</x:v>
      </x:c>
      <x:c r="K158" s="967" t="str">
        <x:v>초안</x:v>
      </x:c>
      <x:c r="L158" s="967"/>
      <x:c r="M158" s="967"/>
      <x:c r="N158" s="967"/>
      <x:c r="O158" s="967"/>
      <x:c r="P158" s="967"/>
      <x:c r="Q158" s="967"/>
    </x:row>
    <x:row r="159" ht="36" hidden="0" customHeight="1">
      <x:c r="A159" s="967" t="str">
        <x:v>W3D16_01</x:v>
      </x:c>
      <x:c r="B159" s="967" t="n">
        <x:v>16</x:v>
      </x:c>
      <x:c r="C159" s="967" t="str">
        <x:v>W3</x:v>
      </x:c>
      <x:c r="D159" s="967" t="str">
        <x:v>MAIN</x:v>
      </x:c>
      <x:c r="E159" s="967" t="str">
        <x:v>밤사이 수송선 상태 보고 / 오늘의 피해 확인</x:v>
      </x:c>
      <x:c r="F159" s="967" t="n">
        <x:v>0</x:v>
      </x:c>
      <x:c r="G159" s="967" t="n">
        <x:v>0</x:v>
      </x:c>
      <x:c r="H159" s="967" t="n">
        <x:v>0</x:v>
      </x:c>
      <x:c r="I159" s="967" t="str"/>
      <x:c r="J159" s="967" t="str">
        <x:v>일반 Main 진행 XP0 — 명시된 조사/Pivot만 성장</x:v>
      </x:c>
      <x:c r="K159" s="967" t="str">
        <x:v>초안</x:v>
      </x:c>
      <x:c r="L159" s="967"/>
      <x:c r="M159" s="967"/>
      <x:c r="N159" s="967"/>
      <x:c r="O159" s="967"/>
      <x:c r="P159" s="967"/>
      <x:c r="Q159" s="967"/>
    </x:row>
    <x:row r="160" ht="24" hidden="0" customHeight="1">
      <x:c r="A160" s="967" t="str">
        <x:v>W3D16_02</x:v>
      </x:c>
      <x:c r="B160" s="967" t="n">
        <x:v>16</x:v>
      </x:c>
      <x:c r="C160" s="967" t="str">
        <x:v>W3</x:v>
      </x:c>
      <x:c r="D160" s="967" t="str">
        <x:v>CHARACTER</x:v>
      </x:c>
      <x:c r="E160" s="967" t="str">
        <x:v>샘 Final — 선택을 대신하지 않는 선장</x:v>
      </x:c>
      <x:c r="F160" s="967" t="n">
        <x:v>0</x:v>
      </x:c>
      <x:c r="G160" s="967" t="n">
        <x:v>0</x:v>
      </x:c>
      <x:c r="H160" s="967" t="n">
        <x:v>0</x:v>
      </x:c>
      <x:c r="I160" s="967" t="str">
        <x:v>Full Route 시 강인함 +6</x:v>
      </x:c>
      <x:c r="J160" s="967" t="str">
        <x:v>Full Route Mastery</x:v>
      </x:c>
      <x:c r="K160" s="967" t="str">
        <x:v>기존 방향</x:v>
      </x:c>
      <x:c r="L160" s="967"/>
      <x:c r="M160" s="967"/>
      <x:c r="N160" s="967"/>
      <x:c r="O160" s="967"/>
      <x:c r="P160" s="967"/>
      <x:c r="Q160" s="967"/>
    </x:row>
    <x:row r="161" ht="36" hidden="0" customHeight="1">
      <x:c r="A161" s="967" t="str">
        <x:v>W3D16_03</x:v>
      </x:c>
      <x:c r="B161" s="967" t="n">
        <x:v>16</x:v>
      </x:c>
      <x:c r="C161" s="967" t="str">
        <x:v>W3</x:v>
      </x:c>
      <x:c r="D161" s="967" t="str">
        <x:v>CHARACTER</x:v>
      </x:c>
      <x:c r="E161" s="967" t="str">
        <x:v>샘의 부담을 다시 들어주기</x:v>
      </x:c>
      <x:c r="F161" s="967" t="n">
        <x:v>0</x:v>
      </x:c>
      <x:c r="G161" s="967" t="n">
        <x:v>0</x:v>
      </x:c>
      <x:c r="H161" s="967" t="n">
        <x:v>0</x:v>
      </x:c>
      <x:c r="I161" s="967" t="str"/>
      <x:c r="J161" s="967" t="str">
        <x:v>일반 감정 장면은 XP0 — Pivot/Deepening일 때만 성장</x:v>
      </x:c>
      <x:c r="K161" s="967" t="str">
        <x:v>초안</x:v>
      </x:c>
      <x:c r="L161" s="967"/>
      <x:c r="M161" s="967"/>
      <x:c r="N161" s="967"/>
      <x:c r="O161" s="967"/>
      <x:c r="P161" s="967"/>
      <x:c r="Q161" s="967"/>
    </x:row>
    <x:row r="162" ht="24" hidden="0" customHeight="1">
      <x:c r="A162" s="967" t="str">
        <x:v>W3D16_04</x:v>
      </x:c>
      <x:c r="B162" s="967" t="n">
        <x:v>16</x:v>
      </x:c>
      <x:c r="C162" s="967" t="str">
        <x:v>W3</x:v>
      </x:c>
      <x:c r="D162" s="967" t="str">
        <x:v>REPAIR</x:v>
      </x:c>
      <x:c r="E162" s="967" t="str">
        <x:v>시설 일반 수리 1회</x:v>
      </x:c>
      <x:c r="F162" s="967" t="n">
        <x:v>0</x:v>
      </x:c>
      <x:c r="G162" s="967" t="n">
        <x:v>0</x:v>
      </x:c>
      <x:c r="H162" s="967" t="n">
        <x:v>0</x:v>
      </x:c>
      <x:c r="I162" s="967" t="str"/>
      <x:c r="J162" s="967" t="str">
        <x:v>표준 수리 반복은 XP0 — 자동 기술 파밍 방지</x:v>
      </x:c>
      <x:c r="K162" s="967" t="str">
        <x:v>초안</x:v>
      </x:c>
      <x:c r="L162" s="967"/>
      <x:c r="M162" s="967"/>
      <x:c r="N162" s="967"/>
      <x:c r="O162" s="967"/>
      <x:c r="P162" s="967"/>
      <x:c r="Q162" s="967"/>
    </x:row>
    <x:row r="163" ht="36" hidden="0" customHeight="1">
      <x:c r="A163" s="967" t="str">
        <x:v>W3D16_05</x:v>
      </x:c>
      <x:c r="B163" s="967" t="n">
        <x:v>16</x:v>
      </x:c>
      <x:c r="C163" s="967" t="str">
        <x:v>W3</x:v>
      </x:c>
      <x:c r="D163" s="967" t="str">
        <x:v>SYSTEM</x:v>
      </x:c>
      <x:c r="E163" s="967" t="str">
        <x:v>D17 대비 시설 수리 / NPC 배치 / Character 진행 버퍼</x:v>
      </x:c>
      <x:c r="F163" s="967" t="n">
        <x:v>0</x:v>
      </x:c>
      <x:c r="G163" s="967" t="n">
        <x:v>0</x:v>
      </x:c>
      <x:c r="H163" s="967" t="n">
        <x:v>0</x:v>
      </x:c>
      <x:c r="I163" s="967" t="str"/>
      <x:c r="J163" s="967" t="str">
        <x:v>진행/상태 변화 자체에는 XP 없음</x:v>
      </x:c>
      <x:c r="K163" s="967" t="str">
        <x:v>초안</x:v>
      </x:c>
      <x:c r="L163" s="967"/>
      <x:c r="M163" s="967"/>
      <x:c r="N163" s="967"/>
      <x:c r="O163" s="967"/>
      <x:c r="P163" s="967"/>
      <x:c r="Q163" s="967"/>
    </x:row>
    <x:row r="164" ht="24" hidden="0" customHeight="1">
      <x:c r="A164" s="967" t="str">
        <x:v>W3D16_06</x:v>
      </x:c>
      <x:c r="B164" s="967" t="n">
        <x:v>16</x:v>
      </x:c>
      <x:c r="C164" s="967" t="str">
        <x:v>W3</x:v>
      </x:c>
      <x:c r="D164" s="967" t="str">
        <x:v>SYSTEM</x:v>
      </x:c>
      <x:c r="E164" s="967" t="str">
        <x:v>NPC 재배치 요청</x:v>
      </x:c>
      <x:c r="F164" s="967" t="n">
        <x:v>0</x:v>
      </x:c>
      <x:c r="G164" s="967" t="n">
        <x:v>0</x:v>
      </x:c>
      <x:c r="H164" s="967" t="n">
        <x:v>0</x:v>
      </x:c>
      <x:c r="I164" s="967" t="str"/>
      <x:c r="J164" s="967" t="str">
        <x:v>진행/상태 변화 자체에는 XP 없음</x:v>
      </x:c>
      <x:c r="K164" s="967" t="str">
        <x:v>초안</x:v>
      </x:c>
      <x:c r="L164" s="967"/>
      <x:c r="M164" s="967"/>
      <x:c r="N164" s="967"/>
      <x:c r="O164" s="967"/>
      <x:c r="P164" s="967"/>
      <x:c r="Q164" s="967"/>
    </x:row>
    <x:row r="165" ht="36" hidden="0" customHeight="1">
      <x:c r="A165" s="967" t="str">
        <x:v>W3D17_01</x:v>
      </x:c>
      <x:c r="B165" s="967" t="n">
        <x:v>17</x:v>
      </x:c>
      <x:c r="C165" s="967" t="str">
        <x:v>W3</x:v>
      </x:c>
      <x:c r="D165" s="967" t="str">
        <x:v>MAIN</x:v>
      </x:c>
      <x:c r="E165" s="967" t="str">
        <x:v>폭풍 상황 짧은 보고</x:v>
      </x:c>
      <x:c r="F165" s="967" t="n">
        <x:v>0</x:v>
      </x:c>
      <x:c r="G165" s="967" t="n">
        <x:v>0</x:v>
      </x:c>
      <x:c r="H165" s="967" t="n">
        <x:v>0</x:v>
      </x:c>
      <x:c r="I165" s="967" t="str"/>
      <x:c r="J165" s="967" t="str">
        <x:v>일반 Main 진행 XP0 — 명시된 조사/Pivot만 성장</x:v>
      </x:c>
      <x:c r="K165" s="967" t="str">
        <x:v>초안</x:v>
      </x:c>
      <x:c r="L165" s="967"/>
      <x:c r="M165" s="967"/>
      <x:c r="N165" s="967"/>
      <x:c r="O165" s="967"/>
      <x:c r="P165" s="967"/>
      <x:c r="Q165" s="967"/>
    </x:row>
    <x:row r="166" ht="24" hidden="0" customHeight="1">
      <x:c r="A166" s="967" t="str">
        <x:v>W3D17_02</x:v>
      </x:c>
      <x:c r="B166" s="967" t="n">
        <x:v>17</x:v>
      </x:c>
      <x:c r="C166" s="967" t="str">
        <x:v>W3</x:v>
      </x:c>
      <x:c r="D166" s="967" t="str">
        <x:v>CHARACTER</x:v>
      </x:c>
      <x:c r="E166" s="967" t="str">
        <x:v>지나 최종 신뢰 대화 — 출항 지지를 요청</x:v>
      </x:c>
      <x:c r="F166" s="967" t="n">
        <x:v>0</x:v>
      </x:c>
      <x:c r="G166" s="967" t="n">
        <x:v>0</x:v>
      </x:c>
      <x:c r="H166" s="967" t="n">
        <x:v>0</x:v>
      </x:c>
      <x:c r="I166" s="967" t="str">
        <x:v>Full Route 시 교감 +6</x:v>
      </x:c>
      <x:c r="J166" s="967" t="str">
        <x:v>Full Route Mastery</x:v>
      </x:c>
      <x:c r="K166" s="967" t="str">
        <x:v>기존 방향</x:v>
      </x:c>
      <x:c r="L166" s="967"/>
      <x:c r="M166" s="967"/>
      <x:c r="N166" s="967"/>
      <x:c r="O166" s="967"/>
      <x:c r="P166" s="967"/>
      <x:c r="Q166" s="967"/>
    </x:row>
    <x:row r="167" ht="36" hidden="0" customHeight="1">
      <x:c r="A167" s="967" t="str">
        <x:v>W3D17_03</x:v>
      </x:c>
      <x:c r="B167" s="967" t="n">
        <x:v>17</x:v>
      </x:c>
      <x:c r="C167" s="967" t="str">
        <x:v>W3</x:v>
      </x:c>
      <x:c r="D167" s="967" t="str">
        <x:v>CHARACTER</x:v>
      </x:c>
      <x:c r="E167" s="967" t="str">
        <x:v>다른 Character Final/미래 대화 1회</x:v>
      </x:c>
      <x:c r="F167" s="967" t="n">
        <x:v>0</x:v>
      </x:c>
      <x:c r="G167" s="967" t="n">
        <x:v>0</x:v>
      </x:c>
      <x:c r="H167" s="967" t="n">
        <x:v>0</x:v>
      </x:c>
      <x:c r="I167" s="967" t="str"/>
      <x:c r="J167" s="967" t="str">
        <x:v>일반 감정 장면은 XP0 — Pivot/Deepening일 때만 성장</x:v>
      </x:c>
      <x:c r="K167" s="967" t="str">
        <x:v>초안</x:v>
      </x:c>
      <x:c r="L167" s="967"/>
      <x:c r="M167" s="967"/>
      <x:c r="N167" s="967"/>
      <x:c r="O167" s="967"/>
      <x:c r="P167" s="967"/>
      <x:c r="Q167" s="967"/>
    </x:row>
    <x:row r="168" ht="24" hidden="0" customHeight="1">
      <x:c r="A168" s="967" t="str">
        <x:v>W3D17_04</x:v>
      </x:c>
      <x:c r="B168" s="967" t="n">
        <x:v>17</x:v>
      </x:c>
      <x:c r="C168" s="967" t="str">
        <x:v>W3</x:v>
      </x:c>
      <x:c r="D168" s="967" t="str">
        <x:v>REPAIR</x:v>
      </x:c>
      <x:c r="E168" s="967" t="str">
        <x:v>시설 일반 수리 1회</x:v>
      </x:c>
      <x:c r="F168" s="967" t="n">
        <x:v>0</x:v>
      </x:c>
      <x:c r="G168" s="967" t="n">
        <x:v>0</x:v>
      </x:c>
      <x:c r="H168" s="967" t="n">
        <x:v>0</x:v>
      </x:c>
      <x:c r="I168" s="967" t="str"/>
      <x:c r="J168" s="967" t="str">
        <x:v>표준 수리 반복은 XP0 — 자동 기술 파밍 방지</x:v>
      </x:c>
      <x:c r="K168" s="967" t="str">
        <x:v>초안</x:v>
      </x:c>
      <x:c r="L168" s="967"/>
      <x:c r="M168" s="967"/>
      <x:c r="N168" s="967"/>
      <x:c r="O168" s="967"/>
      <x:c r="P168" s="967"/>
      <x:c r="Q168" s="967"/>
    </x:row>
    <x:row r="169" ht="36" hidden="0" customHeight="1">
      <x:c r="A169" s="967" t="str">
        <x:v>W3D17_05</x:v>
      </x:c>
      <x:c r="B169" s="967" t="n">
        <x:v>17</x:v>
      </x:c>
      <x:c r="C169" s="967" t="str">
        <x:v>W3</x:v>
      </x:c>
      <x:c r="D169" s="967" t="str">
        <x:v>EMERGENCY</x:v>
      </x:c>
      <x:c r="E169" s="967" t="str">
        <x:v>두 번째 Wave — 미발생 시설 2곳 동시 Emergency</x:v>
      </x:c>
      <x:c r="F169" s="967" t="n">
        <x:v>0</x:v>
      </x:c>
      <x:c r="G169" s="967" t="n">
        <x:v>0</x:v>
      </x:c>
      <x:c r="H169" s="967" t="n">
        <x:v>0</x:v>
      </x:c>
      <x:c r="I169" s="967" t="str">
        <x:v>Jay가 Stat 해법으로 직접 해결 시 사용 Stat +1 (Root당1회); NPC/기본/Will-only=0</x:v>
      </x:c>
      <x:c r="J169" s="967" t="str">
        <x:v>직접 능력으로 위기를 돌파한 경우</x:v>
      </x:c>
      <x:c r="K169" s="967" t="str">
        <x:v>초안</x:v>
      </x:c>
      <x:c r="L169" s="967"/>
      <x:c r="M169" s="967"/>
      <x:c r="N169" s="967"/>
      <x:c r="O169" s="967"/>
      <x:c r="P169" s="967"/>
      <x:c r="Q169" s="967"/>
    </x:row>
    <x:row r="170" ht="36" hidden="0" customHeight="1">
      <x:c r="A170" s="967" t="str">
        <x:v>W3D17_06</x:v>
      </x:c>
      <x:c r="B170" s="967" t="n">
        <x:v>17</x:v>
      </x:c>
      <x:c r="C170" s="967" t="str">
        <x:v>W3</x:v>
      </x:c>
      <x:c r="D170" s="967" t="str">
        <x:v>EMERGENCY</x:v>
      </x:c>
      <x:c r="E170" s="967" t="str">
        <x:v>`정신 차려, 샘!` 붕괴 Emergency 대응</x:v>
      </x:c>
      <x:c r="F170" s="967" t="n">
        <x:v>0</x:v>
      </x:c>
      <x:c r="G170" s="967" t="n">
        <x:v>0</x:v>
      </x:c>
      <x:c r="H170" s="967" t="n">
        <x:v>0</x:v>
      </x:c>
      <x:c r="I170" s="967" t="str">
        <x:v>Jay가 Stat 해법으로 직접 해결 시 사용 Stat +1 (Root당1회); NPC/기본/Will-only=0</x:v>
      </x:c>
      <x:c r="J170" s="967" t="str">
        <x:v>직접 능력으로 위기를 돌파한 경우</x:v>
      </x:c>
      <x:c r="K170" s="967" t="str">
        <x:v>초안</x:v>
      </x:c>
      <x:c r="L170" s="967"/>
      <x:c r="M170" s="967"/>
      <x:c r="N170" s="967"/>
      <x:c r="O170" s="967"/>
      <x:c r="P170" s="967"/>
      <x:c r="Q170" s="967"/>
    </x:row>
    <x:row r="171" ht="36" hidden="0" customHeight="1">
      <x:c r="A171" s="967" t="str">
        <x:v>W3D18_01</x:v>
      </x:c>
      <x:c r="B171" s="967" t="n">
        <x:v>18</x:v>
      </x:c>
      <x:c r="C171" s="967" t="str">
        <x:v>W3</x:v>
      </x:c>
      <x:c r="D171" s="967" t="str">
        <x:v>MAIN</x:v>
      </x:c>
      <x:c r="E171" s="967" t="str">
        <x:v>폭풍 상황 짧은 보고</x:v>
      </x:c>
      <x:c r="F171" s="967" t="n">
        <x:v>0</x:v>
      </x:c>
      <x:c r="G171" s="967" t="n">
        <x:v>0</x:v>
      </x:c>
      <x:c r="H171" s="967" t="n">
        <x:v>0</x:v>
      </x:c>
      <x:c r="I171" s="967" t="str"/>
      <x:c r="J171" s="967" t="str">
        <x:v>일반 Main 진행 XP0 — 명시된 조사/Pivot만 성장</x:v>
      </x:c>
      <x:c r="K171" s="967" t="str">
        <x:v>초안</x:v>
      </x:c>
      <x:c r="L171" s="967"/>
      <x:c r="M171" s="967"/>
      <x:c r="N171" s="967"/>
      <x:c r="O171" s="967"/>
      <x:c r="P171" s="967"/>
      <x:c r="Q171" s="967"/>
    </x:row>
    <x:row r="172" ht="36" hidden="0" customHeight="1">
      <x:c r="A172" s="967" t="str">
        <x:v>W3D18_02</x:v>
      </x:c>
      <x:c r="B172" s="967" t="n">
        <x:v>18</x:v>
      </x:c>
      <x:c r="C172" s="967" t="str">
        <x:v>W3</x:v>
      </x:c>
      <x:c r="D172" s="967" t="str">
        <x:v>CHARACTER</x:v>
      </x:c>
      <x:c r="E172" s="967" t="str">
        <x:v>행성 거주 가능성 재점검 — 연구실 분석</x:v>
      </x:c>
      <x:c r="F172" s="967" t="n">
        <x:v>0</x:v>
      </x:c>
      <x:c r="G172" s="967" t="n">
        <x:v>0</x:v>
      </x:c>
      <x:c r="H172" s="967" t="n">
        <x:v>0</x:v>
      </x:c>
      <x:c r="I172" s="967" t="str"/>
      <x:c r="J172" s="967" t="str">
        <x:v>일반 감정 장면은 XP0 — Pivot/Deepening일 때만 성장</x:v>
      </x:c>
      <x:c r="K172" s="967" t="str">
        <x:v>초안</x:v>
      </x:c>
      <x:c r="L172" s="967"/>
      <x:c r="M172" s="967"/>
      <x:c r="N172" s="967"/>
      <x:c r="O172" s="967"/>
      <x:c r="P172" s="967"/>
      <x:c r="Q172" s="967"/>
    </x:row>
    <x:row r="173" ht="36" hidden="0" customHeight="1">
      <x:c r="A173" s="967" t="str">
        <x:v>W3D18_03</x:v>
      </x:c>
      <x:c r="B173" s="967" t="n">
        <x:v>18</x:v>
      </x:c>
      <x:c r="C173" s="967" t="str">
        <x:v>W3</x:v>
      </x:c>
      <x:c r="D173" s="967" t="str">
        <x:v>CHARACTER</x:v>
      </x:c>
      <x:c r="E173" s="967" t="str">
        <x:v>보리치 Final — 이번에는 끝까지 확인했다</x:v>
      </x:c>
      <x:c r="F173" s="967" t="n">
        <x:v>0</x:v>
      </x:c>
      <x:c r="G173" s="967" t="n">
        <x:v>0</x:v>
      </x:c>
      <x:c r="H173" s="967" t="n">
        <x:v>0</x:v>
      </x:c>
      <x:c r="I173" s="967" t="str">
        <x:v>Full Route 시 기술 +6</x:v>
      </x:c>
      <x:c r="J173" s="967" t="str">
        <x:v>Full Route Mastery</x:v>
      </x:c>
      <x:c r="K173" s="967" t="str">
        <x:v>기존 방향</x:v>
      </x:c>
      <x:c r="L173" s="967"/>
      <x:c r="M173" s="967"/>
      <x:c r="N173" s="967"/>
      <x:c r="O173" s="967"/>
      <x:c r="P173" s="967"/>
      <x:c r="Q173" s="967"/>
    </x:row>
    <x:row r="174" ht="24" hidden="0" customHeight="1">
      <x:c r="A174" s="967" t="str">
        <x:v>W3D18_04</x:v>
      </x:c>
      <x:c r="B174" s="967" t="n">
        <x:v>18</x:v>
      </x:c>
      <x:c r="C174" s="967" t="str">
        <x:v>W3</x:v>
      </x:c>
      <x:c r="D174" s="967" t="str">
        <x:v>CHARACTER</x:v>
      </x:c>
      <x:c r="E174" s="967" t="str">
        <x:v>디야 Final — 아이의 미래 / 이곳을 집으로</x:v>
      </x:c>
      <x:c r="F174" s="967" t="n">
        <x:v>0</x:v>
      </x:c>
      <x:c r="G174" s="967" t="n">
        <x:v>0</x:v>
      </x:c>
      <x:c r="H174" s="967" t="n">
        <x:v>0</x:v>
      </x:c>
      <x:c r="I174" s="967" t="str">
        <x:v>Full Route 시 교감 +6</x:v>
      </x:c>
      <x:c r="J174" s="967" t="str">
        <x:v>Full Route Mastery</x:v>
      </x:c>
      <x:c r="K174" s="967" t="str">
        <x:v>기존 방향</x:v>
      </x:c>
      <x:c r="L174" s="967"/>
      <x:c r="M174" s="967"/>
      <x:c r="N174" s="967"/>
      <x:c r="O174" s="967"/>
      <x:c r="P174" s="967"/>
      <x:c r="Q174" s="967"/>
    </x:row>
    <x:row r="175" ht="24" hidden="0" customHeight="1">
      <x:c r="A175" s="967" t="str">
        <x:v>W3D18_05</x:v>
      </x:c>
      <x:c r="B175" s="967" t="n">
        <x:v>18</x:v>
      </x:c>
      <x:c r="C175" s="967" t="str">
        <x:v>W3</x:v>
      </x:c>
      <x:c r="D175" s="967" t="str">
        <x:v>REPAIR</x:v>
      </x:c>
      <x:c r="E175" s="967" t="str">
        <x:v>시설 일반 수리 1회</x:v>
      </x:c>
      <x:c r="F175" s="967" t="n">
        <x:v>0</x:v>
      </x:c>
      <x:c r="G175" s="967" t="n">
        <x:v>0</x:v>
      </x:c>
      <x:c r="H175" s="967" t="n">
        <x:v>0</x:v>
      </x:c>
      <x:c r="I175" s="967" t="str"/>
      <x:c r="J175" s="967" t="str">
        <x:v>표준 수리 반복은 XP0 — 자동 기술 파밍 방지</x:v>
      </x:c>
      <x:c r="K175" s="967" t="str">
        <x:v>초안</x:v>
      </x:c>
      <x:c r="L175" s="967"/>
      <x:c r="M175" s="967"/>
      <x:c r="N175" s="967"/>
      <x:c r="O175" s="967"/>
      <x:c r="P175" s="967"/>
      <x:c r="Q175" s="967"/>
    </x:row>
    <x:row r="176" ht="24" hidden="0" customHeight="1">
      <x:c r="A176" s="967" t="str">
        <x:v>W3D18_06</x:v>
      </x:c>
      <x:c r="B176" s="967" t="n">
        <x:v>18</x:v>
      </x:c>
      <x:c r="C176" s="967" t="str">
        <x:v>W3</x:v>
      </x:c>
      <x:c r="D176" s="967" t="str">
        <x:v>CHARACTER/SYSTEM</x:v>
      </x:c>
      <x:c r="E176" s="967" t="str">
        <x:v>Pre-Boss Finale / 수리 / Will 회복 버퍼</x:v>
      </x:c>
      <x:c r="F176" s="967" t="n">
        <x:v>0</x:v>
      </x:c>
      <x:c r="G176" s="967" t="n">
        <x:v>0</x:v>
      </x:c>
      <x:c r="H176" s="967" t="n">
        <x:v>0</x:v>
      </x:c>
      <x:c r="I176" s="967" t="str"/>
      <x:c r="J176" s="967" t="str">
        <x:v>기본 XP0</x:v>
      </x:c>
      <x:c r="K176" s="967" t="str">
        <x:v>초안</x:v>
      </x:c>
      <x:c r="L176" s="967"/>
      <x:c r="M176" s="967"/>
      <x:c r="N176" s="967"/>
      <x:c r="O176" s="967"/>
      <x:c r="P176" s="967"/>
      <x:c r="Q176" s="967"/>
    </x:row>
    <x:row r="177" ht="36" hidden="0" customHeight="1">
      <x:c r="A177" s="967" t="str">
        <x:v>W3D19_01</x:v>
      </x:c>
      <x:c r="B177" s="967" t="n">
        <x:v>19</x:v>
      </x:c>
      <x:c r="C177" s="967" t="str">
        <x:v>W3</x:v>
      </x:c>
      <x:c r="D177" s="967" t="str">
        <x:v>MAIN</x:v>
      </x:c>
      <x:c r="E177" s="967" t="str">
        <x:v>폭풍의 마지막 강한 구간 상황 보고</x:v>
      </x:c>
      <x:c r="F177" s="967" t="n">
        <x:v>0</x:v>
      </x:c>
      <x:c r="G177" s="967" t="n">
        <x:v>0</x:v>
      </x:c>
      <x:c r="H177" s="967" t="n">
        <x:v>0</x:v>
      </x:c>
      <x:c r="I177" s="967" t="str"/>
      <x:c r="J177" s="967" t="str">
        <x:v>일반 Main 진행 XP0 — 명시된 조사/Pivot만 성장</x:v>
      </x:c>
      <x:c r="K177" s="967" t="str">
        <x:v>초안</x:v>
      </x:c>
      <x:c r="L177" s="967"/>
      <x:c r="M177" s="967"/>
      <x:c r="N177" s="967"/>
      <x:c r="O177" s="967"/>
      <x:c r="P177" s="967"/>
      <x:c r="Q177" s="967"/>
    </x:row>
    <x:row r="178" ht="24" hidden="0" customHeight="1">
      <x:c r="A178" s="967" t="str">
        <x:v>W3D18_07</x:v>
      </x:c>
      <x:c r="B178" s="967" t="n">
        <x:v>18</x:v>
      </x:c>
      <x:c r="C178" s="967" t="str">
        <x:v>W3</x:v>
      </x:c>
      <x:c r="D178" s="967" t="str">
        <x:v>CHARACTER</x:v>
      </x:c>
      <x:c r="E178" s="967" t="str">
        <x:v>페이 Final — 한 시간 공연</x:v>
      </x:c>
      <x:c r="F178" s="967" t="n">
        <x:v>0</x:v>
      </x:c>
      <x:c r="G178" s="967" t="n">
        <x:v>0</x:v>
      </x:c>
      <x:c r="H178" s="967" t="n">
        <x:v>0</x:v>
      </x:c>
      <x:c r="I178" s="967" t="str">
        <x:v>Full Route 시 기술 +6</x:v>
      </x:c>
      <x:c r="J178" s="967" t="str">
        <x:v>Full Route Mastery</x:v>
      </x:c>
      <x:c r="K178" s="967" t="str">
        <x:v>기존 방향</x:v>
      </x:c>
      <x:c r="L178" s="967"/>
      <x:c r="M178" s="967"/>
      <x:c r="N178" s="967"/>
      <x:c r="O178" s="967"/>
      <x:c r="P178" s="967"/>
      <x:c r="Q178" s="967"/>
    </x:row>
    <x:row r="179" ht="36" hidden="0" customHeight="1">
      <x:c r="A179" s="967" t="str">
        <x:v>W3D19_03</x:v>
      </x:c>
      <x:c r="B179" s="967" t="n">
        <x:v>19</x:v>
      </x:c>
      <x:c r="C179" s="967" t="str">
        <x:v>W3</x:v>
      </x:c>
      <x:c r="D179" s="967" t="str">
        <x:v>CHARACTER/EMERGENCY</x:v>
      </x:c>
      <x:c r="E179" s="967" t="str">
        <x:v>벤자민 Crisis Final — 살아 있는 사람을 고치는 시간</x:v>
      </x:c>
      <x:c r="F179" s="967" t="n">
        <x:v>0</x:v>
      </x:c>
      <x:c r="G179" s="967" t="n">
        <x:v>0</x:v>
      </x:c>
      <x:c r="H179" s="967" t="n">
        <x:v>0</x:v>
      </x:c>
      <x:c r="I179" s="967" t="str">
        <x:v>Full Route 시 강인함 +6</x:v>
      </x:c>
      <x:c r="J179" s="967" t="str">
        <x:v>Full Route Mastery</x:v>
      </x:c>
      <x:c r="K179" s="967" t="str">
        <x:v>기존 방향</x:v>
      </x:c>
      <x:c r="L179" s="967"/>
      <x:c r="M179" s="967"/>
      <x:c r="N179" s="967"/>
      <x:c r="O179" s="967"/>
      <x:c r="P179" s="967"/>
      <x:c r="Q179" s="967"/>
    </x:row>
    <x:row r="180" ht="36" hidden="0" customHeight="1">
      <x:c r="A180" s="967" t="str">
        <x:v>W3D18_09</x:v>
      </x:c>
      <x:c r="B180" s="967" t="n">
        <x:v>18</x:v>
      </x:c>
      <x:c r="C180" s="967" t="str">
        <x:v>W3</x:v>
      </x:c>
      <x:c r="D180" s="967" t="str">
        <x:v>CHARACTER</x:v>
      </x:c>
      <x:c r="E180" s="967" t="str">
        <x:v>남은 Character Final 1회</x:v>
      </x:c>
      <x:c r="F180" s="967" t="n">
        <x:v>0</x:v>
      </x:c>
      <x:c r="G180" s="967" t="n">
        <x:v>0</x:v>
      </x:c>
      <x:c r="H180" s="967" t="n">
        <x:v>0</x:v>
      </x:c>
      <x:c r="I180" s="967" t="str"/>
      <x:c r="J180" s="967" t="str">
        <x:v>일반 감정 장면은 XP0 — Pivot/Deepening일 때만 성장</x:v>
      </x:c>
      <x:c r="K180" s="967" t="str">
        <x:v>초안</x:v>
      </x:c>
      <x:c r="L180" s="967"/>
      <x:c r="M180" s="967"/>
      <x:c r="N180" s="967"/>
      <x:c r="O180" s="967"/>
      <x:c r="P180" s="967"/>
      <x:c r="Q180" s="967"/>
    </x:row>
    <x:row r="181" ht="24" hidden="0" customHeight="1">
      <x:c r="A181" s="967" t="str">
        <x:v>W3D19_05</x:v>
      </x:c>
      <x:c r="B181" s="967" t="n">
        <x:v>19</x:v>
      </x:c>
      <x:c r="C181" s="967" t="str">
        <x:v>W3</x:v>
      </x:c>
      <x:c r="D181" s="967" t="str">
        <x:v>SYSTEM</x:v>
      </x:c>
      <x:c r="E181" s="967" t="str">
        <x:v>09:00 Boss Target 공개 / 마지막 NPC 배치</x:v>
      </x:c>
      <x:c r="F181" s="967" t="n">
        <x:v>0</x:v>
      </x:c>
      <x:c r="G181" s="967" t="n">
        <x:v>0</x:v>
      </x:c>
      <x:c r="H181" s="967" t="n">
        <x:v>0</x:v>
      </x:c>
      <x:c r="I181" s="967" t="str"/>
      <x:c r="J181" s="967" t="str">
        <x:v>진행/상태 변화 자체에는 XP 없음</x:v>
      </x:c>
      <x:c r="K181" s="967" t="str">
        <x:v>초안</x:v>
      </x:c>
      <x:c r="L181" s="967"/>
      <x:c r="M181" s="967"/>
      <x:c r="N181" s="967"/>
      <x:c r="O181" s="967"/>
      <x:c r="P181" s="967"/>
      <x:c r="Q181" s="967"/>
    </x:row>
    <x:row r="182" ht="36" hidden="0" customHeight="1">
      <x:c r="A182" s="967" t="str">
        <x:v>W3D19_06</x:v>
      </x:c>
      <x:c r="B182" s="967" t="n">
        <x:v>19</x:v>
      </x:c>
      <x:c r="C182" s="967" t="str">
        <x:v>W3</x:v>
      </x:c>
      <x:c r="D182" s="967" t="str">
        <x:v>EMERGENCY</x:v>
      </x:c>
      <x:c r="E182" s="967" t="str">
        <x:v>D19 Boss Wave — Freezer + 남은 2시설 동시 Emergency</x:v>
      </x:c>
      <x:c r="F182" s="967" t="n">
        <x:v>0</x:v>
      </x:c>
      <x:c r="G182" s="967" t="n">
        <x:v>0</x:v>
      </x:c>
      <x:c r="H182" s="967" t="n">
        <x:v>0</x:v>
      </x:c>
      <x:c r="I182" s="967" t="str">
        <x:v>Jay가 Stat 해법으로 직접 해결 시 사용 Stat +1 (Root당1회); NPC/기본/Will-only=0</x:v>
      </x:c>
      <x:c r="J182" s="967" t="str">
        <x:v>직접 능력으로 위기를 돌파한 경우</x:v>
      </x:c>
      <x:c r="K182" s="967" t="str">
        <x:v>초안</x:v>
      </x:c>
      <x:c r="L182" s="967"/>
      <x:c r="M182" s="967"/>
      <x:c r="N182" s="967"/>
      <x:c r="O182" s="967"/>
      <x:c r="P182" s="967"/>
      <x:c r="Q182" s="967"/>
    </x:row>
    <x:row r="183" ht="36" hidden="0" customHeight="1">
      <x:c r="A183" s="967" t="str">
        <x:v>W3D19_07</x:v>
      </x:c>
      <x:c r="B183" s="967" t="n">
        <x:v>19</x:v>
      </x:c>
      <x:c r="C183" s="967" t="str">
        <x:v>W3</x:v>
      </x:c>
      <x:c r="D183" s="967" t="str">
        <x:v>EMERGENCY</x:v>
      </x:c>
      <x:c r="E183" s="967" t="str">
        <x:v>Global Hull 0 최종 Emergency</x:v>
      </x:c>
      <x:c r="F183" s="967" t="n">
        <x:v>0</x:v>
      </x:c>
      <x:c r="G183" s="967" t="n">
        <x:v>0</x:v>
      </x:c>
      <x:c r="H183" s="967" t="n">
        <x:v>0</x:v>
      </x:c>
      <x:c r="I183" s="967" t="str">
        <x:v>Jay가 Stat 해법으로 직접 해결 시 사용 Stat +1 (Root당1회); NPC/기본/Will-only=0</x:v>
      </x:c>
      <x:c r="J183" s="967" t="str">
        <x:v>직접 능력으로 위기를 돌파한 경우</x:v>
      </x:c>
      <x:c r="K183" s="967" t="str">
        <x:v>초안</x:v>
      </x:c>
      <x:c r="L183" s="967"/>
      <x:c r="M183" s="967"/>
      <x:c r="N183" s="967"/>
      <x:c r="O183" s="967"/>
      <x:c r="P183" s="967"/>
      <x:c r="Q183" s="967"/>
    </x:row>
    <x:row r="184" ht="36" hidden="0" customHeight="1">
      <x:c r="A184" s="967" t="str">
        <x:v>W3D20_01</x:v>
      </x:c>
      <x:c r="B184" s="967" t="n">
        <x:v>20</x:v>
      </x:c>
      <x:c r="C184" s="967" t="str">
        <x:v>W3</x:v>
      </x:c>
      <x:c r="D184" s="967" t="str">
        <x:v>MAIN</x:v>
      </x:c>
      <x:c r="E184" s="967" t="str">
        <x:v>모래폭풍이 약해지고 있음을 관측</x:v>
      </x:c>
      <x:c r="F184" s="967" t="n">
        <x:v>0</x:v>
      </x:c>
      <x:c r="G184" s="967" t="n">
        <x:v>0</x:v>
      </x:c>
      <x:c r="H184" s="967" t="n">
        <x:v>0</x:v>
      </x:c>
      <x:c r="I184" s="967" t="str"/>
      <x:c r="J184" s="967" t="str">
        <x:v>일반 Main 진행 XP0 — 명시된 조사/Pivot만 성장</x:v>
      </x:c>
      <x:c r="K184" s="967" t="str">
        <x:v>초안</x:v>
      </x:c>
      <x:c r="L184" s="967"/>
      <x:c r="M184" s="967"/>
      <x:c r="N184" s="967"/>
      <x:c r="O184" s="967"/>
      <x:c r="P184" s="967"/>
      <x:c r="Q184" s="967"/>
    </x:row>
    <x:row r="185" ht="36" hidden="0" customHeight="1">
      <x:c r="A185" s="967" t="str">
        <x:v>W3D20_02</x:v>
      </x:c>
      <x:c r="B185" s="967" t="n">
        <x:v>20</x:v>
      </x:c>
      <x:c r="C185" s="967" t="str">
        <x:v>W3</x:v>
      </x:c>
      <x:c r="D185" s="967" t="str">
        <x:v>CHARACTER</x:v>
      </x:c>
      <x:c r="E185" s="967" t="str">
        <x:v>마지막 거주 가능성 재점검 기회</x:v>
      </x:c>
      <x:c r="F185" s="967" t="n">
        <x:v>0</x:v>
      </x:c>
      <x:c r="G185" s="967" t="n">
        <x:v>0</x:v>
      </x:c>
      <x:c r="H185" s="967" t="n">
        <x:v>0</x:v>
      </x:c>
      <x:c r="I185" s="967" t="str"/>
      <x:c r="J185" s="967" t="str">
        <x:v>일반 감정 장면은 XP0 — Pivot/Deepening일 때만 성장</x:v>
      </x:c>
      <x:c r="K185" s="967" t="str">
        <x:v>초안</x:v>
      </x:c>
      <x:c r="L185" s="967"/>
      <x:c r="M185" s="967"/>
      <x:c r="N185" s="967"/>
      <x:c r="O185" s="967"/>
      <x:c r="P185" s="967"/>
      <x:c r="Q185" s="967"/>
    </x:row>
    <x:row r="186" ht="36" hidden="0" customHeight="1">
      <x:c r="A186" s="967" t="str">
        <x:v>W3D20_03</x:v>
      </x:c>
      <x:c r="B186" s="967" t="n">
        <x:v>20</x:v>
      </x:c>
      <x:c r="C186" s="967" t="str">
        <x:v>W3</x:v>
      </x:c>
      <x:c r="D186" s="967" t="str">
        <x:v>CHARACTER</x:v>
      </x:c>
      <x:c r="E186" s="967" t="str">
        <x:v>샘 Epilogue — 살아남은 뒤의 선장</x:v>
      </x:c>
      <x:c r="F186" s="967" t="n">
        <x:v>0</x:v>
      </x:c>
      <x:c r="G186" s="967" t="n">
        <x:v>0</x:v>
      </x:c>
      <x:c r="H186" s="967" t="n">
        <x:v>0</x:v>
      </x:c>
      <x:c r="I186" s="967" t="str"/>
      <x:c r="J186" s="967" t="str">
        <x:v>일반 감정 장면은 XP0 — Pivot/Deepening일 때만 성장</x:v>
      </x:c>
      <x:c r="K186" s="967" t="str">
        <x:v>초안</x:v>
      </x:c>
      <x:c r="L186" s="967"/>
      <x:c r="M186" s="967"/>
      <x:c r="N186" s="967"/>
      <x:c r="O186" s="967"/>
      <x:c r="P186" s="967"/>
      <x:c r="Q186" s="967"/>
    </x:row>
    <x:row r="187" ht="36" hidden="0" customHeight="1">
      <x:c r="A187" s="967" t="str">
        <x:v>W3D20_04</x:v>
      </x:c>
      <x:c r="B187" s="967" t="n">
        <x:v>20</x:v>
      </x:c>
      <x:c r="C187" s="967" t="str">
        <x:v>W3</x:v>
      </x:c>
      <x:c r="D187" s="967" t="str">
        <x:v>CHARACTER</x:v>
      </x:c>
      <x:c r="E187" s="967" t="str">
        <x:v>남은 Character Epilogue / 최종 정서 확인</x:v>
      </x:c>
      <x:c r="F187" s="967" t="n">
        <x:v>0</x:v>
      </x:c>
      <x:c r="G187" s="967" t="n">
        <x:v>0</x:v>
      </x:c>
      <x:c r="H187" s="967" t="n">
        <x:v>0</x:v>
      </x:c>
      <x:c r="I187" s="967" t="str"/>
      <x:c r="J187" s="967" t="str">
        <x:v>일반 감정 장면은 XP0 — Pivot/Deepening일 때만 성장</x:v>
      </x:c>
      <x:c r="K187" s="967" t="str">
        <x:v>초안</x:v>
      </x:c>
      <x:c r="L187" s="967"/>
      <x:c r="M187" s="967"/>
      <x:c r="N187" s="967"/>
      <x:c r="O187" s="967"/>
      <x:c r="P187" s="967"/>
      <x:c r="Q187" s="967"/>
    </x:row>
    <x:row r="188" ht="24" hidden="0" customHeight="1">
      <x:c r="A188" s="967" t="str">
        <x:v>W3D20_05</x:v>
      </x:c>
      <x:c r="B188" s="967" t="n">
        <x:v>20</x:v>
      </x:c>
      <x:c r="C188" s="967" t="str">
        <x:v>W3</x:v>
      </x:c>
      <x:c r="D188" s="967" t="str">
        <x:v>REPAIR</x:v>
      </x:c>
      <x:c r="E188" s="967" t="str">
        <x:v>마지막 시설 수리 1회</x:v>
      </x:c>
      <x:c r="F188" s="967" t="n">
        <x:v>0</x:v>
      </x:c>
      <x:c r="G188" s="967" t="n">
        <x:v>0</x:v>
      </x:c>
      <x:c r="H188" s="967" t="n">
        <x:v>0</x:v>
      </x:c>
      <x:c r="I188" s="967" t="str"/>
      <x:c r="J188" s="967" t="str">
        <x:v>표준 수리 반복은 XP0 — 자동 기술 파밍 방지</x:v>
      </x:c>
      <x:c r="K188" s="967" t="str">
        <x:v>초안</x:v>
      </x:c>
      <x:c r="L188" s="967"/>
      <x:c r="M188" s="967"/>
      <x:c r="N188" s="967"/>
      <x:c r="O188" s="967"/>
      <x:c r="P188" s="967"/>
      <x:c r="Q188" s="967"/>
    </x:row>
    <x:row r="189" ht="36" hidden="0" customHeight="1">
      <x:c r="A189" s="967" t="str">
        <x:v>W3D20_06</x:v>
      </x:c>
      <x:c r="B189" s="967" t="n">
        <x:v>20</x:v>
      </x:c>
      <x:c r="C189" s="967" t="str">
        <x:v>W3</x:v>
      </x:c>
      <x:c r="D189" s="967" t="str">
        <x:v>EMERGENCY</x:v>
      </x:c>
      <x:c r="E189" s="967" t="str">
        <x:v>누적 Emergency / Critical Recovery 정리 버퍼</x:v>
      </x:c>
      <x:c r="F189" s="967" t="n">
        <x:v>0</x:v>
      </x:c>
      <x:c r="G189" s="967" t="n">
        <x:v>0</x:v>
      </x:c>
      <x:c r="H189" s="967" t="n">
        <x:v>0</x:v>
      </x:c>
      <x:c r="I189" s="967" t="str">
        <x:v>Jay가 Stat 해법으로 직접 해결 시 사용 Stat +1 (Root당1회); NPC/기본/Will-only=0</x:v>
      </x:c>
      <x:c r="J189" s="967" t="str">
        <x:v>직접 능력으로 위기를 돌파한 경우</x:v>
      </x:c>
      <x:c r="K189" s="967" t="str">
        <x:v>초안</x:v>
      </x:c>
      <x:c r="L189" s="967"/>
      <x:c r="M189" s="967"/>
      <x:c r="N189" s="967"/>
      <x:c r="O189" s="967"/>
      <x:c r="P189" s="967"/>
      <x:c r="Q189" s="967"/>
    </x:row>
    <x:row r="190" ht="36" hidden="0" customHeight="1">
      <x:c r="A190" s="967" t="str">
        <x:v>W3D21_01</x:v>
      </x:c>
      <x:c r="B190" s="967" t="n">
        <x:v>21</x:v>
      </x:c>
      <x:c r="C190" s="967" t="str">
        <x:v>W3</x:v>
      </x:c>
      <x:c r="D190" s="967" t="str">
        <x:v>MAIN</x:v>
      </x:c>
      <x:c r="E190" s="967" t="str">
        <x:v>폭풍 종료 확인 / 외부 문 개방</x:v>
      </x:c>
      <x:c r="F190" s="967" t="n">
        <x:v>0</x:v>
      </x:c>
      <x:c r="G190" s="967" t="n">
        <x:v>0</x:v>
      </x:c>
      <x:c r="H190" s="967" t="n">
        <x:v>0</x:v>
      </x:c>
      <x:c r="I190" s="967" t="str"/>
      <x:c r="J190" s="967" t="str">
        <x:v>일반 Main 진행 XP0 — 명시된 조사/Pivot만 성장</x:v>
      </x:c>
      <x:c r="K190" s="967" t="str">
        <x:v>초안</x:v>
      </x:c>
      <x:c r="L190" s="967"/>
      <x:c r="M190" s="967"/>
      <x:c r="N190" s="967"/>
      <x:c r="O190" s="967"/>
      <x:c r="P190" s="967"/>
      <x:c r="Q190" s="967"/>
    </x:row>
    <x:row r="191" ht="36" hidden="0" customHeight="1">
      <x:c r="A191" s="967" t="str">
        <x:v>W3D21_02</x:v>
      </x:c>
      <x:c r="B191" s="967" t="n">
        <x:v>21</x:v>
      </x:c>
      <x:c r="C191" s="967" t="str">
        <x:v>W3</x:v>
      </x:c>
      <x:c r="D191" s="967" t="str">
        <x:v>MAIN</x:v>
      </x:c>
      <x:c r="E191" s="967" t="str">
        <x:v>수송선과 행성 최종 상태 현장 확인</x:v>
      </x:c>
      <x:c r="F191" s="967" t="n">
        <x:v>0</x:v>
      </x:c>
      <x:c r="G191" s="967" t="n">
        <x:v>0</x:v>
      </x:c>
      <x:c r="H191" s="967" t="n">
        <x:v>0</x:v>
      </x:c>
      <x:c r="I191" s="967" t="str"/>
      <x:c r="J191" s="967" t="str">
        <x:v>일반 Main 진행 XP0 — 명시된 조사/Pivot만 성장</x:v>
      </x:c>
      <x:c r="K191" s="967" t="str">
        <x:v>초안</x:v>
      </x:c>
      <x:c r="L191" s="967"/>
      <x:c r="M191" s="967"/>
      <x:c r="N191" s="967"/>
      <x:c r="O191" s="967"/>
      <x:c r="P191" s="967"/>
      <x:c r="Q191" s="967"/>
    </x:row>
    <x:row r="192" ht="36" hidden="0" customHeight="1">
      <x:c r="A192" s="967" t="str">
        <x:v>W3D21_03</x:v>
      </x:c>
      <x:c r="B192" s="967" t="n">
        <x:v>21</x:v>
      </x:c>
      <x:c r="C192" s="967" t="str">
        <x:v>W3</x:v>
      </x:c>
      <x:c r="D192" s="967" t="str">
        <x:v>CHARACTER</x:v>
      </x:c>
      <x:c r="E192" s="967" t="str">
        <x:v>살아남은 인물과 마지막 자유 대화</x:v>
      </x:c>
      <x:c r="F192" s="967" t="n">
        <x:v>0</x:v>
      </x:c>
      <x:c r="G192" s="967" t="n">
        <x:v>0</x:v>
      </x:c>
      <x:c r="H192" s="967" t="n">
        <x:v>0</x:v>
      </x:c>
      <x:c r="I192" s="967" t="str"/>
      <x:c r="J192" s="967" t="str">
        <x:v>일반 감정 장면은 XP0 — Pivot/Deepening일 때만 성장</x:v>
      </x:c>
      <x:c r="K192" s="967" t="str">
        <x:v>초안</x:v>
      </x:c>
      <x:c r="L192" s="967"/>
      <x:c r="M192" s="967"/>
      <x:c r="N192" s="967"/>
      <x:c r="O192" s="967"/>
      <x:c r="P192" s="967"/>
      <x:c r="Q192" s="967"/>
    </x:row>
    <x:row r="193" ht="24" hidden="0" customHeight="1">
      <x:c r="A193" s="967" t="str">
        <x:v>W3D21_04</x:v>
      </x:c>
      <x:c r="B193" s="967" t="n">
        <x:v>21</x:v>
      </x:c>
      <x:c r="C193" s="967" t="str">
        <x:v>W3</x:v>
      </x:c>
      <x:c r="D193" s="967" t="str">
        <x:v>EVENT</x:v>
      </x:c>
      <x:c r="E193" s="967" t="str">
        <x:v>최종 미래 결정 및 Ending Sequence</x:v>
      </x:c>
      <x:c r="F193" s="967" t="n">
        <x:v>0</x:v>
      </x:c>
      <x:c r="G193" s="967" t="n">
        <x:v>0</x:v>
      </x:c>
      <x:c r="H193" s="967" t="n">
        <x:v>0</x:v>
      </x:c>
      <x:c r="I193" s="967" t="str"/>
      <x:c r="J193" s="967" t="str">
        <x:v>진행/상태 변화 자체에는 XP 없음</x:v>
      </x:c>
      <x:c r="K193" s="967" t="str">
        <x:v>초안</x:v>
      </x:c>
      <x:c r="L193" s="967"/>
      <x:c r="M193" s="967"/>
      <x:c r="N193" s="967"/>
      <x:c r="O193" s="967"/>
      <x:c r="P193" s="967"/>
      <x:c r="Q193" s="967"/>
    </x:row>
  </x:sheetData>
  <x:mergeCells>
    <x:mergeCell ref="A1:Q1"/>
    <x:mergeCell ref="A2:Q2"/>
    <x:mergeCell ref="A4:Q4"/>
    <x:mergeCell ref="A14:Q14"/>
    <x:mergeCell ref="A19:Q19"/>
    <x:mergeCell ref="F20:Q28"/>
    <x:mergeCell ref="A30:Q30"/>
    <x:mergeCell ref="A35:Q35"/>
    <x:mergeCell ref="A47:Q47"/>
    <x:mergeCell ref="M55:Q64"/>
  </x:mergeCells>
  <x:conditionalFormatting sqref="E6:E193">
    <x:cfRule type="expression" dxfId="296" priority="1">
      <x:formula>OR(E6="완료",E6="확정",E6="확정방향",E6="방향 확정",LEFT(E6,2)="확정")</x:formula>
    </x:cfRule>
    <x:cfRule type="expression" dxfId="297" priority="2">
      <x:formula>OR(E6="TBD",E6="대기",ISNUMBER(SEARCH("TEMP",E6)))</x:formula>
    </x:cfRule>
    <x:cfRule type="expression" dxfId="298" priority="3">
      <x:formula>OR(E6="폐기",E6="HISTORICAL",ISNUMBER(SEARCH("폐기",E6)))</x:formula>
    </x:cfRule>
    <x:cfRule type="expression" dxfId="299" priority="4">
      <x:formula>OR(E6="NEXT",E6="진행")</x:formula>
    </x:cfRule>
  </x:conditionalFormatting>
  <x:conditionalFormatting sqref="K49:K193">
    <x:cfRule type="expression" dxfId="300" priority="5">
      <x:formula>OR(K49="완료",K49="확정",K49="확정방향",K49="방향 확정",LEFT(K49,2)="확정")</x:formula>
    </x:cfRule>
    <x:cfRule type="expression" dxfId="301" priority="6">
      <x:formula>OR(K49="TBD",K49="대기",ISNUMBER(SEARCH("TEMP",K49)))</x:formula>
    </x:cfRule>
    <x:cfRule type="expression" dxfId="302" priority="7">
      <x:formula>OR(K49="폐기",K49="HISTORICAL",ISNUMBER(SEARCH("폐기",K49)))</x:formula>
    </x:cfRule>
    <x:cfRule type="expression" dxfId="303" priority="8">
      <x:formula>OR(K49="NEXT",K49="진행")</x:formula>
    </x:cfRule>
  </x:conditionalFormatting>
  <x:pageMargins left="0.7" right="0.7" top="0.75" bottom="0.75" header="0.3" footer="0.3"/>
  <x:drawing xmlns:r="http://schemas.openxmlformats.org/officeDocument/2006/relationships" r:id="R45ba32b3eaa24f70"/>
</x:worksheet>
</file>

<file path=xl/worksheets/sheet25.xml><?xml version="1.0" encoding="utf-8"?>
<x:worksheet xmlns:x="http://schemas.openxmlformats.org/spreadsheetml/2006/main">
  <x:sheetFormatPr defaultRowHeight="15"/>
  <x:cols>
    <x:col min="1" max="1" width="18" hidden="0" customWidth="1"/>
    <x:col min="2" max="2" width="26" hidden="0" customWidth="1"/>
    <x:col min="3" max="3" width="32" hidden="0" customWidth="1"/>
    <x:col min="4" max="4" width="24" hidden="0" customWidth="1"/>
    <x:col min="5" max="5" width="44" hidden="0" customWidth="1"/>
    <x:col min="6" max="6" width="26" hidden="0" customWidth="1"/>
    <x:col min="7" max="7" width="30" hidden="0" customWidth="1"/>
    <x:col min="8" max="8" width="44" hidden="0" customWidth="1"/>
    <x:col min="9" max="9" width="26" hidden="0" customWidth="1"/>
    <x:col min="10" max="10" width="30" hidden="0" customWidth="1"/>
    <x:col min="11" max="11" width="44" hidden="0" customWidth="1"/>
    <x:col min="12" max="12" width="26" hidden="0" customWidth="1"/>
    <x:col min="13" max="13" width="28" hidden="0" customWidth="1"/>
    <x:col min="14" max="14" width="44" hidden="0" customWidth="1"/>
    <x:col min="15" max="15" width="38" hidden="0" customWidth="1"/>
    <x:col min="16" max="16" width="28" hidden="0" customWidth="1"/>
    <x:col min="17" max="17" width="18" hidden="0" customWidth="1"/>
    <x:col min="18" max="18" width="18" hidden="0" customWidth="1"/>
  </x:cols>
  <x:sheetData>
    <x:row r="1" ht="30" hidden="0" customHeight="1">
      <x:c r="A1" s="1030" t="str">
        <x:v>Narrative Content Pass v0.1 — 8 Strategic Pivots / Recovery / W3 Payoff</x:v>
      </x:c>
      <x:c r="B1" s="1014"/>
      <x:c r="C1" s="1014"/>
      <x:c r="D1" s="1014"/>
      <x:c r="E1" s="1014"/>
      <x:c r="F1" s="1014"/>
      <x:c r="G1" s="1014"/>
      <x:c r="H1" s="1014"/>
      <x:c r="I1" s="1014"/>
      <x:c r="J1" s="1014"/>
      <x:c r="K1" s="1014"/>
      <x:c r="L1" s="1014"/>
      <x:c r="M1" s="1014"/>
      <x:c r="N1" s="1014"/>
      <x:c r="O1" s="1014"/>
      <x:c r="P1" s="1014"/>
      <x:c r="Q1" s="1018"/>
      <x:c r="R1" s="1018"/>
    </x:row>
    <x:row r="2" ht="42" hidden="0" customHeight="1">
      <x:c r="A2" s="1031" t="str">
        <x:v>기준: 선택지는 시스템 보상을 설명하기 위해 존재하지 않는다. 먼저 인물의 현재 욕구·공포·책임에서 두 행동이 모두 말이 되게 만들고, 그 차이가 나중에 Affinity/XP/Route/시간으로 계산되게 한다. 플레이어에게는 수치 대신 맥락과 예상되는 직접 대가만 보여준다.</x:v>
      </x:c>
      <x:c r="B2" s="565"/>
      <x:c r="C2" s="565"/>
      <x:c r="D2" s="565"/>
      <x:c r="E2" s="565"/>
      <x:c r="F2" s="565"/>
      <x:c r="G2" s="565"/>
      <x:c r="H2" s="565"/>
      <x:c r="I2" s="565"/>
      <x:c r="J2" s="565"/>
      <x:c r="K2" s="565"/>
      <x:c r="L2" s="565"/>
      <x:c r="M2" s="565"/>
      <x:c r="N2" s="565"/>
      <x:c r="O2" s="565"/>
      <x:c r="P2" s="565"/>
      <x:c r="Q2" s="108"/>
      <x:c r="R2" s="108"/>
    </x:row>
    <x:row r="3" ht="15" hidden="0" customHeight="1">
      <x:c r="A3" s="967"/>
      <x:c r="B3" s="967"/>
      <x:c r="C3" s="967"/>
      <x:c r="D3" s="967"/>
      <x:c r="E3" s="967"/>
      <x:c r="F3" s="967"/>
      <x:c r="G3" s="967"/>
      <x:c r="H3" s="967"/>
      <x:c r="I3" s="967"/>
      <x:c r="J3" s="967"/>
      <x:c r="K3" s="967"/>
      <x:c r="L3" s="967"/>
      <x:c r="M3" s="967"/>
      <x:c r="N3" s="967"/>
      <x:c r="O3" s="967"/>
      <x:c r="P3" s="967"/>
    </x:row>
    <x:row r="4" ht="26" hidden="0" customHeight="1">
      <x:c r="A4" s="1032" t="str">
        <x:v>1. 선택지 작성 원칙</x:v>
      </x:c>
      <x:c r="B4" s="1019"/>
      <x:c r="C4" s="1019"/>
      <x:c r="D4" s="1019"/>
      <x:c r="E4" s="1019"/>
      <x:c r="F4" s="1019"/>
      <x:c r="G4" s="1019"/>
      <x:c r="H4" s="1019"/>
      <x:c r="I4" s="1019"/>
      <x:c r="J4" s="1019"/>
      <x:c r="K4" s="1019"/>
      <x:c r="L4" s="1019"/>
      <x:c r="M4" s="1019"/>
      <x:c r="N4" s="1019"/>
      <x:c r="O4" s="1019"/>
      <x:c r="P4" s="1019"/>
      <x:c r="Q4" s="1022"/>
      <x:c r="R4" s="1022"/>
    </x:row>
    <x:row r="5" ht="15" hidden="0" customHeight="1">
      <x:c r="A5" s="969" t="str">
        <x:v>원칙</x:v>
      </x:c>
      <x:c r="B5" s="969" t="str">
        <x:v>적용</x:v>
      </x:c>
      <x:c r="C5" s="967"/>
      <x:c r="D5" s="967"/>
      <x:c r="E5" s="967"/>
      <x:c r="F5" s="967"/>
      <x:c r="G5" s="967"/>
      <x:c r="H5" s="967"/>
      <x:c r="I5" s="967"/>
      <x:c r="J5" s="967"/>
      <x:c r="K5" s="967"/>
      <x:c r="L5" s="967"/>
      <x:c r="M5" s="969" t="str">
        <x:v>검수</x:v>
      </x:c>
      <x:c r="N5" s="969" t="str">
        <x:v>유지</x:v>
      </x:c>
      <x:c r="O5" s="969" t="str">
        <x:v>수정</x:v>
      </x:c>
      <x:c r="P5" s="969" t="str">
        <x:v>폐기</x:v>
      </x:c>
    </x:row>
    <x:row r="6" ht="30" hidden="0" customHeight="1">
      <x:c r="A6" s="971" t="str">
        <x:v>선택지 정보</x:v>
      </x:c>
      <x:c r="B6" s="971" t="str">
        <x:v>버튼에는 조건·소모(Stat 최소, Will, Affinity 최소, 시간)를 표시. 부족해도 잠긴 선택지로 보임.</x:v>
      </x:c>
      <x:c r="C6" s="971"/>
      <x:c r="D6" s="971"/>
      <x:c r="E6" s="971"/>
      <x:c r="F6" s="971"/>
      <x:c r="G6" s="971"/>
      <x:c r="H6" s="971"/>
      <x:c r="I6" s="971"/>
      <x:c r="J6" s="971"/>
      <x:c r="K6" s="971"/>
      <x:c r="L6" s="971"/>
      <x:c r="M6" s="971" t="str">
        <x:v>8 Pivot</x:v>
      </x:c>
      <x:c r="N6" s="971" t="n">
        <x:v>5</x:v>
      </x:c>
      <x:c r="O6" s="971" t="n">
        <x:v>3</x:v>
      </x:c>
      <x:c r="P6" s="971" t="n">
        <x:v>0</x:v>
      </x:c>
    </x:row>
    <x:row r="7" ht="30" hidden="0" customHeight="1">
      <x:c r="A7" s="971" t="str">
        <x:v>Hover 결과</x:v>
      </x:c>
      <x:c r="B7" s="971" t="str">
        <x:v>즉시 확정되는 XP/Affinity/Integrity/Preservation/시간/Will/상태 변화를 전부 공개.</x:v>
      </x:c>
      <x:c r="C7" s="971"/>
      <x:c r="D7" s="971"/>
      <x:c r="E7" s="971"/>
      <x:c r="F7" s="971"/>
      <x:c r="G7" s="971"/>
      <x:c r="H7" s="971"/>
      <x:c r="I7" s="971"/>
      <x:c r="J7" s="971"/>
      <x:c r="K7" s="971"/>
      <x:c r="L7" s="971"/>
      <x:c r="M7" s="971" t="str">
        <x:v>선택 문구</x:v>
      </x:c>
      <x:c r="N7" s="971" t="n">
        <x:v>5</x:v>
      </x:c>
      <x:c r="O7" s="971" t="n">
        <x:v>3</x:v>
      </x:c>
      <x:c r="P7" s="971" t="n">
        <x:v>0</x:v>
      </x:c>
    </x:row>
    <x:row r="8" ht="30" hidden="0" customHeight="1">
      <x:c r="A8" s="971" t="str">
        <x:v>미래 결과 숨기기</x:v>
      </x:c>
      <x:c r="B8" s="971" t="str">
        <x:v>TRUE/HIDDEN 내부 Flag, 미래 Stance, 이후 사망/엔딩 조건은 Hover에 공개하지 않음.</x:v>
      </x:c>
      <x:c r="C8" s="971"/>
      <x:c r="D8" s="971"/>
      <x:c r="E8" s="971"/>
      <x:c r="F8" s="971"/>
      <x:c r="G8" s="971"/>
      <x:c r="H8" s="971"/>
      <x:c r="I8" s="971"/>
      <x:c r="J8" s="971"/>
      <x:c r="K8" s="971"/>
      <x:c r="L8" s="971"/>
      <x:c r="M8" s="971" t="str">
        <x:v>회복 구조</x:v>
      </x:c>
      <x:c r="N8" s="971" t="n">
        <x:v>0</x:v>
      </x:c>
      <x:c r="O8" s="971" t="n">
        <x:v>7</x:v>
      </x:c>
      <x:c r="P8" s="971" t="n">
        <x:v>1</x:v>
      </x:c>
    </x:row>
    <x:row r="9" ht="30" hidden="0" customHeight="1">
      <x:c r="A9" s="971" t="str">
        <x:v>두 선택 모두 합리적</x:v>
      </x:c>
      <x:c r="B9" s="971" t="str">
        <x:v>한쪽을 멍청하거나 악한 선택으로 만들지 않는다. 생존/사람/증거 중 무엇을 우선하는지의 차이.</x:v>
      </x:c>
      <x:c r="C9" s="971"/>
      <x:c r="D9" s="971"/>
      <x:c r="E9" s="971"/>
      <x:c r="F9" s="971"/>
      <x:c r="G9" s="971"/>
      <x:c r="H9" s="971"/>
      <x:c r="I9" s="971"/>
      <x:c r="J9" s="971"/>
      <x:c r="K9" s="971"/>
      <x:c r="L9" s="971"/>
      <x:c r="M9" s="971" t="str">
        <x:v>W3 회수</x:v>
      </x:c>
      <x:c r="N9" s="971" t="n">
        <x:v>8</x:v>
      </x:c>
      <x:c r="O9" s="971" t="n">
        <x:v>0</x:v>
      </x:c>
      <x:c r="P9" s="971" t="n">
        <x:v>0</x:v>
      </x:c>
    </x:row>
    <x:row r="10" ht="30" hidden="0" customHeight="1">
      <x:c r="A10" s="971" t="str">
        <x:v>트라우마를 통화로 만들지 않기</x:v>
      </x:c>
      <x:c r="B10" s="971" t="str">
        <x:v>보리치·벤자민·샘의 상처를 XP 버튼처럼 보이지 않게, 본인이 선택에 반응하고 후속 관계가 남도록 작성.</x:v>
      </x:c>
      <x:c r="C10" s="971"/>
      <x:c r="D10" s="971"/>
      <x:c r="E10" s="971"/>
      <x:c r="F10" s="971"/>
      <x:c r="G10" s="971"/>
      <x:c r="H10" s="971"/>
      <x:c r="I10" s="971"/>
      <x:c r="J10" s="971"/>
      <x:c r="K10" s="971"/>
      <x:c r="L10" s="971"/>
      <x:c r="M10" s="971" t="str">
        <x:v>Route Fork</x:v>
      </x:c>
      <x:c r="N10" s="971" t="n">
        <x:v>1</x:v>
      </x:c>
      <x:c r="O10" s="971" t="n">
        <x:v>0</x:v>
      </x:c>
      <x:c r="P10" s="971" t="n">
        <x:v>0</x:v>
      </x:c>
    </x:row>
    <x:row r="11" ht="36" hidden="0" customHeight="1">
      <x:c r="A11" s="967" t="str">
        <x:v>회복은 사과 버튼이 아님</x:v>
      </x:c>
      <x:c r="B11" s="967" t="str">
        <x:v>갈등 원인마다 다른 후속 행동/대화 1회. 시간은 들지만 Route Fork/이미 잃은 물리 결과는 되돌리지 않음.</x:v>
      </x:c>
      <x:c r="C11" s="967"/>
      <x:c r="D11" s="967"/>
      <x:c r="E11" s="967"/>
      <x:c r="F11" s="967"/>
      <x:c r="G11" s="967"/>
      <x:c r="H11" s="967"/>
      <x:c r="I11" s="967"/>
      <x:c r="J11" s="967"/>
      <x:c r="K11" s="967"/>
      <x:c r="L11" s="967"/>
      <x:c r="M11" s="967"/>
      <x:c r="N11" s="967"/>
      <x:c r="O11" s="967"/>
      <x:c r="P11" s="967"/>
    </x:row>
    <x:row r="12" ht="26" hidden="0" customHeight="1">
      <x:c r="A12" s="1032" t="str">
        <x:v>2. Pivot 8개 — 실제 장면/선택지 문안</x:v>
      </x:c>
      <x:c r="B12" s="1019"/>
      <x:c r="C12" s="1019"/>
      <x:c r="D12" s="1019"/>
      <x:c r="E12" s="1019"/>
      <x:c r="F12" s="1019"/>
      <x:c r="G12" s="1019"/>
      <x:c r="H12" s="1019"/>
      <x:c r="I12" s="1019"/>
      <x:c r="J12" s="1019"/>
      <x:c r="K12" s="1019"/>
      <x:c r="L12" s="1019"/>
      <x:c r="M12" s="1019"/>
      <x:c r="N12" s="1019"/>
      <x:c r="O12" s="1019"/>
      <x:c r="P12" s="1019"/>
      <x:c r="Q12" s="1022"/>
      <x:c r="R12" s="1022"/>
    </x:row>
    <x:row r="13" ht="30" hidden="0" customHeight="1">
      <x:c r="A13" s="971" t="str">
        <x:v>#</x:v>
      </x:c>
      <x:c r="B13" s="971" t="str">
        <x:v>Day / ActionID</x:v>
      </x:c>
      <x:c r="C13" s="971" t="str">
        <x:v>도입 상황</x:v>
      </x:c>
      <x:c r="D13" s="971" t="str">
        <x:v>선택 A — 플레이어 문구</x:v>
      </x:c>
      <x:c r="E13" s="971" t="str">
        <x:v>A 즉시 반응</x:v>
      </x:c>
      <x:c r="F13" s="971" t="str">
        <x:v>선택 B — 플레이어 문구</x:v>
      </x:c>
      <x:c r="G13" s="971" t="str">
        <x:v>B 즉시 반응</x:v>
      </x:c>
      <x:c r="H13" s="971" t="str">
        <x:v>숨은 결과</x:v>
      </x:c>
      <x:c r="I13" s="971" t="str">
        <x:v>회복/후속</x:v>
      </x:c>
      <x:c r="J13" s="971" t="str">
        <x:v>W3 회수</x:v>
      </x:c>
      <x:c r="K13" s="971" t="str">
        <x:v>Narrative 판정</x:v>
      </x:c>
      <x:c r="L13" s="971"/>
      <x:c r="M13" s="971"/>
      <x:c r="N13" s="971"/>
      <x:c r="O13" s="971"/>
      <x:c r="P13" s="971"/>
    </x:row>
    <x:row r="14" ht="60" hidden="0" customHeight="1">
      <x:c r="A14" s="967" t="n">
        <x:v>1</x:v>
      </x:c>
      <x:c r="B14" s="967" t="str">
        <x:v>D6 / W1D6_01</x:v>
      </x:c>
      <x:c r="C14" s="967" t="str">
        <x:v>오아시스 조사 결론을 샘에게 보고한다. 핵심 사실은 '현재 오아시스·현재 방식만으로 장기 정착을 보장할 수 없다'. 샘은 이제 공동체에 무엇을 말해야 할지 묻는다.</x:v>
      </x:c>
      <x:c r="D14" s="967" t="str">
        <x:v>「지금 방식으로는 못 버텨. 떠날 준비까지 같이 시작해야 해.」</x:v>
      </x:c>
      <x:c r="E14" s="967" t="str">
        <x:v>샘: “그래. 적어도 뭘 준비해야 하는지는 분명하네.” 결정을 내려야 하는 사람에게 단호한 기준을 줌.</x:v>
      </x:c>
      <x:c r="F14" s="967" t="str">
        <x:v>「보장할 수 없다는 게 끝이라는 뜻은 아니야. 조건이 바뀌면 다시 확인할 여지는 남겨두자.」</x:v>
      </x:c>
      <x:c r="G14" s="967" t="str">
        <x:v>보리치가 보고서 문구를 다시 읽고 짧게 고개를 든다. '현재 조건'이라는 단서가 기록에 남음.</x:v>
      </x:c>
      <x:c r="H14" s="967" t="str">
        <x:v>A: 강인함XP+2 / Sam Aff+1. B: 기술XP+2 / Borichi Aff+1 / RECHECK_CAVEAT.</x:v>
      </x:c>
      <x:c r="I14" s="967" t="str">
        <x:v>A를 골라도 Hidden 불가 아님. W1 Research Restoration 3회 + W3 추가검증 1.5h로 caveat 회복 가능.</x:v>
      </x:c>
      <x:c r="J14" s="967" t="str">
        <x:v>D18 보리치 재점검에서 A는 '그때 결론은 틀리지 않았다'가 강조되고, B는 제이가 남긴 caveat가 직접 인용됨.</x:v>
      </x:c>
      <x:c r="K14" s="967" t="str">
        <x:v>유지. 사실관계가 변하지 않고 '운영 결론의 강도'만 달라 자연스러움.</x:v>
      </x:c>
      <x:c r="L14" s="967"/>
      <x:c r="M14" s="967"/>
      <x:c r="N14" s="967"/>
      <x:c r="O14" s="967"/>
      <x:c r="P14" s="967"/>
    </x:row>
    <x:row r="15" ht="48" hidden="0" customHeight="1">
      <x:c r="A15" s="967" t="n">
        <x:v>2</x:v>
      </x:c>
      <x:c r="B15" s="967" t="str">
        <x:v>D7 / W1D7_02</x:v>
      </x:c>
      <x:c r="C15" s="967" t="str">
        <x:v>공동체 공개 직전. 아이·부상자·야간조가 한 공간에 있고, 조사 결과에는 확실한 것과 불확실한 것이 섞여 있다. 샘과 디야가 공개 방식으로 의견이 갈린다.</x:v>
      </x:c>
      <x:c r="D15" s="967" t="str">
        <x:v>「확실한 것도 불확실한 것도 전부 말하자. 혼란도 우리가 감당해야 해.」</x:v>
      </x:c>
      <x:c r="E15" s="967" t="str">
        <x:v>샘은 안도한다. 책임을 숨기지 않았다는 확신. 디야는 아이들까지 한꺼번에 공포에 밀어 넣는 방식에 반발.</x:v>
      </x:c>
      <x:c r="F15" s="967" t="str">
        <x:v>「오늘 결정에 필요한 것부터 말하자. 모르는 건 모른다고 남기고, 나머지는 순서대로 설명해.」</x:v>
      </x:c>
      <x:c r="G15" s="967" t="str">
        <x:v>디야는 동의한다. 샘은 '결국 내가 어디까지 말할지 정해야 한다'는 부담을 더 느낀다.</x:v>
      </x:c>
      <x:c r="H15" s="967" t="str">
        <x:v>A: 강인함XP+2 / Sam+1 / Diya-1. B: 교감XP+2 / Diya+1 / Sam-1.</x:v>
      </x:c>
      <x:c r="I15" s="967" t="str">
        <x:v>A의 Diya-1 → D7 Focus B/후속 1.5h로 감정 회복 가능. B의 Sam-1 → W1D7_04 또는 D13 Sam 대화로 회복 가능.</x:v>
      </x:c>
      <x:c r="J15" s="967" t="str">
        <x:v>D15 미래선언에서 A는 샘이 공개 책임을 직접 떠맡았던 경험을 언급. B는 공동체를 단계적으로 모으는 방식으로 이어짐.</x:v>
      </x:c>
      <x:c r="K15" s="967" t="str">
        <x:v>수정 유지. B는 '정보 은폐'가 아니라 단계적 공개임을 명시해야 함.</x:v>
      </x:c>
      <x:c r="L15" s="967"/>
      <x:c r="M15" s="967"/>
      <x:c r="N15" s="967"/>
      <x:c r="O15" s="967"/>
      <x:c r="P15" s="967"/>
    </x:row>
    <x:row r="16" ht="60" hidden="0" customHeight="1">
      <x:c r="A16" s="967" t="n">
        <x:v>3</x:v>
      </x:c>
      <x:c r="B16" s="967" t="str">
        <x:v>D8 / W2D8_02</x:v>
      </x:c>
      <x:c r="C16" s="967" t="str">
        <x:v>샌드웜이 도망친 방향을 따라가던 보리치가 추락 당시의 관측과 겹치는 패턴을 보고 손을 떤다. 분석을 계속하면 폭풍 접근을 더 빨리 확정할 수 있지만, 그는 지금 멈추고 싶어 한다.</x:v>
      </x:c>
      <x:c r="D16" s="967" t="str">
        <x:v>「오늘은 여기까지 하자. 기록은 내가 보관할게. 네가 다시 볼 수 있을 때 보자.」</x:v>
      </x:c>
      <x:c r="E16" s="967" t="str">
        <x:v>보리치는 처음으로 관측기에서 손을 뗀다. '고맙다'는 말 대신 장비를 제이에게 넘김.</x:v>
      </x:c>
      <x:c r="F16" s="967" t="str">
        <x:v>「한 번만 더 같이 보자. 네가 혼자 보게 두진 않을게. 지금 놓치면 다음엔 아무도 못 볼 수도 있어.」</x:v>
      </x:c>
      <x:c r="G16" s="967" t="str">
        <x:v>보리치는 동의하지만 표정이 굳는다. 분석을 끝내며 '필요할 때만 내가 사람이 아니라 관측기가 되는 기분'이라고 남김.</x:v>
      </x:c>
      <x:c r="H16" s="967" t="str">
        <x:v>A: Borichi Aff+1 / 폭풍 확정이 늦어짐. B: 기술XP+3 / Borichi Aff-1 / 폭풍 단서 즉시.</x:v>
      </x:c>
      <x:c r="I16" s="967" t="str">
        <x:v>B 후속: 1.5h '관측이 끝난 뒤' — 제이가 장비 정리를 대신하고 말없이 옆에 남음 → Borichi Aff+1. XP/시간 이득은 되돌리지 않음.</x:v>
      </x:c>
      <x:c r="J16" s="967" t="str">
        <x:v>D18 Final에서 B를 택했다면 보리치가 '이번에도 네가 끝까지 보라고 했지. 이번에는 내가 스스로 끝까지 본다.'로 의미를 뒤집음.</x:v>
      </x:c>
      <x:c r="K16" s="967" t="str">
        <x:v>문구 수정. 강압 명령이 아니라 필요를 솔직히 말하고 함께 감당하지만, 관계 비용은 남김.</x:v>
      </x:c>
      <x:c r="L16" s="967"/>
      <x:c r="M16" s="967"/>
      <x:c r="N16" s="967"/>
      <x:c r="O16" s="967"/>
      <x:c r="P16" s="967"/>
    </x:row>
    <x:row r="17" ht="60" hidden="0" customHeight="1">
      <x:c r="A17" s="967" t="n">
        <x:v>4</x:v>
      </x:c>
      <x:c r="B17" s="967" t="str">
        <x:v>D9 / W2D9_03</x:v>
      </x:c>
      <x:c r="C17" s="967" t="str">
        <x:v>페이가 엔진 보조전원의 노이즈를 함교 방송 증폭기로 보내보다가 신시사이저 톤이 선내 전체에 울리는 걸 발견한다. 둘이 잠깐 웃지만, 같은 부품이 피난용 리피터에도 필요하다는 걸 알아낸다.</x:v>
      </x:c>
      <x:c r="D17" s="967" t="str">
        <x:v>「이 회선은 남겨두자. 지금 당장 필요 없어 보여도, 사람 사는 데 쓸 수 있어.」</x:v>
      </x:c>
      <x:c r="E17" s="967" t="str">
        <x:v>페이: “그 말, 나중에 후회하지 마.” 장난스럽지만 진심으로 기뻐한다.</x:v>
      </x:c>
      <x:c r="F17" s="967" t="str">
        <x:v>「부품은 피난 설비로 돌리자. 음악은 나중에 다시 만들 수 있어.」</x:v>
      </x:c>
      <x:c r="G17" s="967" t="str">
        <x:v>페이가 직접 부품을 빼면서 “맞는 말이라 더 짜증 나네.”라고 한다. 생존 판단을 이해하지만, 자신의 꿈이 또 가장 먼저 잘려나갔다고 느낌.</x:v>
      </x:c>
      <x:c r="H17" s="967" t="str">
        <x:v>A: Faye+1 / AUDIO_LINK_READY / 기술XP+1. B: 기술XP+3 / Faye-2 / AUDIO_LINK_DAMAGED.</x:v>
      </x:c>
      <x:c r="I17" s="967" t="str">
        <x:v>B 후속은 별도 사과가 아니라 D13 2h 실제 복구 작업. 제이가 시간을 다시 지불하면 Link/관계 일부 복구.</x:v>
      </x:c>
      <x:c r="J17" s="967" t="str">
        <x:v>D18 공연은 이 회선을 그대로 사용. 함교&gt;=1 + 엔진&gt;=1 + Link가 없으면 공연 불가.</x:v>
      </x:c>
      <x:c r="K17" s="967" t="str">
        <x:v>강하게 유지. B도 충분히 합리적이고 Faye-2의 감정 이유도 명확.</x:v>
      </x:c>
      <x:c r="L17" s="967"/>
      <x:c r="M17" s="967"/>
      <x:c r="N17" s="967"/>
      <x:c r="O17" s="967"/>
      <x:c r="P17" s="967"/>
    </x:row>
    <x:row r="18" ht="48" hidden="0" customHeight="1">
      <x:c r="A18" s="967" t="n">
        <x:v>5</x:v>
      </x:c>
      <x:c r="B18" s="967" t="str">
        <x:v>D10 / W2D10_04</x:v>
      </x:c>
      <x:c r="C18" s="967" t="str">
        <x:v>제이가 모래폭풍 뒤 실종된 미라를 수색해 찾아낸 직후. 지나가 아이를 안고 있고, 다른 대피 구역에서 계속 인원 확인을 요청한다. 지나 자신은 다시 일하러 가겠다고 말한다.</x:v>
      </x:c>
      <x:c r="D18" s="967" t="str">
        <x:v>「오늘은 미라 곁에 있어. 네 몫은 다른 사람들이 나눌 수 있어.」</x:v>
      </x:c>
      <x:c r="E18" s="967" t="str">
        <x:v>지나는 잠시 반박하다가 미라가 손을 놓지 않는 걸 보고 멈춘다. 제이가 자신을 단순한 생활 담당자가 아니라 미라의 엄마이자 한 사람으로 본다고 느낌.</x:v>
      </x:c>
      <x:c r="F18" s="967" t="str">
        <x:v>「미라는 디야에게 맡기자. 지금 대피 동선을 아는 사람은 너뿐이야.」</x:v>
      </x:c>
      <x:c r="G18" s="967" t="str">
        <x:v>지나는 바로 일어나지만 “너도 결국 내가 필요한 쪽을 먼저 보는구나.”라고 한다. 판단 자체는 부정하지 않는다.</x:v>
      </x:c>
      <x:c r="H18" s="967" t="str">
        <x:v>A: Jina Aff+1 / 추가2h. B: 강인함XP+2 / Jina Aff-1 / 2h 절약.</x:v>
      </x:c>
      <x:c r="I18" s="967" t="str">
        <x:v>B 후속 2h '미라가 잠든 뒤' — 제이가 지나의 남은 일을 대신하고 같이 돌아와 대화 → Jina Aff+1.</x:v>
      </x:c>
      <x:c r="J18" s="967" t="str">
        <x:v>D17 Final의 신뢰 대사는 A면 직접 연결. B+회복이면 '그날 네가 돌아왔잖아'로 변형.</x:v>
      </x:c>
      <x:c r="K18" s="967" t="str">
        <x:v>유지. '업무복귀 강요'보다 지나가 먼저 가겠다고 한 상황에서 Jay가 무엇을 우선시키는지로 바꿈.</x:v>
      </x:c>
      <x:c r="L18" s="967"/>
      <x:c r="M18" s="967"/>
      <x:c r="N18" s="967"/>
      <x:c r="O18" s="967"/>
      <x:c r="P18" s="967"/>
    </x:row>
    <x:row r="19" ht="48" hidden="0" customHeight="1">
      <x:c r="A19" s="967" t="n">
        <x:v>6</x:v>
      </x:c>
      <x:c r="B19" s="967" t="str">
        <x:v>D11 / W2D11_03</x:v>
      </x:c>
      <x:c r="C19" s="967" t="str">
        <x:v>축제가 끝난 뒤 디야가 아이들이 모래 위에서 뛰는 걸 바라본다. 자신은 기성세대가 망친 지구를 물려받았고, 아이들에게 또 폐허나 좁은 생존 공간만 물려주고 싶지 않다고 말한다. 다시 출항하면 긴 항해를 배 안에서 보내야 할 수도 있지만, 이곳에 남기는 것도 실제로 살 수 있는 기반이 있을 때만 정당하다고 본다.</x:v>
      </x:c>
      <x:c r="D19" s="967" t="str">
        <x:v>「그래도 이번에는 아이들에게 직접 물어보자. 우리가 겪은 걸 이유로 아이들 몫까지 정하진 말자.」</x:v>
      </x:c>
      <x:c r="E19" s="967" t="str">
        <x:v>디야는 '아이들이 뭘 안다고'라고 반발한다. 하지만 그 말이 자기 두려움에서 나온 것도 안다.</x:v>
      </x:c>
      <x:c r="F19" s="967" t="str">
        <x:v>「그래. 여기서 정말 살 수 있는 근거가 생긴다면 이번엔 우리가 제대로 만들자. 하지만 집 때문에 애들을 위험에 묶지는 말자.」</x:v>
      </x:c>
      <x:c r="G19" s="967" t="str">
        <x:v>디야는 처음으로 Jay가 자신이 지키려는 것을 이해했다고 느낀다.</x:v>
      </x:c>
      <x:c r="H19" s="967" t="str">
        <x:v>A: 교감XP+2 / TRUE_CHILD_CHOICE / Diya-1. B: HIDDEN_HOME_CHOICE / Diya+1.</x:v>
      </x:c>
      <x:c r="I19" s="967" t="str">
        <x:v>Affinity는 후속/시험재배로 회복 가능하지만 Route Flag는 회복/전환 불가. 이것이 의도된 가치 Fork.</x:v>
      </x:c>
      <x:c r="J19" s="967" t="str">
        <x:v>D18 Diya Final이 A면 아이들의 '바다를 보고 싶다'로, B면 시험재배/집 만들기 결론으로 갈라짐.</x:v>
      </x:c>
      <x:c r="K19" s="967" t="str">
        <x:v>유지. 두 선택 모두 디야의 사랑을 부정하지 않는 문구로 확정.</x:v>
      </x:c>
      <x:c r="L19" s="967"/>
      <x:c r="M19" s="967"/>
      <x:c r="N19" s="967"/>
      <x:c r="O19" s="967"/>
      <x:c r="P19" s="967"/>
    </x:row>
    <x:row r="20" ht="48" hidden="0" customHeight="1">
      <x:c r="A20" s="967" t="n">
        <x:v>7</x:v>
      </x:c>
      <x:c r="B20" s="967" t="str">
        <x:v>D12 / W2D12_03</x:v>
      </x:c>
      <x:c r="C20" s="967" t="str">
        <x:v>수송선 복구가 눈에 띄게 진행되어 사람들이 다시 침상·식량·장비를 옮긴다. 벤자민은 그 장면을 보면서도 묘지 쪽 일을 먼저 끝내야 한다고 말한다.</x:v>
      </x:c>
      <x:c r="D20" s="967" t="str">
        <x:v>「묘지는 사라지지 않아. 지금은 살아 있는 사람들이 돌아올 배를 같이 보자.」</x:v>
      </x:c>
      <x:c r="E20" s="967" t="str">
        <x:v>벤자민: “그 말, 내 앞에서는 쉽게 하지 마.” 하지만 제이와 배를 돌며 고친 흔적을 하나씩 확인한다.</x:v>
      </x:c>
      <x:c r="F20" s="967" t="str">
        <x:v>「먼저 남겨질 이름부터 챙기자. 배 이야기는 그 다음에 해도 돼.」</x:v>
      </x:c>
      <x:c r="G20" s="967" t="str">
        <x:v>벤자민은 말없이 고개를 끄덕이고 묘지로 향한다. 기억을 장소에 두는 현재의 방식을 존중받았다고 느낌.</x:v>
      </x:c>
      <x:c r="H20" s="967" t="str">
        <x:v>A: 강인함XP+2 / Ben-1 / LIVING_SHIP_OPEN. B: Ben+1 / STAY_MEMORY_REINFORCED.</x:v>
      </x:c>
      <x:c r="I20" s="967" t="str">
        <x:v>A의 Ben-1은 D13 묘지 후속 또는 D19 Crisis Final에서 관계 회복 가능. B는 나중에도 Living Ship을 열 수 있지만 시간이 더 듦.</x:v>
      </x:c>
      <x:c r="J20" s="967" t="str">
        <x:v>D19 Crisis Final에서 A는 '살아 있는 사람을 고친다'가 직접 회수. B는 D20까지 STAY 근거가 더 강하게 남음.</x:v>
      </x:c>
      <x:c r="K20" s="967" t="str">
        <x:v>문구 수정. '죽은 사람보다 산 사람이 중요'가 아니라 순서와 현재 행동의 우선순위 문제로 한정.</x:v>
      </x:c>
      <x:c r="L20" s="967"/>
      <x:c r="M20" s="967"/>
      <x:c r="N20" s="967"/>
      <x:c r="O20" s="967"/>
      <x:c r="P20" s="967"/>
    </x:row>
    <x:row r="21" ht="48" hidden="0" customHeight="1">
      <x:c r="A21" s="967" t="n">
        <x:v>8</x:v>
      </x:c>
      <x:c r="B21" s="967" t="str">
        <x:v>D13 / W2D13_07</x:v>
      </x:c>
      <x:c r="C21" s="967" t="str">
        <x:v>야간 인계 직전 샘이 '둘 다 못 살리는 상황이면 뭘 기준으로 잘라내야 하냐'고 묻는다. 아직 그날 밤의 온실/구조 요청은 발생하기 전이다.</x:v>
      </x:c>
      <x:c r="D21" s="967" t="str">
        <x:v>「기준을 같이 적자. 네가 혼자 결정하는 게 아니야. 누가 판단해도 같은 기준이 나오게 만들자.」</x:v>
      </x:c>
      <x:c r="E21" s="967" t="str">
        <x:v>샘은 '선장인데 혼자가 아니어도 되냐'고 묻고, 제이는 그렇다고 답한다.</x:v>
      </x:c>
      <x:c r="F21" s="967" t="str">
        <x:v>「기준을 정했으면 다음엔 망설이지 마. 모두를 살리려다 둘 다 잃는 것보다, 하나를 확실히 지켜.」</x:v>
      </x:c>
      <x:c r="G21" s="967" t="str">
        <x:v>샘은 고개를 끄덕이지만 표정이 굳는다. 제이의 말이 맞을 수 있다는 사실 자체가 더 무겁게 남는다.</x:v>
      </x:c>
      <x:c r="H21" s="967" t="str">
        <x:v>A: Sam+1 / BURDEN-1 / 1.5h. B: 강인함XP+3 / Sam-1 / BURDEN+1 / 시간 절약.</x:v>
      </x:c>
      <x:c r="I21" s="967" t="str">
        <x:v>B 후속은 D16 '샘의 부담을 다시 들어주기'. Affinity는 회복 가능하지만 D13 Overnight의 감정 해석은 남음.</x:v>
      </x:c>
      <x:c r="J21" s="967" t="str">
        <x:v>D13 밤 샘이 온실을 지키고 구조를 놓친 뒤 A면 '같이 만든 기준인데도 무섭다', B면 '네가 망설이지 말랬지'가 돌아옴. D17 붕괴 위험도 차등.</x:v>
      </x:c>
      <x:c r="K21" s="967" t="str">
        <x:v>핵심 수정. '네가 선장이니 알아서 해'보다 샘의 비극을 직접 예비하는 윤리적 조언으로 변경.</x:v>
      </x:c>
      <x:c r="L21" s="967"/>
      <x:c r="M21" s="967"/>
      <x:c r="N21" s="967"/>
      <x:c r="O21" s="967"/>
      <x:c r="P21" s="967"/>
    </x:row>
    <x:row r="22" ht="15" hidden="0" customHeight="1">
      <x:c r="A22" s="967"/>
      <x:c r="B22" s="967"/>
      <x:c r="C22" s="967"/>
      <x:c r="D22" s="967"/>
      <x:c r="E22" s="967"/>
      <x:c r="F22" s="967"/>
      <x:c r="G22" s="967"/>
      <x:c r="H22" s="967"/>
      <x:c r="I22" s="967"/>
      <x:c r="J22" s="967"/>
      <x:c r="K22" s="967"/>
      <x:c r="L22" s="967"/>
      <x:c r="M22" s="967"/>
      <x:c r="N22" s="967"/>
      <x:c r="O22" s="967"/>
      <x:c r="P22" s="967"/>
    </x:row>
    <x:row r="23" ht="26" hidden="0" customHeight="1">
      <x:c r="A23" s="1032" t="str">
        <x:v>3. Affinity 갈등 회복 Event — 원인별 1회</x:v>
      </x:c>
      <x:c r="B23" s="1019"/>
      <x:c r="C23" s="1019"/>
      <x:c r="D23" s="1019"/>
      <x:c r="E23" s="1019"/>
      <x:c r="F23" s="1019"/>
      <x:c r="G23" s="1019"/>
      <x:c r="H23" s="1019"/>
      <x:c r="I23" s="1019"/>
      <x:c r="J23" s="1019"/>
      <x:c r="K23" s="1019"/>
      <x:c r="L23" s="1019"/>
      <x:c r="M23" s="1019"/>
      <x:c r="N23" s="1019"/>
      <x:c r="O23" s="1019"/>
      <x:c r="P23" s="1019"/>
      <x:c r="Q23" s="1022"/>
      <x:c r="R23" s="1022"/>
    </x:row>
    <x:row r="24" ht="30" hidden="0" customHeight="1">
      <x:c r="A24" s="983" t="str">
        <x:v>원인</x:v>
      </x:c>
      <x:c r="B24" s="983" t="str">
        <x:v>권장 시점</x:v>
      </x:c>
      <x:c r="C24" s="983" t="str">
        <x:v>시간</x:v>
      </x:c>
      <x:c r="D24" s="983" t="str">
        <x:v>후속 장면</x:v>
      </x:c>
      <x:c r="E24" s="983" t="str">
        <x:v>효과</x:v>
      </x:c>
      <x:c r="F24" s="983" t="str">
        <x:v>되돌리지 않는 것</x:v>
      </x:c>
      <x:c r="G24" s="983" t="str">
        <x:v>상태</x:v>
      </x:c>
      <x:c r="H24" s="983"/>
      <x:c r="I24" s="983"/>
      <x:c r="J24" s="983"/>
      <x:c r="K24" s="983"/>
      <x:c r="L24" s="983"/>
      <x:c r="M24" s="983"/>
      <x:c r="N24" s="983"/>
      <x:c r="O24" s="983"/>
      <x:c r="P24" s="983"/>
    </x:row>
    <x:row r="25" ht="48" hidden="0" customHeight="1">
      <x:c r="A25" s="967" t="str">
        <x:v>D7 Diya -1</x:v>
      </x:c>
      <x:c r="B25" s="967" t="str">
        <x:v>D7 저녁~D9</x:v>
      </x:c>
      <x:c r="C25" s="967" t="n">
        <x:v>1.5</x:v>
      </x:c>
      <x:c r="D25" s="967" t="str">
        <x:v>아이들이 잠든 뒤 공개 장면에서 놀란 아이들을 함께 진정시킨다. Jay가 '말한 게 틀린 건 아니지만 한꺼번에 떠넘겼다'고 인정.</x:v>
      </x:c>
      <x:c r="E25" s="967" t="str">
        <x:v>Diya +1</x:v>
      </x:c>
      <x:c r="F25" s="967" t="str">
        <x:v>전체공개 Flag / 획득 XP</x:v>
      </x:c>
      <x:c r="G25" s="967" t="str">
        <x:v>AUTHORED 후보</x:v>
      </x:c>
      <x:c r="H25" s="967"/>
      <x:c r="I25" s="967"/>
      <x:c r="J25" s="967"/>
      <x:c r="K25" s="967"/>
      <x:c r="L25" s="967"/>
      <x:c r="M25" s="967"/>
      <x:c r="N25" s="967"/>
      <x:c r="O25" s="967"/>
      <x:c r="P25" s="967"/>
    </x:row>
    <x:row r="26" ht="36" hidden="0" customHeight="1">
      <x:c r="A26" s="967" t="str">
        <x:v>D7 Sam -1</x:v>
      </x:c>
      <x:c r="B26" s="967" t="str">
        <x:v>W1D7_04 또는 D9</x:v>
      </x:c>
      <x:c r="C26" s="967" t="n">
        <x:v>1.5</x:v>
      </x:c>
      <x:c r="D26" s="967" t="str">
        <x:v>Jay가 공개 순서의 책임을 샘에게만 맡긴 것을 인정하고, 다음 공지는 함께 작성한다.</x:v>
      </x:c>
      <x:c r="E26" s="967" t="str">
        <x:v>Sam +1</x:v>
      </x:c>
      <x:c r="F26" s="967" t="str">
        <x:v>제한공개 Flag / 획득 XP</x:v>
      </x:c>
      <x:c r="G26" s="967" t="str">
        <x:v>기존 슬롯 활용</x:v>
      </x:c>
      <x:c r="H26" s="967"/>
      <x:c r="I26" s="967"/>
      <x:c r="J26" s="967"/>
      <x:c r="K26" s="967"/>
      <x:c r="L26" s="967"/>
      <x:c r="M26" s="967"/>
      <x:c r="N26" s="967"/>
      <x:c r="O26" s="967"/>
      <x:c r="P26" s="967"/>
    </x:row>
    <x:row r="27" ht="48" hidden="0" customHeight="1">
      <x:c r="A27" s="967" t="str">
        <x:v>D8 Borichi -1</x:v>
      </x:c>
      <x:c r="B27" s="967" t="str">
        <x:v>D8~10</x:v>
      </x:c>
      <x:c r="C27" s="967" t="n">
        <x:v>1.5</x:v>
      </x:c>
      <x:c r="D27" s="967" t="str">
        <x:v>분석이 끝난 뒤 장비 정리를 Jay가 대신한다. 질문하지 않고 옆에 있다가 보리치가 먼저 사고 당시 이야기를 꺼낸다.</x:v>
      </x:c>
      <x:c r="E27" s="967" t="str">
        <x:v>Borichi +1</x:v>
      </x:c>
      <x:c r="F27" s="967" t="str">
        <x:v>즉시 단서 / 기술XP</x:v>
      </x:c>
      <x:c r="G27" s="967" t="str">
        <x:v>AUTHORED 후보</x:v>
      </x:c>
      <x:c r="H27" s="967"/>
      <x:c r="I27" s="967"/>
      <x:c r="J27" s="967"/>
      <x:c r="K27" s="967"/>
      <x:c r="L27" s="967"/>
      <x:c r="M27" s="967"/>
      <x:c r="N27" s="967"/>
      <x:c r="O27" s="967"/>
      <x:c r="P27" s="967"/>
    </x:row>
    <x:row r="28" ht="36" hidden="0" customHeight="1">
      <x:c r="A28" s="967" t="str">
        <x:v>D9 Faye -2</x:v>
      </x:c>
      <x:c r="B28" s="967" t="str">
        <x:v>D13</x:v>
      </x:c>
      <x:c r="C28" s="967" t="n">
        <x:v>2</x:v>
      </x:c>
      <x:c r="D28" s="967" t="str">
        <x:v>이미 존재하는 음향·악기 장비 복구. 사과보다 실제로 시간을 다시 투자한다.</x:v>
      </x:c>
      <x:c r="E28" s="967" t="str">
        <x:v>Faye +1 (추가 +1은 D18 공연 성공 시 후보)</x:v>
      </x:c>
      <x:c r="F28" s="967" t="str">
        <x:v>D9에서 잃은 시간/기술XP</x:v>
      </x:c>
      <x:c r="G28" s="967" t="str">
        <x:v>기존 W2D13_06</x:v>
      </x:c>
      <x:c r="H28" s="967"/>
      <x:c r="I28" s="967"/>
      <x:c r="J28" s="967"/>
      <x:c r="K28" s="967"/>
      <x:c r="L28" s="967"/>
      <x:c r="M28" s="967"/>
      <x:c r="N28" s="967"/>
      <x:c r="O28" s="967"/>
      <x:c r="P28" s="967"/>
    </x:row>
    <x:row r="29" ht="48" hidden="0" customHeight="1">
      <x:c r="A29" s="967" t="str">
        <x:v>D10 Jina -1</x:v>
      </x:c>
      <x:c r="B29" s="967" t="str">
        <x:v>D10~12</x:v>
      </x:c>
      <x:c r="C29" s="967" t="str">
        <x:v>미라가 잠든 뒤 Jay가 지나의 남은 작업을 대신 마치고 함께 돌아온다. 두 사람은 약 3개월의 항해 기억과 그 뒤 지나에게만 쌓인 10년의 간극을 처음 길게 이야기.</x:v>
      </x:c>
      <x:c r="D29" s="967" t="str">
        <x:v>미라가 잠든 뒤 Jay가 지나의 남은 작업을 대신 마치고 함께 돌아온다. 두 사람이 10년의 간극을 처음 길게 이야기.</x:v>
      </x:c>
      <x:c r="E29" s="967" t="str">
        <x:v>Jina +1</x:v>
      </x:c>
      <x:c r="F29" s="967" t="str">
        <x:v>절약했던 2h는 결과적으로 다시 지불</x:v>
      </x:c>
      <x:c r="G29" s="967" t="str">
        <x:v>AUTHORED 후보</x:v>
      </x:c>
      <x:c r="H29" s="967"/>
      <x:c r="I29" s="967"/>
      <x:c r="J29" s="967"/>
      <x:c r="K29" s="967"/>
      <x:c r="L29" s="967"/>
      <x:c r="M29" s="967"/>
      <x:c r="N29" s="967"/>
      <x:c r="O29" s="967"/>
      <x:c r="P29" s="967"/>
    </x:row>
    <x:row r="30" ht="48" hidden="0" customHeight="1">
      <x:c r="A30" s="967" t="str">
        <x:v>D11 Diya -1</x:v>
      </x:c>
      <x:c r="B30" s="967" t="str">
        <x:v>D12 시험재배/후속</x:v>
      </x:c>
      <x:c r="C30" s="967" t="n">
        <x:v>1.5</x:v>
      </x:c>
      <x:c r="D30" s="967" t="str">
        <x:v>아이의 의견을 묻자는 말이 디야의 두려움을 가볍게 여긴 건 아니었다는 걸 행동으로 보여준다.</x:v>
      </x:c>
      <x:c r="E30" s="967" t="str">
        <x:v>Diya +1</x:v>
      </x:c>
      <x:c r="F30" s="967" t="str">
        <x:v>TRUE_CHILD_CHOICE는 유지, Hidden으로 전환 불가</x:v>
      </x:c>
      <x:c r="G30" s="967" t="str">
        <x:v>기존 시험재배 연계</x:v>
      </x:c>
      <x:c r="H30" s="967"/>
      <x:c r="I30" s="967"/>
      <x:c r="J30" s="967"/>
      <x:c r="K30" s="967"/>
      <x:c r="L30" s="967"/>
      <x:c r="M30" s="967"/>
      <x:c r="N30" s="967"/>
      <x:c r="O30" s="967"/>
      <x:c r="P30" s="967"/>
    </x:row>
    <x:row r="31" ht="48" hidden="0" customHeight="1">
      <x:c r="A31" s="967" t="str">
        <x:v>D12 Benjamin -1</x:v>
      </x:c>
      <x:c r="B31" s="967" t="str">
        <x:v>D13~D19</x:v>
      </x:c>
      <x:c r="C31" s="967" t="n">
        <x:v>2</x:v>
      </x:c>
      <x:c r="D31" s="967" t="str">
        <x:v>묘지 일을 함께 마친 뒤 수송선으로 돌아오는 길. 혹은 D19 Crisis Final에서 함께 보강하며 회수.</x:v>
      </x:c>
      <x:c r="E31" s="967" t="str">
        <x:v>Benjamin +1</x:v>
      </x:c>
      <x:c r="F31" s="967" t="str">
        <x:v>LIVING_SHIP_OPEN / 획득XP</x:v>
      </x:c>
      <x:c r="G31" s="967" t="str">
        <x:v>기존 Beat 연계</x:v>
      </x:c>
      <x:c r="H31" s="967"/>
      <x:c r="I31" s="967"/>
      <x:c r="J31" s="967"/>
      <x:c r="K31" s="967"/>
      <x:c r="L31" s="967"/>
      <x:c r="M31" s="967"/>
      <x:c r="N31" s="967"/>
      <x:c r="O31" s="967"/>
      <x:c r="P31" s="967"/>
    </x:row>
    <x:row r="32" ht="48" hidden="0" customHeight="1">
      <x:c r="A32" s="967" t="str">
        <x:v>D13 Sam -1</x:v>
      </x:c>
      <x:c r="B32" s="967" t="str">
        <x:v>D16</x:v>
      </x:c>
      <x:c r="C32" s="967" t="str">
        <x:v>2 + Will1 후보</x:v>
      </x:c>
      <x:c r="D32" s="967" t="str">
        <x:v>이미 있는 '샘의 부담을 다시 들어주기'. Jay가 결과가 옳았다는 말 대신, 혼자 짊어지게 한 책임을 나눔.</x:v>
      </x:c>
      <x:c r="E32" s="967" t="str">
        <x:v>Sam +1 / BURDEN-1</x:v>
      </x:c>
      <x:c r="F32" s="967" t="str">
        <x:v>D13 비극 / 강인함XP</x:v>
      </x:c>
      <x:c r="G32" s="967" t="str">
        <x:v>기존 W3D16_03</x:v>
      </x:c>
      <x:c r="H32" s="967"/>
      <x:c r="I32" s="967"/>
      <x:c r="J32" s="967"/>
      <x:c r="K32" s="967"/>
      <x:c r="L32" s="967"/>
      <x:c r="M32" s="967"/>
      <x:c r="N32" s="967"/>
      <x:c r="O32" s="967"/>
      <x:c r="P32" s="967"/>
    </x:row>
    <x:row r="33" ht="15" hidden="0" customHeight="1">
      <x:c r="A33" s="967"/>
      <x:c r="B33" s="967"/>
      <x:c r="C33" s="967"/>
      <x:c r="D33" s="967"/>
      <x:c r="E33" s="967"/>
      <x:c r="F33" s="967"/>
      <x:c r="G33" s="967"/>
      <x:c r="H33" s="967"/>
      <x:c r="I33" s="967"/>
      <x:c r="J33" s="967"/>
      <x:c r="K33" s="967"/>
      <x:c r="L33" s="967"/>
      <x:c r="M33" s="967"/>
      <x:c r="N33" s="967"/>
      <x:c r="O33" s="967"/>
      <x:c r="P33" s="967"/>
    </x:row>
    <x:row r="34" ht="26" hidden="0" customHeight="1">
      <x:c r="A34" s="1032" t="str">
        <x:v>4. W3 회수 Matrix — W1/W2 선택이 대사와 시스템 양쪽에서 돌아오는 지점</x:v>
      </x:c>
      <x:c r="B34" s="1019"/>
      <x:c r="C34" s="1019"/>
      <x:c r="D34" s="1019"/>
      <x:c r="E34" s="1019"/>
      <x:c r="F34" s="1019"/>
      <x:c r="G34" s="1019"/>
      <x:c r="H34" s="1019"/>
      <x:c r="I34" s="1019"/>
      <x:c r="J34" s="1019"/>
      <x:c r="K34" s="1019"/>
      <x:c r="L34" s="1019"/>
      <x:c r="M34" s="1019"/>
      <x:c r="N34" s="1019"/>
      <x:c r="O34" s="1019"/>
      <x:c r="P34" s="1019"/>
      <x:c r="Q34" s="1022"/>
      <x:c r="R34" s="1022"/>
    </x:row>
    <x:row r="35" ht="30" hidden="0" customHeight="1">
      <x:c r="A35" s="983" t="str">
        <x:v>과거 선택</x:v>
      </x:c>
      <x:c r="B35" s="983" t="str">
        <x:v>W3 회수</x:v>
      </x:c>
      <x:c r="C35" s="983" t="str">
        <x:v>대사/연출 차이</x:v>
      </x:c>
      <x:c r="D35" s="983" t="str">
        <x:v>시스템 차이</x:v>
      </x:c>
      <x:c r="E35" s="983" t="str">
        <x:v>상태</x:v>
      </x:c>
      <x:c r="F35" s="983"/>
      <x:c r="G35" s="983"/>
      <x:c r="H35" s="983"/>
      <x:c r="I35" s="983"/>
      <x:c r="J35" s="983"/>
      <x:c r="K35" s="983"/>
      <x:c r="L35" s="983"/>
      <x:c r="M35" s="983"/>
      <x:c r="N35" s="983"/>
      <x:c r="O35" s="983"/>
      <x:c r="P35" s="983"/>
    </x:row>
    <x:row r="36" ht="36" hidden="0" customHeight="1">
      <x:c r="A36" s="967" t="str">
        <x:v>D6 A/B</x:v>
      </x:c>
      <x:c r="B36" s="967" t="str">
        <x:v>D18 Sustainability 재점검</x:v>
      </x:c>
      <x:c r="C36" s="967" t="str">
        <x:v>A: 보리치가 '그때 결론은 맞았다' 강조. B: Jay의 '현재 조건' 문구를 보리치가 직접 다시 읽음.</x:v>
      </x:c>
      <x:c r="D36" s="967" t="str">
        <x:v>B는 RECHECK_CAVEAT. A는 Research3+추가검증으로 회복 가능.</x:v>
      </x:c>
      <x:c r="E36" s="967" t="str">
        <x:v>유지</x:v>
      </x:c>
      <x:c r="F36" s="967"/>
      <x:c r="G36" s="967"/>
      <x:c r="H36" s="967"/>
      <x:c r="I36" s="967"/>
      <x:c r="J36" s="967"/>
      <x:c r="K36" s="967"/>
      <x:c r="L36" s="967"/>
      <x:c r="M36" s="967"/>
      <x:c r="N36" s="967"/>
      <x:c r="O36" s="967"/>
      <x:c r="P36" s="967"/>
    </x:row>
    <x:row r="37" ht="24" hidden="0" customHeight="1">
      <x:c r="A37" s="967" t="str">
        <x:v>D7 A/B</x:v>
      </x:c>
      <x:c r="B37" s="967" t="str">
        <x:v>D15 미래 선언</x:v>
      </x:c>
      <x:c r="C37" s="967" t="str">
        <x:v>A: 샘이 '이번엔 전부 숨기지 않는다'. B: 샘이 사람을 모으는 순서를 다시 세움.</x:v>
      </x:c>
      <x:c r="D37" s="967" t="str">
        <x:v>Sam/Diya Affinity가 NPC 이동비에 반영.</x:v>
      </x:c>
      <x:c r="E37" s="967" t="str">
        <x:v>유지</x:v>
      </x:c>
      <x:c r="F37" s="967"/>
      <x:c r="G37" s="967"/>
      <x:c r="H37" s="967"/>
      <x:c r="I37" s="967"/>
      <x:c r="J37" s="967"/>
      <x:c r="K37" s="967"/>
      <x:c r="L37" s="967"/>
      <x:c r="M37" s="967"/>
      <x:c r="N37" s="967"/>
      <x:c r="O37" s="967"/>
      <x:c r="P37" s="967"/>
    </x:row>
    <x:row r="38" ht="36" hidden="0" customHeight="1">
      <x:c r="A38" s="967" t="str">
        <x:v>D8 B</x:v>
      </x:c>
      <x:c r="B38" s="967" t="str">
        <x:v>D18 Borichi Final</x:v>
      </x:c>
      <x:c r="C38" s="967" t="str">
        <x:v>과거에는 Jay가 끝까지 보라고 부탁했고, 마지막에는 보리치가 스스로 끝까지 확인한다.</x:v>
      </x:c>
      <x:c r="D38" s="967" t="str">
        <x:v>기술XP를 일찍 얻은 대신 Affinity 관리 필요.</x:v>
      </x:c>
      <x:c r="E38" s="967" t="str">
        <x:v>유지</x:v>
      </x:c>
      <x:c r="F38" s="967"/>
      <x:c r="G38" s="967"/>
      <x:c r="H38" s="967"/>
      <x:c r="I38" s="967"/>
      <x:c r="J38" s="967"/>
      <x:c r="K38" s="967"/>
      <x:c r="L38" s="967"/>
      <x:c r="M38" s="967"/>
      <x:c r="N38" s="967"/>
      <x:c r="O38" s="967"/>
      <x:c r="P38" s="967"/>
    </x:row>
    <x:row r="39" ht="36" hidden="0" customHeight="1">
      <x:c r="A39" s="967" t="str">
        <x:v>D9/D13</x:v>
      </x:c>
      <x:c r="B39" s="967" t="str">
        <x:v>D18 Faye 공연</x:v>
      </x:c>
      <x:c r="C39" s="967" t="str">
        <x:v>엔진실에서 난 작은 신시 소리가 함교 전체 방송으로 확장. D9 회선을 실제로 재사용.</x:v>
      </x:c>
      <x:c r="D39" s="967" t="str">
        <x:v>함교&gt;=1 + 엔진&gt;=1 + AUDIO_LINK_READY. Full Route면 Will+3/Tech Mastery/Faye LEAVE.</x:v>
      </x:c>
      <x:c r="E39" s="967" t="str">
        <x:v>확정방향</x:v>
      </x:c>
      <x:c r="F39" s="967"/>
      <x:c r="G39" s="967"/>
      <x:c r="H39" s="967"/>
      <x:c r="I39" s="967"/>
      <x:c r="J39" s="967"/>
      <x:c r="K39" s="967"/>
      <x:c r="L39" s="967"/>
      <x:c r="M39" s="967"/>
      <x:c r="N39" s="967"/>
      <x:c r="O39" s="967"/>
      <x:c r="P39" s="967"/>
    </x:row>
    <x:row r="40" ht="24" hidden="0" customHeight="1">
      <x:c r="A40" s="967" t="str">
        <x:v>D10</x:v>
      </x:c>
      <x:c r="B40" s="967" t="str">
        <x:v>D17 Jina Final</x:v>
      </x:c>
      <x:c r="C40" s="967" t="str">
        <x:v>A: '그날 너는 나를 엄마로 봤어.' B+회복: '그날 다시 돌아왔잖아.'</x:v>
      </x:c>
      <x:c r="D40" s="967" t="str">
        <x:v>Jina Affinity / True Final 선행.</x:v>
      </x:c>
      <x:c r="E40" s="967" t="str">
        <x:v>확정방향</x:v>
      </x:c>
      <x:c r="F40" s="967"/>
      <x:c r="G40" s="967"/>
      <x:c r="H40" s="967"/>
      <x:c r="I40" s="967"/>
      <x:c r="J40" s="967"/>
      <x:c r="K40" s="967"/>
      <x:c r="L40" s="967"/>
      <x:c r="M40" s="967"/>
      <x:c r="N40" s="967"/>
      <x:c r="O40" s="967"/>
      <x:c r="P40" s="967"/>
    </x:row>
    <x:row r="41" ht="24" hidden="0" customHeight="1">
      <x:c r="A41" s="967" t="str">
        <x:v>D11 A/B</x:v>
      </x:c>
      <x:c r="B41" s="967" t="str">
        <x:v>D18 Diya Final</x:v>
      </x:c>
      <x:c r="C41" s="967" t="str">
        <x:v>A: 아이의 '바다를 보고 싶다'. B: 시험재배와 넓은 집을 이어서 말함.</x:v>
      </x:c>
      <x:c r="D41" s="967" t="str">
        <x:v>True/Hidden Stance Flag 분기.</x:v>
      </x:c>
      <x:c r="E41" s="967" t="str">
        <x:v>확정</x:v>
      </x:c>
      <x:c r="F41" s="967"/>
      <x:c r="G41" s="967"/>
      <x:c r="H41" s="967"/>
      <x:c r="I41" s="967"/>
      <x:c r="J41" s="967"/>
      <x:c r="K41" s="967"/>
      <x:c r="L41" s="967"/>
      <x:c r="M41" s="967"/>
      <x:c r="N41" s="967"/>
      <x:c r="O41" s="967"/>
      <x:c r="P41" s="967"/>
    </x:row>
    <x:row r="42" ht="30" hidden="0" customHeight="1">
      <x:c r="A42" s="971" t="str">
        <x:v>D12 A/B</x:v>
      </x:c>
      <x:c r="B42" s="971" t="str">
        <x:v>D19 Benjamin Crisis + D20 결</x:v>
      </x:c>
      <x:c r="C42" s="971" t="str">
        <x:v>A: 살아 있는 사람의 배를 직접 고침. B: 묘지/기억을 가진 채 선택.</x:v>
      </x:c>
      <x:c r="D42" s="971" t="str">
        <x:v>D19 Will+3 여부, D20 STAY/UNDECIDED/LEAVE 결론.</x:v>
      </x:c>
      <x:c r="E42" s="971" t="str">
        <x:v>확정방향</x:v>
      </x:c>
      <x:c r="F42" s="971"/>
      <x:c r="G42" s="971"/>
      <x:c r="H42" s="971"/>
      <x:c r="I42" s="971"/>
      <x:c r="J42" s="971"/>
      <x:c r="K42" s="971"/>
      <x:c r="L42" s="971"/>
      <x:c r="M42" s="971"/>
      <x:c r="N42" s="971"/>
      <x:c r="O42" s="971"/>
      <x:c r="P42" s="971"/>
    </x:row>
    <x:row r="43" ht="36" hidden="0" customHeight="1">
      <x:c r="A43" s="967" t="str">
        <x:v>D13 A/B</x:v>
      </x:c>
      <x:c r="B43" s="967" t="str">
        <x:v>D13 Overnight + D16/D17 Sam</x:v>
      </x:c>
      <x:c r="C43" s="967" t="str">
        <x:v>같은 비극이지만 A는 공동 기준의 실패 공포, B는 냉정한 기준을 실제로 집행한 죄책감.</x:v>
      </x:c>
      <x:c r="D43" s="967" t="str">
        <x:v>BURDEN 값 / Sam 붕괴 위험 / Affinity 이동비.</x:v>
      </x:c>
      <x:c r="E43" s="967" t="str">
        <x:v>확정방향</x:v>
      </x:c>
      <x:c r="F43" s="967"/>
      <x:c r="G43" s="967"/>
      <x:c r="H43" s="967"/>
      <x:c r="I43" s="967"/>
      <x:c r="J43" s="967"/>
      <x:c r="K43" s="967"/>
      <x:c r="L43" s="967"/>
      <x:c r="M43" s="967"/>
      <x:c r="N43" s="967"/>
      <x:c r="O43" s="967"/>
      <x:c r="P43" s="967"/>
    </x:row>
    <x:row r="44" ht="15" hidden="0" customHeight="1">
      <x:c r="A44" s="967"/>
      <x:c r="B44" s="967"/>
      <x:c r="C44" s="967"/>
      <x:c r="D44" s="967"/>
      <x:c r="E44" s="967"/>
      <x:c r="F44" s="967"/>
      <x:c r="G44" s="967"/>
      <x:c r="H44" s="967"/>
      <x:c r="I44" s="967"/>
      <x:c r="J44" s="967"/>
      <x:c r="K44" s="967"/>
      <x:c r="L44" s="967"/>
      <x:c r="M44" s="967"/>
      <x:c r="N44" s="967"/>
      <x:c r="O44" s="967"/>
      <x:c r="P44" s="967"/>
    </x:row>
    <x:row r="45" ht="26" hidden="0" customHeight="1">
      <x:c r="A45" s="1032" t="str">
        <x:v>5. 이번 Pass에서 수정한 표현 / 폐기한 표현</x:v>
      </x:c>
      <x:c r="B45" s="1019"/>
      <x:c r="C45" s="1019"/>
      <x:c r="D45" s="1019"/>
      <x:c r="E45" s="1019"/>
      <x:c r="F45" s="1019"/>
      <x:c r="G45" s="1019"/>
      <x:c r="H45" s="1019"/>
      <x:c r="I45" s="1019"/>
      <x:c r="J45" s="1019"/>
      <x:c r="K45" s="1019"/>
      <x:c r="L45" s="1019"/>
      <x:c r="M45" s="1019"/>
      <x:c r="N45" s="1019"/>
      <x:c r="O45" s="1019"/>
      <x:c r="P45" s="1019"/>
      <x:c r="Q45" s="1022"/>
      <x:c r="R45" s="1022"/>
    </x:row>
    <x:row r="46" ht="15" hidden="0" customHeight="1">
      <x:c r="A46" s="969" t="str">
        <x:v>기존 표현</x:v>
      </x:c>
      <x:c r="B46" s="969" t="str">
        <x:v>처리</x:v>
      </x:c>
      <x:c r="C46" s="969" t="str">
        <x:v>새 표현/이유</x:v>
      </x:c>
      <x:c r="D46" s="967"/>
      <x:c r="E46" s="967"/>
      <x:c r="F46" s="967"/>
      <x:c r="G46" s="967"/>
      <x:c r="H46" s="967"/>
      <x:c r="I46" s="967"/>
      <x:c r="J46" s="967"/>
      <x:c r="K46" s="967"/>
      <x:c r="L46" s="967"/>
      <x:c r="M46" s="967"/>
      <x:c r="N46" s="967"/>
      <x:c r="O46" s="967"/>
      <x:c r="P46" s="967"/>
    </x:row>
    <x:row r="47" ht="36" hidden="0" customHeight="1">
      <x:c r="A47" s="967" t="str">
        <x:v>D7 제한 공개 = 필요한 사람만 설득</x:v>
      </x:c>
      <x:c r="B47" s="967" t="str">
        <x:v>수정</x:v>
      </x:c>
      <x:c r="C47" s="967" t="str">
        <x:v>'오늘 결정에 필요한 것부터, 모르는 건 모른다고 남기고 순서대로 공개.' 은폐가 아니라 단계적 공개.</x:v>
      </x:c>
      <x:c r="D47" s="967"/>
      <x:c r="E47" s="967"/>
      <x:c r="F47" s="967"/>
      <x:c r="G47" s="967"/>
      <x:c r="H47" s="967"/>
      <x:c r="I47" s="967"/>
      <x:c r="J47" s="967"/>
      <x:c r="K47" s="967"/>
      <x:c r="L47" s="967"/>
      <x:c r="M47" s="967"/>
      <x:c r="N47" s="967"/>
      <x:c r="O47" s="967"/>
      <x:c r="P47" s="967"/>
    </x:row>
    <x:row r="48" ht="36" hidden="0" customHeight="1">
      <x:c r="A48" s="967" t="str">
        <x:v>D8 '지금 확인해야 한다며 분석 계속 부탁'</x:v>
      </x:c>
      <x:c r="B48" s="967" t="str">
        <x:v>완화</x:v>
      </x:c>
      <x:c r="C48" s="967" t="str">
        <x:v>Jay가 필요를 솔직히 말하고 함께 남겠다고 약속. 그래도 Borichi가 도구처럼 느낀 관계 비용은 남음.</x:v>
      </x:c>
      <x:c r="D48" s="967"/>
      <x:c r="E48" s="967"/>
      <x:c r="F48" s="967"/>
      <x:c r="G48" s="967"/>
      <x:c r="H48" s="967"/>
      <x:c r="I48" s="967"/>
      <x:c r="J48" s="967"/>
      <x:c r="K48" s="967"/>
      <x:c r="L48" s="967"/>
      <x:c r="M48" s="967"/>
      <x:c r="N48" s="967"/>
      <x:c r="O48" s="967"/>
      <x:c r="P48" s="967"/>
    </x:row>
    <x:row r="49" ht="36" hidden="0" customHeight="1">
      <x:c r="A49" s="967" t="str">
        <x:v>D10 지나를 바로 업무로 복귀</x:v>
      </x:c>
      <x:c r="B49" s="967" t="str">
        <x:v>맥락 추가</x:v>
      </x:c>
      <x:c r="C49" s="967" t="str">
        <x:v>지나가 먼저 돌아가겠다고 한 뒤 Jay가 붙잡을지/보낼지 선택. Jay가 강제로 엄마를 떼어놓는 그림 방지.</x:v>
      </x:c>
      <x:c r="D49" s="967"/>
      <x:c r="E49" s="967"/>
      <x:c r="F49" s="967"/>
      <x:c r="G49" s="967"/>
      <x:c r="H49" s="967"/>
      <x:c r="I49" s="967"/>
      <x:c r="J49" s="967"/>
      <x:c r="K49" s="967"/>
      <x:c r="L49" s="967"/>
      <x:c r="M49" s="967"/>
      <x:c r="N49" s="967"/>
      <x:c r="O49" s="967"/>
      <x:c r="P49" s="967"/>
    </x:row>
    <x:row r="50" ht="24" hidden="0" customHeight="1">
      <x:c r="A50" s="967" t="str">
        <x:v>D12 '살아 있는 사람들부터'</x:v>
      </x:c>
      <x:c r="B50" s="967" t="str">
        <x:v>수정</x:v>
      </x:c>
      <x:c r="C50" s="967" t="str">
        <x:v>「묘지는 사라지지 않아. 지금은 돌아올 배를 같이 보자.」 약혼자의 기억 가치를 깎지 않음.</x:v>
      </x:c>
      <x:c r="D50" s="967"/>
      <x:c r="E50" s="967"/>
      <x:c r="F50" s="967"/>
      <x:c r="G50" s="967"/>
      <x:c r="H50" s="967"/>
      <x:c r="I50" s="967"/>
      <x:c r="J50" s="967"/>
      <x:c r="K50" s="967"/>
      <x:c r="L50" s="967"/>
      <x:c r="M50" s="967"/>
      <x:c r="N50" s="967"/>
      <x:c r="O50" s="967"/>
      <x:c r="P50" s="967"/>
    </x:row>
    <x:row r="51" ht="36" hidden="0" customHeight="1">
      <x:c r="A51" s="967" t="str">
        <x:v>D13 '네가 선장이잖아. 네가 정해'</x:v>
      </x:c>
      <x:c r="B51" s="967" t="str">
        <x:v>폐기</x:v>
      </x:c>
      <x:c r="C51" s="967" t="str">
        <x:v>'생존 기준을 정했으면 망설이지 말고 하나를 확실히 지켜.' Sam의 야간 선택을 예비하는 윤리적 조언으로 변경.</x:v>
      </x:c>
      <x:c r="D51" s="967"/>
      <x:c r="E51" s="967"/>
      <x:c r="F51" s="967"/>
      <x:c r="G51" s="967"/>
      <x:c r="H51" s="967"/>
      <x:c r="I51" s="967"/>
      <x:c r="J51" s="967"/>
      <x:c r="K51" s="967"/>
      <x:c r="L51" s="967"/>
      <x:c r="M51" s="967"/>
      <x:c r="N51" s="967"/>
      <x:c r="O51" s="967"/>
      <x:c r="P51" s="967"/>
    </x:row>
    <x:row r="52" ht="36" hidden="0" customHeight="1">
      <x:c r="A52" s="967" t="str">
        <x:v>Affinity 회복 = 사과 대화</x:v>
      </x:c>
      <x:c r="B52" s="967" t="str">
        <x:v>폐기</x:v>
      </x:c>
      <x:c r="C52" s="967" t="str">
        <x:v>원인별 후속 행동/대화로만 회복. Faye는 실제 회선 복구, Jina는 남은 업무 대신하기 등.</x:v>
      </x:c>
      <x:c r="D52" s="967"/>
      <x:c r="E52" s="967"/>
      <x:c r="F52" s="967"/>
      <x:c r="G52" s="967"/>
      <x:c r="H52" s="967"/>
      <x:c r="I52" s="967"/>
      <x:c r="J52" s="967"/>
      <x:c r="K52" s="967"/>
      <x:c r="L52" s="967"/>
      <x:c r="M52" s="967"/>
      <x:c r="N52" s="967"/>
      <x:c r="O52" s="967"/>
      <x:c r="P52" s="967"/>
    </x:row>
    <x:row r="53" ht="15" hidden="0" customHeight="1">
      <x:c r="A53" s="967"/>
      <x:c r="B53" s="967"/>
      <x:c r="C53" s="967"/>
      <x:c r="D53" s="967"/>
      <x:c r="E53" s="967"/>
      <x:c r="F53" s="967"/>
      <x:c r="G53" s="967"/>
      <x:c r="H53" s="967"/>
      <x:c r="I53" s="967"/>
      <x:c r="J53" s="967"/>
      <x:c r="K53" s="967"/>
      <x:c r="L53" s="967"/>
      <x:c r="M53" s="967"/>
      <x:c r="N53" s="967"/>
      <x:c r="O53" s="967"/>
      <x:c r="P53" s="967"/>
    </x:row>
    <x:row r="54" ht="26" hidden="0" customHeight="1">
      <x:c r="A54" s="1032" t="str">
        <x:v>6. 다음 Narrative Pass</x:v>
      </x:c>
      <x:c r="B54" s="1019"/>
      <x:c r="C54" s="1019"/>
      <x:c r="D54" s="1019"/>
      <x:c r="E54" s="1019"/>
      <x:c r="F54" s="1019"/>
      <x:c r="G54" s="1019"/>
      <x:c r="H54" s="1019"/>
      <x:c r="I54" s="1019"/>
      <x:c r="J54" s="1019"/>
      <x:c r="K54" s="1019"/>
      <x:c r="L54" s="1019"/>
      <x:c r="M54" s="1019"/>
      <x:c r="N54" s="1019"/>
      <x:c r="O54" s="1019"/>
      <x:c r="P54" s="1019"/>
      <x:c r="Q54" s="1022"/>
      <x:c r="R54" s="1022"/>
    </x:row>
    <x:row r="55" ht="30" hidden="0" customHeight="1">
      <x:c r="A55" s="983" t="str">
        <x:v>우선</x:v>
      </x:c>
      <x:c r="B55" s="983" t="str">
        <x:v>작업</x:v>
      </x:c>
      <x:c r="C55" s="983" t="str">
        <x:v>이유</x:v>
      </x:c>
      <x:c r="D55" s="983"/>
      <x:c r="E55" s="983"/>
      <x:c r="F55" s="983"/>
      <x:c r="G55" s="983"/>
      <x:c r="H55" s="983"/>
      <x:c r="I55" s="983"/>
      <x:c r="J55" s="983"/>
      <x:c r="K55" s="983"/>
      <x:c r="L55" s="983"/>
      <x:c r="M55" s="983"/>
      <x:c r="N55" s="983"/>
      <x:c r="O55" s="983"/>
      <x:c r="P55" s="983"/>
    </x:row>
    <x:row r="56" ht="24" hidden="0" customHeight="1">
      <x:c r="A56" s="967" t="n">
        <x:v>1</x:v>
      </x:c>
      <x:c r="B56" s="967" t="str">
        <x:v>D1~7 Character Seed 대사/행동 구체화</x:v>
      </x:c>
      <x:c r="C56" s="967" t="str">
        <x:v>현재 Pivot은 자연스러워졌지만 Seed 장면의 목소리가 아직 요약문 수준.</x:v>
      </x:c>
      <x:c r="D56" s="967"/>
      <x:c r="E56" s="967"/>
      <x:c r="F56" s="967"/>
      <x:c r="G56" s="967"/>
      <x:c r="H56" s="967"/>
      <x:c r="I56" s="967"/>
      <x:c r="J56" s="967"/>
      <x:c r="K56" s="967"/>
      <x:c r="L56" s="967"/>
      <x:c r="M56" s="967"/>
      <x:c r="N56" s="967"/>
      <x:c r="O56" s="967"/>
      <x:c r="P56" s="967"/>
    </x:row>
    <x:row r="57" ht="30" hidden="0" customHeight="1">
      <x:c r="A57" s="971" t="n">
        <x:v>2</x:v>
      </x:c>
      <x:c r="B57" s="971" t="str">
        <x:v>D8~14 Main 사건의 실제 선택지·결과창 문구 작성</x:v>
      </x:c>
      <x:c r="C57" s="971" t="str">
        <x:v>Pivot과 수리/보존 선택을 같은 플레이 흐름에서 읽히게 해야 함.</x:v>
      </x:c>
      <x:c r="D57" s="971"/>
      <x:c r="E57" s="971"/>
      <x:c r="F57" s="971"/>
      <x:c r="G57" s="971"/>
      <x:c r="H57" s="971"/>
      <x:c r="I57" s="971"/>
      <x:c r="J57" s="971"/>
      <x:c r="K57" s="971"/>
      <x:c r="L57" s="971"/>
      <x:c r="M57" s="971"/>
      <x:c r="N57" s="971"/>
      <x:c r="O57" s="971"/>
      <x:c r="P57" s="971"/>
    </x:row>
    <x:row r="58" ht="24" hidden="0" customHeight="1">
      <x:c r="A58" s="967" t="n">
        <x:v>3</x:v>
      </x:c>
      <x:c r="B58" s="967" t="str">
        <x:v>D15~20 Character Final 실제 대화 초안</x:v>
      </x:c>
      <x:c r="C58" s="967" t="str">
        <x:v>앞선 선택을 대사 Variant로 회수해야 함.</x:v>
      </x:c>
      <x:c r="D58" s="967"/>
      <x:c r="E58" s="967"/>
      <x:c r="F58" s="967"/>
      <x:c r="G58" s="967"/>
      <x:c r="H58" s="967"/>
      <x:c r="I58" s="967"/>
      <x:c r="J58" s="967"/>
      <x:c r="K58" s="967"/>
      <x:c r="L58" s="967"/>
      <x:c r="M58" s="967"/>
      <x:c r="N58" s="967"/>
      <x:c r="O58" s="967"/>
      <x:c r="P58" s="967"/>
    </x:row>
    <x:row r="59" ht="24" hidden="0" customHeight="1">
      <x:c r="A59" s="967" t="n">
        <x:v>4</x:v>
      </x:c>
      <x:c r="B59" s="967" t="str">
        <x:v>Affinity +1 SIM 후보 최종 검수</x:v>
      </x:c>
      <x:c r="C59" s="967" t="str">
        <x:v>장면을 읽었을 때 실제 관계 상승이 과한 곳은 0으로 낮춤.</x:v>
      </x:c>
      <x:c r="D59" s="967"/>
      <x:c r="E59" s="967"/>
      <x:c r="F59" s="967"/>
      <x:c r="G59" s="967"/>
      <x:c r="H59" s="967"/>
      <x:c r="I59" s="967"/>
      <x:c r="J59" s="967"/>
      <x:c r="K59" s="967"/>
      <x:c r="L59" s="967"/>
      <x:c r="M59" s="967"/>
      <x:c r="N59" s="967"/>
      <x:c r="O59" s="967"/>
      <x:c r="P59" s="967"/>
    </x:row>
    <x:row r="60" ht="24" hidden="0" customHeight="1">
      <x:c r="A60" s="967" t="n">
        <x:v>5</x:v>
      </x:c>
      <x:c r="B60" s="967" t="str">
        <x:v>그 뒤 CSV Authoring 마이그레이션 설계</x:v>
      </x:c>
      <x:c r="C60" s="967" t="str">
        <x:v>대사/선택/결과가 닫힌 뒤 실제 데이터 구조로 옮김.</x:v>
      </x:c>
      <x:c r="D60" s="967"/>
      <x:c r="E60" s="967"/>
      <x:c r="F60" s="967"/>
      <x:c r="G60" s="967"/>
      <x:c r="H60" s="967"/>
      <x:c r="I60" s="967"/>
      <x:c r="J60" s="967"/>
      <x:c r="K60" s="967"/>
      <x:c r="L60" s="967"/>
      <x:c r="M60" s="967"/>
      <x:c r="N60" s="967"/>
      <x:c r="O60" s="967"/>
      <x:c r="P60" s="967"/>
    </x:row>
    <x:row r="62" ht="26" customHeight="1">
      <x:c r="A62" s="1036" t="str">
        <x:v>7. Narrative UX Writer Contract v2.1 — Beat / Dialogue / Typewriter / Choice UI</x:v>
      </x:c>
      <x:c r="B62" s="1036"/>
      <x:c r="C62" s="1036"/>
      <x:c r="D62" s="1036"/>
      <x:c r="E62" s="1036"/>
      <x:c r="F62" s="1036"/>
      <x:c r="G62" s="1036"/>
      <x:c r="H62" s="1036"/>
      <x:c r="I62" s="1036"/>
      <x:c r="J62" s="1036"/>
      <x:c r="K62" s="1036"/>
      <x:c r="L62" s="1036"/>
      <x:c r="M62" s="1036"/>
      <x:c r="N62" s="1036"/>
      <x:c r="O62" s="1036"/>
      <x:c r="P62" s="1036"/>
    </x:row>
    <x:row r="63">
      <x:c r="A63" s="1040" t="str">
        <x:v>규칙</x:v>
      </x:c>
      <x:c r="B63" s="1040" t="str">
        <x:v>적용</x:v>
      </x:c>
    </x:row>
    <x:row r="64">
      <x:c r="A64" s="40" t="str">
        <x:v>짧은 Beat</x:v>
      </x:c>
      <x:c r="B64" s="40" t="str">
        <x:v>정보를 한 번에 쏟지 않는다. 짧은 서술/대사 1개 → 플레이어 입력 → 반응 → 다음 Beat 순서로 쪼갠다.</x:v>
      </x:c>
    </x:row>
    <x:row r="65">
      <x:c r="A65" s="40" t="str">
        <x:v>행동이 선택지</x:v>
      </x:c>
      <x:c r="B65" s="40" t="str">
        <x:v>시간이 드는 행동은 결과 대사가 아니라 행동 자체가 선택지다. 예: [1시간] 디야와 거주지를 한 바퀴 걷는다.</x:v>
      </x:c>
    </x:row>
    <x:row r="66">
      <x:c r="A66" s="40" t="str">
        <x:v>대사·내레이션 분리</x:v>
      </x:c>
      <x:c r="B66" s="40" t="str">
        <x:v>행동·표정·상황은 NARRATION 문단. 실제 발화는 별도 DIALOGUE 노드로 작성하고 UI에서는 `인물 - "대사"`로 출력.</x:v>
      </x:c>
    </x:row>
    <x:row r="67">
      <x:c r="A67" s="40" t="str">
        <x:v>선택 로그</x:v>
      </x:c>
      <x:c r="B67" s="40" t="str">
        <x:v>질문/발화 선택은 `제이 - "..."`, 행동 선택은 `제이는 ...` 내레이션으로 로그에 편입한다.</x:v>
      </x:c>
    </x:row>
    <x:row r="68">
      <x:c r="A68" s="40" t="str">
        <x:v>Hover 결과</x:v>
      </x:c>
      <x:c r="B68" s="40" t="str">
        <x:v>즉시 기계적 변화가 있을 때만 표시. 평소 숨김, 선택지 왼쪽에 Hover 중만 노출. 변화가 없으면 Hover UI 자체가 없음.</x:v>
      </x:c>
    </x:row>
    <x:row r="69">
      <x:c r="A69" s="40" t="str">
        <x:v>Scroll/Clip</x:v>
      </x:c>
      <x:c r="B69" s="40" t="str">
        <x:v>본문과 현재 선택지 전체를 하나의 세로 Scroll 영역에 넣고 Viewport 밖은 Mask로 숨긴다.</x:v>
      </x:c>
    </x:row>
    <x:row r="70">
      <x:c r="A70" s="40" t="str">
        <x:v>Typewriter</x:v>
      </x:c>
      <x:c r="B70" s="40" t="str">
        <x:v>새로 추가된 Beat만 빠르게 글자 단위 출력. 기존 로그는 그대로 유지. 출력 중 클릭하면 현재 Beat를 즉시 완성하고 이후 선택지를 표시.</x:v>
      </x:c>
    </x:row>
    <x:row r="71">
      <x:c r="A71" s="1042" t="str">
        <x:v>Choice 조건 배치</x:v>
      </x:c>
      <x:c r="B71" s="40" t="str">
        <x:v>조건·시간·Will은 선택지 버튼 오른쪽에 별도 정렬. 선택지 본문과 같은 글자 크기를 사용하고 버튼 폭을 줄이지 않는다.</x:v>
      </x:c>
    </x:row>
    <x:row r="72">
      <x:c r="A72" s="1042" t="str">
        <x:v>Hover 결과 팝업</x:v>
      </x:c>
      <x:c r="B72" s="40" t="str">
        <x:v>즉시 결과는 버튼 레이아웃 안에 자리를 차지하지 않는다. Hover 중 해당 버튼과 같은 크기의 팝업이 버튼 왼쪽으로 튀어나온다.</x:v>
      </x:c>
    </x:row>
    <x:row r="73">
      <x:c r="A73" s="1042" t="str">
        <x:v>Hover 무반응</x:v>
      </x:c>
      <x:c r="B73" s="40" t="str">
        <x:v>시간/Will/XP/Affinity 등 즉시 기계적 변화가 하나도 없다면 Hover 결과 UI를 생성하지 않는다.</x:v>
      </x:c>
    </x:row>
    <x:row r="74">
      <x:c r="A74" s="1042" t="str">
        <x:v>D1 QA 기준</x:v>
      </x:c>
      <x:c r="B74" s="40" t="str">
        <x:v>새 규칙 적용 후 Day1 전체 Interaction + 시작 Event를 전수 재검사하고 위반 0건을 확인한 뒤 D2로 넘어간다.</x:v>
      </x:c>
    </x:row>
  </x:sheetData>
  <x:mergeCells>
    <x:mergeCell ref="A1:R1"/>
    <x:mergeCell ref="A2:R2"/>
    <x:mergeCell ref="A4:R4"/>
    <x:mergeCell ref="A12:R12"/>
    <x:mergeCell ref="A23:R23"/>
    <x:mergeCell ref="A34:R34"/>
    <x:mergeCell ref="A45:R45"/>
    <x:mergeCell ref="A54:R54"/>
    <x:mergeCell ref="A62:P62"/>
  </x:mergeCells>
  <x:conditionalFormatting sqref="G25:G60">
    <x:cfRule type="expression" dxfId="304" priority="1">
      <x:formula>OR(G25="완료",G25="확정",G25="확정방향",G25="방향 확정",LEFT(G25,2)="확정")</x:formula>
    </x:cfRule>
    <x:cfRule type="expression" dxfId="305" priority="2">
      <x:formula>OR(G25="TBD",G25="대기",ISNUMBER(SEARCH("TEMP",G25)))</x:formula>
    </x:cfRule>
    <x:cfRule type="expression" dxfId="306" priority="3">
      <x:formula>OR(G25="폐기",G25="HISTORICAL",ISNUMBER(SEARCH("폐기",G25)))</x:formula>
    </x:cfRule>
    <x:cfRule type="expression" dxfId="307" priority="4">
      <x:formula>OR(G25="NEXT",G25="진행")</x:formula>
    </x:cfRule>
  </x:conditionalFormatting>
  <x:conditionalFormatting sqref="E36:E60">
    <x:cfRule type="expression" dxfId="308" priority="5">
      <x:formula>OR(E36="완료",E36="확정",E36="확정방향",E36="방향 확정",LEFT(E36,2)="확정")</x:formula>
    </x:cfRule>
    <x:cfRule type="expression" dxfId="309" priority="6">
      <x:formula>OR(E36="TBD",E36="대기",ISNUMBER(SEARCH("TEMP",E36)))</x:formula>
    </x:cfRule>
    <x:cfRule type="expression" dxfId="310" priority="7">
      <x:formula>OR(E36="폐기",E36="HISTORICAL",ISNUMBER(SEARCH("폐기",E36)))</x:formula>
    </x:cfRule>
    <x:cfRule type="expression" dxfId="311" priority="8">
      <x:formula>OR(E36="NEXT",E36="진행")</x:formula>
    </x:cfRule>
  </x:conditionalFormatting>
  <x:pageMargins left="0.7" right="0.7" top="0.75" bottom="0.75" header="0.3" footer="0.3"/>
  <x:drawing xmlns:r="http://schemas.openxmlformats.org/officeDocument/2006/relationships" r:id="R2892511558324771"/>
</x:worksheet>
</file>

<file path=xl/worksheets/sheet26.xml><?xml version="1.0" encoding="utf-8"?>
<x:worksheet xmlns:x="http://schemas.openxmlformats.org/spreadsheetml/2006/main">
  <x:sheetFormatPr defaultRowHeight="15"/>
  <x:cols>
    <x:col min="1" max="1" width="18" hidden="0" customWidth="1"/>
    <x:col min="2" max="2" width="26" hidden="0" customWidth="1"/>
    <x:col min="3" max="3" width="32" hidden="0" customWidth="1"/>
    <x:col min="4" max="4" width="24" hidden="0" customWidth="1"/>
    <x:col min="5" max="5" width="44" hidden="0" customWidth="1"/>
    <x:col min="6" max="6" width="26" hidden="0" customWidth="1"/>
    <x:col min="7" max="7" width="30" hidden="0" customWidth="1"/>
    <x:col min="8" max="8" width="44" hidden="0" customWidth="1"/>
    <x:col min="9" max="9" width="26" hidden="0" customWidth="1"/>
    <x:col min="10" max="10" width="30" hidden="0" customWidth="1"/>
    <x:col min="11" max="11" width="44" hidden="0" customWidth="1"/>
    <x:col min="12" max="12" width="26" hidden="0" customWidth="1"/>
    <x:col min="13" max="13" width="28" hidden="0" customWidth="1"/>
    <x:col min="14" max="14" width="44" hidden="0" customWidth="1"/>
    <x:col min="15" max="15" width="38" hidden="0" customWidth="1"/>
    <x:col min="16" max="16" width="28" hidden="0" customWidth="1"/>
    <x:col min="17" max="17" width="18" hidden="0" customWidth="1"/>
    <x:col min="18" max="18" width="34" hidden="0" customWidth="1"/>
  </x:cols>
  <x:sheetData>
    <x:row r="1" ht="30" hidden="0" customHeight="1">
      <x:c r="A1" s="1001" t="str">
        <x:v>W1 Narrative Authoring v0.1 — Log Dialogue / Hover Result / Novel Interaction</x:v>
      </x:c>
      <x:c r="B1" s="1001"/>
      <x:c r="C1" s="1001"/>
      <x:c r="D1" s="1001"/>
      <x:c r="E1" s="1001"/>
      <x:c r="F1" s="1001"/>
      <x:c r="G1" s="1001"/>
      <x:c r="H1" s="1001"/>
      <x:c r="I1" s="1001"/>
      <x:c r="J1" s="1001"/>
      <x:c r="K1" s="1001"/>
      <x:c r="L1" s="1001"/>
      <x:c r="M1" s="1001"/>
      <x:c r="N1" s="1001"/>
      <x:c r="O1" s="1001"/>
      <x:c r="P1" s="1001"/>
      <x:c r="Q1" s="1001"/>
      <x:c r="R1" s="1001"/>
    </x:row>
    <x:row r="2" ht="42" hidden="0" customHeight="1">
      <x:c r="A2" s="1004" t="str">
        <x:v>오른쪽 로그 UI 기준 작가용 원고. 사람은 이름-대사 중심으로 아래로 이어지고, 선택을 누르면 선택 문장이 본문에 편입된 뒤 대화가 계속된다. 사람이 아닌 대상은 서울2033처럼 짧은 소설식 서술. 선택 버튼에는 조건/소모를, Hover에는 즉시 발생하는 기계적 결과를 표시한다.</x:v>
      </x:c>
      <x:c r="B2" s="1004"/>
      <x:c r="C2" s="1004"/>
      <x:c r="D2" s="1004"/>
      <x:c r="E2" s="1004"/>
      <x:c r="F2" s="1004"/>
      <x:c r="G2" s="1004"/>
      <x:c r="H2" s="1004"/>
      <x:c r="I2" s="1004"/>
      <x:c r="J2" s="1004"/>
      <x:c r="K2" s="1004"/>
      <x:c r="L2" s="1004"/>
      <x:c r="M2" s="1004"/>
      <x:c r="N2" s="1004"/>
      <x:c r="O2" s="1004"/>
      <x:c r="P2" s="1004"/>
      <x:c r="Q2" s="1004"/>
      <x:c r="R2" s="1004"/>
    </x:row>
    <x:row r="3" ht="15" hidden="0" customHeight="1">
      <x:c r="A3" s="990"/>
      <x:c r="B3" s="990"/>
      <x:c r="C3" s="990"/>
      <x:c r="D3" s="990"/>
      <x:c r="E3" s="990"/>
      <x:c r="F3" s="990"/>
      <x:c r="G3" s="990"/>
      <x:c r="H3" s="990"/>
      <x:c r="I3" s="990"/>
      <x:c r="J3" s="990"/>
      <x:c r="K3" s="990"/>
      <x:c r="L3" s="990"/>
      <x:c r="M3" s="990"/>
      <x:c r="N3" s="990"/>
      <x:c r="O3" s="990"/>
      <x:c r="P3" s="990"/>
      <x:c r="Q3" s="990"/>
      <x:c r="R3" s="990"/>
    </x:row>
    <x:row r="4" ht="26" hidden="0" customHeight="1">
      <x:c r="A4" s="1007" t="str">
        <x:v>1. UI / Writer Contract — v1.2 확정</x:v>
      </x:c>
      <x:c r="B4" s="1007"/>
      <x:c r="C4" s="1007"/>
      <x:c r="D4" s="1007"/>
      <x:c r="E4" s="1007"/>
      <x:c r="F4" s="1007"/>
      <x:c r="G4" s="1007"/>
      <x:c r="H4" s="1007"/>
      <x:c r="I4" s="1007"/>
      <x:c r="J4" s="1007"/>
      <x:c r="K4" s="1007"/>
      <x:c r="L4" s="1007"/>
      <x:c r="M4" s="1007"/>
      <x:c r="N4" s="1007"/>
      <x:c r="O4" s="1007"/>
      <x:c r="P4" s="1007"/>
      <x:c r="Q4" s="1007"/>
      <x:c r="R4" s="1007"/>
    </x:row>
    <x:row r="5" ht="30" hidden="0" customHeight="1">
      <x:c r="A5" s="1012" t="str">
        <x:v>구분</x:v>
      </x:c>
      <x:c r="B5" s="1012" t="str">
        <x:v>플레이어에게 보이는 것</x:v>
      </x:c>
      <x:c r="C5" s="1012" t="str">
        <x:v>예시</x:v>
      </x:c>
      <x:c r="D5" s="1012" t="str">
        <x:v>숨기는 것</x:v>
      </x:c>
      <x:c r="E5" s="1012"/>
      <x:c r="F5" s="1012"/>
      <x:c r="G5" s="1012"/>
      <x:c r="H5" s="1012"/>
      <x:c r="I5" s="1012"/>
      <x:c r="J5" s="1012"/>
      <x:c r="K5" s="1012"/>
      <x:c r="L5" s="1012"/>
      <x:c r="M5" s="1012"/>
      <x:c r="N5" s="1012"/>
      <x:c r="O5" s="1012"/>
      <x:c r="P5" s="1012"/>
      <x:c r="Q5" s="1012"/>
      <x:c r="R5" s="1012"/>
    </x:row>
    <x:row r="6" ht="30" hidden="0" customHeight="1">
      <x:c r="A6" s="998" t="str">
        <x:v>선택지 본문</x:v>
      </x:c>
      <x:c r="B6" s="998" t="str">
        <x:v>행동 문구 + 필요 조건 + 소모 자원/시간</x:v>
      </x:c>
      <x:c r="C6" s="998" t="str">
        <x:v>[기술 ≥ 5 / 2시간] 기록 장치부터 우회 연결한다.</x:v>
      </x:c>
      <x:c r="D6" s="998" t="str">
        <x:v>호감도 결과, XP 결과, 미래 엔딩</x:v>
      </x:c>
      <x:c r="E6" s="998"/>
      <x:c r="F6" s="998"/>
      <x:c r="G6" s="998"/>
      <x:c r="H6" s="998"/>
      <x:c r="I6" s="998"/>
      <x:c r="J6" s="998"/>
      <x:c r="K6" s="998"/>
      <x:c r="L6" s="998"/>
      <x:c r="M6" s="998"/>
      <x:c r="N6" s="998"/>
      <x:c r="O6" s="998"/>
      <x:c r="P6" s="998"/>
      <x:c r="Q6" s="998"/>
      <x:c r="R6" s="998"/>
    </x:row>
    <x:row r="7" ht="30" hidden="0" customHeight="1">
      <x:c r="A7" s="998" t="str">
        <x:v>Hover — 즉시 결과</x:v>
      </x:c>
      <x:c r="B7" s="998" t="str">
        <x:v>그 선택 직후 확정적으로 바뀌는 수치/상태를 전부 표시</x:v>
      </x:c>
      <x:c r="C7" s="998" t="str">
        <x:v>기술XP +1 / 연구실 +1 / 보리치 호감도 -1 / 시간 -2h</x:v>
      </x:c>
      <x:c r="D7" s="998" t="str">
        <x:v>TRUE/HIDDEN Flag 이름, D18 Stance, 미래 사망/엔딩</x:v>
      </x:c>
      <x:c r="E7" s="998"/>
      <x:c r="F7" s="998"/>
      <x:c r="G7" s="998"/>
      <x:c r="H7" s="998"/>
      <x:c r="I7" s="998"/>
      <x:c r="J7" s="998"/>
      <x:c r="K7" s="998"/>
      <x:c r="L7" s="998"/>
      <x:c r="M7" s="998"/>
      <x:c r="N7" s="998"/>
      <x:c r="O7" s="998"/>
      <x:c r="P7" s="998"/>
      <x:c r="Q7" s="998"/>
      <x:c r="R7" s="998"/>
    </x:row>
    <x:row r="8" ht="30" hidden="0" customHeight="1">
      <x:c r="A8" s="998" t="str">
        <x:v>잠긴 선택지</x:v>
      </x:c>
      <x:c r="B8" s="998" t="str">
        <x:v>조건 미달이어도 회색 잠금 상태로 노출</x:v>
      </x:c>
      <x:c r="C8" s="998" t="str">
        <x:v>🔒 [기술 ≥ 7 | 현재 5] 냉각 라인을 우회한다.</x:v>
      </x:c>
      <x:c r="D8" s="998" t="str">
        <x:v>—</x:v>
      </x:c>
      <x:c r="E8" s="998"/>
      <x:c r="F8" s="998"/>
      <x:c r="G8" s="998"/>
      <x:c r="H8" s="998"/>
      <x:c r="I8" s="998"/>
      <x:c r="J8" s="998"/>
      <x:c r="K8" s="998"/>
      <x:c r="L8" s="998"/>
      <x:c r="M8" s="998"/>
      <x:c r="N8" s="998"/>
      <x:c r="O8" s="998"/>
      <x:c r="P8" s="998"/>
      <x:c r="Q8" s="998"/>
      <x:c r="R8" s="998"/>
    </x:row>
    <x:row r="9" ht="30" hidden="0" customHeight="1">
      <x:c r="A9" s="998" t="str">
        <x:v>선택 후 본문</x:v>
      </x:c>
      <x:c r="B9" s="998" t="str">
        <x:v>선택한 문장을 제이의 대사/행동으로 로그에 편입 후 결과 장면 진행</x:v>
      </x:c>
      <x:c r="C9" s="998" t="str">
        <x:v>제이 - 한 번만 더 같이 보자.</x:v>
      </x:c>
      <x:c r="D9" s="998" t="str">
        <x:v>내부 Flag 이름</x:v>
      </x:c>
      <x:c r="E9" s="998"/>
      <x:c r="F9" s="998"/>
      <x:c r="G9" s="998"/>
      <x:c r="H9" s="998"/>
      <x:c r="I9" s="998"/>
      <x:c r="J9" s="998"/>
      <x:c r="K9" s="998"/>
      <x:c r="L9" s="998"/>
      <x:c r="M9" s="998"/>
      <x:c r="N9" s="998"/>
      <x:c r="O9" s="998"/>
      <x:c r="P9" s="998"/>
      <x:c r="Q9" s="998"/>
      <x:c r="R9" s="998"/>
    </x:row>
    <x:row r="10" ht="24" hidden="0" customHeight="1">
      <x:c r="A10" s="990" t="str">
        <x:v>관계 결과</x:v>
      </x:c>
      <x:c r="B10" s="990" t="str">
        <x:v>Hover에 숫자까지 공개</x:v>
      </x:c>
      <x:c r="C10" s="990" t="str">
        <x:v>페이 호감도 -2</x:v>
      </x:c>
      <x:c r="D10" s="990" t="str">
        <x:v>그 호감도가 미래에 무엇을 막는지</x:v>
      </x:c>
      <x:c r="E10" s="990"/>
      <x:c r="F10" s="990"/>
      <x:c r="G10" s="990"/>
      <x:c r="H10" s="990"/>
      <x:c r="I10" s="990"/>
      <x:c r="J10" s="990"/>
      <x:c r="K10" s="990"/>
      <x:c r="L10" s="990"/>
      <x:c r="M10" s="990"/>
      <x:c r="N10" s="990"/>
      <x:c r="O10" s="990"/>
      <x:c r="P10" s="990"/>
      <x:c r="Q10" s="990"/>
      <x:c r="R10" s="990"/>
    </x:row>
    <x:row r="11" ht="24" hidden="0" customHeight="1">
      <x:c r="A11" s="990" t="str">
        <x:v>Route 결과</x:v>
      </x:c>
      <x:c r="B11" s="990" t="str">
        <x:v>Hover에 직접 공개하지 않음</x:v>
      </x:c>
      <x:c r="C11" s="990" t="str">
        <x:v>표시 없음</x:v>
      </x:c>
      <x:c r="D11" s="990" t="str">
        <x:v>TRUE_CHILD_CHOICE / HIDDEN_HOME_CHOICE</x:v>
      </x:c>
      <x:c r="E11" s="990"/>
      <x:c r="F11" s="990"/>
      <x:c r="G11" s="990"/>
      <x:c r="H11" s="990"/>
      <x:c r="I11" s="990"/>
      <x:c r="J11" s="990"/>
      <x:c r="K11" s="990"/>
      <x:c r="L11" s="990"/>
      <x:c r="M11" s="990"/>
      <x:c r="N11" s="990"/>
      <x:c r="O11" s="990"/>
      <x:c r="P11" s="990"/>
      <x:c r="Q11" s="990"/>
      <x:c r="R11" s="990"/>
    </x:row>
    <x:row r="12" ht="15" hidden="0" customHeight="1">
      <x:c r="A12" s="990" t="str">
        <x:v>사람 대화</x:v>
      </x:c>
      <x:c r="B12" s="990" t="str">
        <x:v>이름 - 대사 / 짧은 행동 서술</x:v>
      </x:c>
      <x:c r="C12" s="990" t="str">
        <x:v>지나 - 너 진짜 그대로네.</x:v>
      </x:c>
      <x:c r="D12" s="990" t="str">
        <x:v>—</x:v>
      </x:c>
      <x:c r="E12" s="990"/>
      <x:c r="F12" s="990"/>
      <x:c r="G12" s="990"/>
      <x:c r="H12" s="990"/>
      <x:c r="I12" s="990"/>
      <x:c r="J12" s="990"/>
      <x:c r="K12" s="990"/>
      <x:c r="L12" s="990"/>
      <x:c r="M12" s="990"/>
      <x:c r="N12" s="990"/>
      <x:c r="O12" s="990"/>
      <x:c r="P12" s="990"/>
      <x:c r="Q12" s="990"/>
      <x:c r="R12" s="990"/>
    </x:row>
    <x:row r="13" ht="30" hidden="0" customHeight="1">
      <x:c r="A13" s="998" t="str">
        <x:v>비인물 상호작용</x:v>
      </x:c>
      <x:c r="B13" s="998" t="str">
        <x:v>1~4문장 소설식 관찰 → 선택 → 결과 서술</x:v>
      </x:c>
      <x:c r="C13" s="998" t="str">
        <x:v>모래가 문 레일 사이에 굳어 있다.</x:v>
      </x:c>
      <x:c r="D13" s="998" t="str">
        <x:v>—</x:v>
      </x:c>
      <x:c r="E13" s="998"/>
      <x:c r="F13" s="998"/>
      <x:c r="G13" s="998"/>
      <x:c r="H13" s="998"/>
      <x:c r="I13" s="998"/>
      <x:c r="J13" s="998"/>
      <x:c r="K13" s="998"/>
      <x:c r="L13" s="998"/>
      <x:c r="M13" s="998"/>
      <x:c r="N13" s="998"/>
      <x:c r="O13" s="998"/>
      <x:c r="P13" s="998"/>
      <x:c r="Q13" s="998"/>
      <x:c r="R13" s="998"/>
    </x:row>
    <x:row r="14" ht="15" hidden="0" customHeight="1">
      <x:c r="A14" s="990"/>
      <x:c r="B14" s="990"/>
      <x:c r="C14" s="990"/>
      <x:c r="D14" s="990"/>
      <x:c r="E14" s="990"/>
      <x:c r="F14" s="990"/>
      <x:c r="G14" s="990"/>
      <x:c r="H14" s="990"/>
      <x:c r="I14" s="990"/>
      <x:c r="J14" s="990"/>
      <x:c r="K14" s="990"/>
      <x:c r="L14" s="990"/>
      <x:c r="M14" s="990"/>
      <x:c r="N14" s="990"/>
      <x:c r="O14" s="990"/>
      <x:c r="P14" s="990"/>
      <x:c r="Q14" s="990"/>
      <x:c r="R14" s="990"/>
    </x:row>
    <x:row r="15" ht="26" hidden="0" customHeight="1">
      <x:c r="A15" s="1007" t="str">
        <x:v>2. W1 D1~7 실제 원고</x:v>
      </x:c>
      <x:c r="B15" s="1007"/>
      <x:c r="C15" s="1007"/>
      <x:c r="D15" s="1007"/>
      <x:c r="E15" s="1007"/>
      <x:c r="F15" s="1007"/>
      <x:c r="G15" s="1007"/>
      <x:c r="H15" s="1007"/>
      <x:c r="I15" s="1007"/>
      <x:c r="J15" s="1007"/>
      <x:c r="K15" s="1007"/>
      <x:c r="L15" s="1007"/>
      <x:c r="M15" s="1007"/>
      <x:c r="N15" s="1007"/>
      <x:c r="O15" s="1007"/>
      <x:c r="P15" s="1007"/>
      <x:c r="Q15" s="1007"/>
      <x:c r="R15" s="1007"/>
    </x:row>
    <x:row r="16" ht="30" hidden="0" customHeight="1">
      <x:c r="A16" s="1012" t="str">
        <x:v>ActionID</x:v>
      </x:c>
      <x:c r="B16" s="1012" t="str">
        <x:v>Day</x:v>
      </x:c>
      <x:c r="C16" s="1012" t="str">
        <x:v>Scene</x:v>
      </x:c>
      <x:c r="D16" s="1012" t="str">
        <x:v>형식</x:v>
      </x:c>
      <x:c r="E16" s="1012" t="str">
        <x:v>도입 본문/대화</x:v>
      </x:c>
      <x:c r="F16" s="1012" t="str">
        <x:v>선택 A — 표시</x:v>
      </x:c>
      <x:c r="G16" s="1012" t="str">
        <x:v>Hover A — 즉시 결과</x:v>
      </x:c>
      <x:c r="H16" s="1012" t="str">
        <x:v>선택 후 A 본문</x:v>
      </x:c>
      <x:c r="I16" s="1012" t="str">
        <x:v>선택 B — 표시</x:v>
      </x:c>
      <x:c r="J16" s="1012" t="str">
        <x:v>Hover B — 즉시 결과</x:v>
      </x:c>
      <x:c r="K16" s="1012" t="str">
        <x:v>선택 후 B 본문</x:v>
      </x:c>
      <x:c r="L16" s="1012" t="str">
        <x:v>선택 C/기타</x:v>
      </x:c>
      <x:c r="M16" s="1012" t="str">
        <x:v>Hover C</x:v>
      </x:c>
      <x:c r="N16" s="1012" t="str">
        <x:v>선택 후 C 본문</x:v>
      </x:c>
      <x:c r="O16" s="1012" t="str">
        <x:v>선형 후속/공통 결말</x:v>
      </x:c>
      <x:c r="P16" s="1012" t="str">
        <x:v>내부 Flag/기억</x:v>
      </x:c>
      <x:c r="Q16" s="1012" t="str">
        <x:v>상태</x:v>
      </x:c>
      <x:c r="R16" s="1012" t="str">
        <x:v>메모</x:v>
      </x:c>
    </x:row>
    <x:row r="17" ht="144" hidden="0" customHeight="1">
      <x:c r="A17" s="990" t="str">
        <x:v>W1D1_02</x:v>
      </x:c>
      <x:c r="B17" s="990" t="n">
        <x:v>1</x:v>
      </x:c>
      <x:c r="C17" s="990" t="str">
        <x:v>깨어난 뒤 — 벤자민에게 현재 상황 듣기</x:v>
      </x:c>
      <x:c r="D17" s="990" t="str">
        <x:v>사람/선형</x:v>
      </x:c>
      <x:c r="E17" s="990" t="str">
        <x:v>벤자민 - 눈 떠. 천천히.
제이 - …벤자민?
벤자민 - 그래. 기억은 멀쩡하네.
제이 - 도착한 거야?
벤자민은 대답하지 않고 냉동 캡슐의 잠금 장치를 끝까지 풀었다.
벤자민 - 도착은 했지. 예정대로는 아니고.</x:v>
      </x:c>
      <x:c r="F17" s="990" t="str">
        <x:v>계속 듣는다.</x:v>
      </x:c>
      <x:c r="G17" s="990" t="str">
        <x:v>시간 -1h</x:v>
      </x:c>
      <x:c r="H17" s="990" t="str">
        <x:v>제이 - 무슨 일이 있었어?
벤자민 - 착륙 사고. 열 해 전.
제이 - …열 해?
벤자민 - 넌 그동안 잤고, 우린 여기서 살았어.
그는 '살았다'는 말을 조금 늦게 끝냈다.</x:v>
      </x:c>
      <x:c r="I17" s="990" t="str"/>
      <x:c r="J17" s="990" t="str"/>
      <x:c r="K17" s="990" t="str"/>
      <x:c r="L17" s="990" t="str"/>
      <x:c r="M17" s="990" t="str"/>
      <x:c r="N17" s="990" t="str"/>
      <x:c r="O17" s="990" t="str">
        <x:v>벤자민 - 사람부터 만나. 설명은 한 번에 들으면 머리만 아파.
벤자민 - 그리고 네가 기억하는 배는… 지금 보면 좀 놀랄 거다.</x:v>
      </x:c>
      <x:c r="P17" s="990" t="str">
        <x:v>BEN_INTRO_DONE</x:v>
      </x:c>
      <x:c r="Q17" s="990" t="str">
        <x:v>확정원고 후보</x:v>
      </x:c>
      <x:c r="R17" s="990" t="str">
        <x:v>첫 1시간 튜토리얼. 너무 많은 설정을 한 번에 설명하지 않음.</x:v>
      </x:c>
    </x:row>
    <x:row r="18" ht="132" hidden="0" customHeight="1">
      <x:c r="A18" s="990" t="str">
        <x:v>W1D1_04</x:v>
      </x:c>
      <x:c r="B18" s="990" t="n">
        <x:v>1</x:v>
      </x:c>
      <x:c r="C18" s="990" t="str">
        <x:v>묘지를 걷고 남겨진 이름 듣기</x:v>
      </x:c>
      <x:c r="D18" s="990" t="str">
        <x:v>사람/선택</x:v>
      </x:c>
      <x:c r="E18" s="990" t="str">
        <x:v>묘지는 정착지에서 멀지 않았다.
정리된 돌무더기마다 이름이 하나씩 적혀 있었다.
제이 - 이렇게 많았어?
벤자민 - 첫날에 많이 죽었지.
그는 한 표식 앞에서 멈췄다.
벤자민 - 여긴 내 약혼자였어.</x:v>
      </x:c>
      <x:c r="F18" s="990" t="str">
        <x:v>[2시간] 잠시 함께 걷는다.</x:v>
      </x:c>
      <x:c r="G18" s="990" t="str">
        <x:v>시간 -2h / 벤자민 호감도 +1</x:v>
      </x:c>
      <x:c r="H18" s="990" t="str">
        <x:v>제이는 묘비에 적힌 이름을 읽었다.
벤자민은 약혼자 이야기를 길게 하지 않았다. 매운 음식을 싫어했다는 것, 지구를 떠나기 전날까지 짐을 몇 번이나 다시 쌌다는 것 같은 얘기만 했다.
돌아갈 때가 되자 벤자민이 말했다.
벤자민 - 죽은 사람 얘기는 이런 게 낫더라. 어떻게 죽었는지보다, 어떻게 살았는지.</x:v>
      </x:c>
      <x:c r="I18" s="990" t="str">
        <x:v>「다음에 다시 와도 될까?」</x:v>
      </x:c>
      <x:c r="J18" s="990" t="str">
        <x:v>벤자민 호감도 +1</x:v>
      </x:c>
      <x:c r="K18" s="990" t="str">
        <x:v>제이 - 다음에 다시 와도 될까?
벤자민 - 네가 오고 싶으면.
잠깐 뒤, 그가 덧붙였다.
벤자민 - 대신 불쌍한 표정은 하고 오지 마.</x:v>
      </x:c>
      <x:c r="L18" s="990" t="str">
        <x:v>돌아간다.</x:v>
      </x:c>
      <x:c r="M18" s="990" t="str">
        <x:v>변화 없음</x:v>
      </x:c>
      <x:c r="N18" s="990" t="str">
        <x:v>제이는 그 이름을 기억해 두고 묘지를 떠났다.</x:v>
      </x:c>
      <x:c r="O18" s="990" t="str">
        <x:v>묘지는 그대로 남아 있었다.
바람이 불 때마다 표식 사이의 천 조각들이 서로 다른 방향으로 흔들렸다.</x:v>
      </x:c>
      <x:c r="P18" s="990" t="str">
        <x:v>BEN_GRAVE_SEED</x:v>
      </x:c>
      <x:c r="Q18" s="990" t="str">
        <x:v>확정원고 후보</x:v>
      </x:c>
      <x:c r="R18" s="990" t="str">
        <x:v>두 호감 선택은 중복 지급하지 않고 실제 구현 시 한 장면 최대 +1로 제한.</x:v>
      </x:c>
    </x:row>
    <x:row r="19" ht="30" hidden="0" customHeight="1">
      <x:c r="A19" s="998" t="str">
        <x:v>W1D1_05</x:v>
      </x:c>
      <x:c r="B19" s="998" t="n">
        <x:v>1</x:v>
      </x:c>
      <x:c r="C19" s="998" t="str">
        <x:v>수송선 현재 상태 첫 점검</x:v>
      </x:c>
      <x:c r="D19" s="998" t="str">
        <x:v>비인물/소설</x:v>
      </x:c>
      <x:c r="E19" s="998" t="str">
        <x:v>수송선은 멀리서 보면 아직 배였다.
가까이 가면 생각이 조금 달라진다. 외벽은 군데군데 덧대어져 있고, 원래 문이었을 곳엔 철판이 박혀 있다. 모래는 착륙 장치 절반을 삼켰다.
안쪽에서는 오래된 환풍기 소리가 일정하지 않은 박자로 끊긴다.</x:v>
      </x:c>
      <x:c r="F19" s="998" t="str">
        <x:v>[1시간] 배 안을 한 바퀴 돌아본다.</x:v>
      </x:c>
      <x:c r="G19" s="998" t="str">
        <x:v>시간 -1h / 시설 상태 정보 해금</x:v>
      </x:c>
      <x:c r="H19" s="998" t="str">
        <x:v>함교, 엔진실, 연구구역, 거주구역.
멀쩡한 곳은 없었지만 완전히 죽은 곳도 드물었다.
고칠 수는 있다.
문제는 무엇부터 고칠지다.</x:v>
      </x:c>
      <x:c r="I19" s="998" t="str">
        <x:v>[기술 ≥ 3 / 1시간] 손상 기록까지 확인한다.</x:v>
      </x:c>
      <x:c r="J19" s="998" t="str">
        <x:v>시간 -1h / 기술XP +1 / 시설별 상세 정보 해금</x:v>
      </x:c>
      <x:c r="K19" s="998" t="str">
        <x:v>제이는 비상 패널을 몇 번 두드려 손상 기록을 띄웠다.
숫자는 좋지 않았다. 그래도 회로가 살아 있다는 건, 누군가 십 년 동안 이 배를 포기하지 않았다는 뜻이기도 했다.</x:v>
      </x:c>
      <x:c r="L19" s="998" t="str">
        <x:v>그냥 돌아간다.</x:v>
      </x:c>
      <x:c r="M19" s="998" t="str">
        <x:v>변화 없음</x:v>
      </x:c>
      <x:c r="N19" s="998" t="str">
        <x:v>배를 오래 볼수록 해야 할 일이 늘어난다. 오늘은 여기까지만 보기로 한다.</x:v>
      </x:c>
      <x:c r="O19" s="998" t="str">
        <x:v>수송선은 조용히 모래 위에 누워 있었다.</x:v>
      </x:c>
      <x:c r="P19" s="998" t="str">
        <x:v>SHIP_OVERVIEW_SEEN</x:v>
      </x:c>
      <x:c r="Q19" s="998" t="str">
        <x:v>확정원고 후보</x:v>
      </x:c>
      <x:c r="R19" s="998" t="str">
        <x:v>비인물 상호작용의 문체 샘플.</x:v>
      </x:c>
    </x:row>
    <x:row r="20" ht="168" hidden="0" customHeight="1">
      <x:c r="A20" s="990" t="str">
        <x:v>W1D2_02</x:v>
      </x:c>
      <x:c r="B20" s="990" t="n">
        <x:v>2</x:v>
      </x:c>
      <x:c r="C20" s="990" t="str">
        <x:v>지나 — 항해 때 의지하던 사람과 10년의 어긋남</x:v>
      </x:c>
      <x:c r="D20" s="990" t="str">
        <x:v>사람/선택</x:v>
      </x:c>
      <x:c r="E20" s="990" t="str">
        <x:v>지나는 물자표를 접고 제이에게 짧게 손을 들었다.
지구를 떠난 뒤 약 석 달의 항해 동안, 제이는 일이 꼬일 때마다 지나를 찾았다. 둘이 사적인 친구였던 것은 아니지만 그녀에게 맡기면 일이 정리됐다.
지나 - 왜 그렇게 봐.
제이 - 항해 때랑 너무 달라 보여서.
지나 - 석 달 본 얼굴이니까. 나는 그 뒤로 십 년을 더 살았고.</x:v>
      </x:c>
      <x:c r="F20" s="990" t="str">
        <x:v>「그때도 내가 너한테 자주 물었지.」</x:v>
      </x:c>
      <x:c r="G20" s="990" t="str">
        <x:v>지나 호감도 +1</x:v>
      </x:c>
      <x:c r="H20" s="990" t="str">
        <x:v>제이 - 그때도 내가 너한테 자주 물었지.
지나 - 일 터질 때마다. 그래서 네 얼굴보다 작업표를 더 많이 봤지.
말은 건조했지만 지나가 물병 하나를 제이 쪽으로 밀었다.
친구라기보다, 원래부터 믿고 기대던 사람의 익숙한 행동이었다.</x:v>
      </x:c>
      <x:c r="I20" s="990" t="str">
        <x:v>「그래도 믿을 만한 건 그대로네.」</x:v>
      </x:c>
      <x:c r="J20" s="990" t="str">
        <x:v>교감XP +1</x:v>
      </x:c>
      <x:c r="K20" s="990" t="str">
        <x:v>제이 - 그래도 믿을 만한 건 그대로네.
지나 - 그 말은 받아둘게. 대신 기대려면 네 몫도 해.
그 단단한 말투는 항해 때와 크게 다르지 않았다.</x:v>
      </x:c>
      <x:c r="L20" s="990" t="str">
        <x:v>「…십 년은 길었겠다.」</x:v>
      </x:c>
      <x:c r="M20" s="990" t="str">
        <x:v>지나 호감도 -1</x:v>
      </x:c>
      <x:c r="N20" s="990" t="str">
        <x:v>제이 - …십 년은 길었겠다.
지나 - 이제야 계산이 되나 보네.
잠시 뒤 지나가 말했다.
지나 - 나중에 얘기해. 네가 사라진 뒤 이곳이 어떻게 굴러갔는지.</x:v>
      </x:c>
      <x:c r="O20" s="990" t="str">
        <x:v>둘은 친구였던 적이 없다. 그래도 제이는 항해 때처럼, 막히면 지나에게 물어볼 수 있다는 감각을 다시 떠올렸다.</x:v>
      </x:c>
      <x:c r="P20" s="990" t="str">
        <x:v>JINA_TIME_GAP_SEED</x:v>
      </x:c>
      <x:c r="Q20" s="990" t="str">
        <x:v>확정원고 후보</x:v>
      </x:c>
      <x:c r="R20" s="990" t="str">
        <x:v>초반 선택은 Route 치명도 낮음. C는 후속 대화로 쉽게 회복.</x:v>
      </x:c>
    </x:row>
    <x:row r="21" ht="144" hidden="0" customHeight="1">
      <x:c r="A21" s="990" t="str">
        <x:v>W1D2_03</x:v>
      </x:c>
      <x:c r="B21" s="990" t="n">
        <x:v>2</x:v>
      </x:c>
      <x:c r="C21" s="990" t="str">
        <x:v>디야 — 아이들의 생활공간</x:v>
      </x:c>
      <x:c r="D21" s="990" t="str">
        <x:v>사람/선택</x:v>
      </x:c>
      <x:c r="E21" s="990" t="str">
        <x:v>디야 - 발 조심해. 저건 미라가 어제 만든 거야.
바닥에는 돌멩이와 철사로 만든 이상한 동물이 놓여 있었다.
미라 - 모래고래야.
제이 - 고래가 모래에서도 살아?
미라 - 얘는 살아.
디야 - 여기 애들은 대부분 그래. 없는 건 만들고, 좁으면 밖으로 나가고.</x:v>
      </x:c>
      <x:c r="F21" s="990" t="str">
        <x:v>「여기, 진짜 집 같네.」</x:v>
      </x:c>
      <x:c r="G21" s="990" t="str">
        <x:v>디야 호감도 +1</x:v>
      </x:c>
      <x:c r="H21" s="990" t="str">
        <x:v>제이 - 여기, 진짜 집 같네.
디야 - 이제야 보이냐?
디야는 핀잔처럼 말했지만 손에 든 뜨개실을 조금 느슨하게 풀었다.</x:v>
      </x:c>
      <x:c r="I21" s="990" t="str">
        <x:v>「수송선보다 훨씬 낫다.」</x:v>
      </x:c>
      <x:c r="J21" s="990" t="str">
        <x:v>교감XP +1 / 디야 호감도 +1</x:v>
      </x:c>
      <x:c r="K21" s="990" t="str">
        <x:v>제이 - 수송선보다 훨씬 낫다.
디야 - 당연하지. 지구에선 어른들이 망가뜨린 걸 우리한테 버티라고 넘겼잖아.
디야 - 애들한텐 그러고 싶지 않아.</x:v>
      </x:c>
      <x:c r="L21" s="990" t="str">
        <x:v>미라에게 모래고래를 보여 달라고 한다.</x:v>
      </x:c>
      <x:c r="M21" s="990" t="str">
        <x:v>미라 정보 / 디야 호감도 +1</x:v>
      </x:c>
      <x:c r="N21" s="990" t="str">
        <x:v>제이는 미라 옆에 쪼그려 앉았다.
미라는 모래고래가 밤에는 오아시스까지 헤엄쳐 간다고 아주 진지하게 설명했다.</x:v>
      </x:c>
      <x:c r="O21" s="990" t="str">
        <x:v>디야가 뜨던 파란 실뭉치가 한쪽에 놓여 있다. 아직 무엇을 만드는지는 알 수 없다.</x:v>
      </x:c>
      <x:c r="P21" s="990" t="str">
        <x:v>DIYA_HOME_SEED</x:v>
      </x:c>
      <x:c r="Q21" s="990" t="str">
        <x:v>확정원고 후보</x:v>
      </x:c>
      <x:c r="R21" s="990" t="str">
        <x:v>장면 최대 Affinity +1 적용.</x:v>
      </x:c>
    </x:row>
    <x:row r="22" ht="30" hidden="0" customHeight="1">
      <x:c r="A22" s="998" t="str">
        <x:v>W1D2_04</x:v>
      </x:c>
      <x:c r="B22" s="998" t="n">
        <x:v>2</x:v>
      </x:c>
      <x:c r="C22" s="998" t="str">
        <x:v>페이 — 장비 정리 돕기</x:v>
      </x:c>
      <x:c r="D22" s="998" t="str">
        <x:v>사람/가벼운 선택</x:v>
      </x:c>
      <x:c r="E22" s="998" t="str">
        <x:v>페이 - 거기 빨간 케이블 말고 파란 거.
제이 - 둘 다 파란데.
페이 - 네 눈엔 저게 같은 파랑이야?
제이는 케이블 두 개를 번갈아 봤다. 하나는 파랗고, 하나는 아주 조금 덜 파랬다.</x:v>
      </x:c>
      <x:c r="F22" s="998" t="str">
        <x:v>[1.5시간] 그냥 시키는 대로 돕는다.</x:v>
      </x:c>
      <x:c r="G22" s="998" t="str">
        <x:v>시간 -1.5h / 페이 호감도 +1</x:v>
      </x:c>
      <x:c r="H22" s="998" t="str">
        <x:v>제이는 더 묻지 않고 케이블을 넘겼다.
페이 - 좋아. 적어도 말은 잘 듣네.
제이 - 칭찬 맞지?
페이 - 오늘은.</x:v>
      </x:c>
      <x:c r="I22" s="998" t="str">
        <x:v>[기술 ≥ 3 / 1.5시간] 분류 기준부터 다시 잡는다.</x:v>
      </x:c>
      <x:c r="J22" s="998" t="str">
        <x:v>시간 -1.5h / 기술XP +1</x:v>
      </x:c>
      <x:c r="K22" s="998" t="str">
        <x:v>제이 - 색으로 구분하면 나중에 또 헷갈리잖아. 규격으로 묶자.
페이 - …오.
페이 - 냉동고에서 막 나온 사람치고는 아직 쓸 만하네.</x:v>
      </x:c>
      <x:c r="L22" s="998" t="str"/>
      <x:c r="M22" s="998" t="str"/>
      <x:c r="N22" s="998" t="str"/>
      <x:c r="O22" s="998" t="str">
        <x:v>작업대 한쪽에는 용도를 알 수 없는 작은 증폭기와 오래된 기타 픽 하나가 놓여 있다. 페이는 그쪽을 건드리지 않았다.</x:v>
      </x:c>
      <x:c r="P22" s="998" t="str">
        <x:v>FAYE_WORK_SEED</x:v>
      </x:c>
      <x:c r="Q22" s="998" t="str">
        <x:v>확정원고 후보</x:v>
      </x:c>
      <x:c r="R22" s="998" t="str">
        <x:v>D4 음악꿈의 시각적 복선.</x:v>
      </x:c>
    </x:row>
    <x:row r="23" ht="30" hidden="0" customHeight="1">
      <x:c r="A23" s="998" t="str">
        <x:v>W1D2_05</x:v>
      </x:c>
      <x:c r="B23" s="998" t="n">
        <x:v>2</x:v>
      </x:c>
      <x:c r="C23" s="998" t="str">
        <x:v>보리치 — 관측 기록 정리</x:v>
      </x:c>
      <x:c r="D23" s="998" t="str">
        <x:v>사람/가벼운 선택</x:v>
      </x:c>
      <x:c r="E23" s="998" t="str">
        <x:v>보리치 - 이건 시간순. 이건 위치순. 이건 둘 다.
제이 - 같은 기록이 세 벌이야?
보리치 - 네 벌.
그가 서랍 하나를 더 열었다.
제이 - …왜?
보리치 - 잃어버리면 안 되니까.</x:v>
      </x:c>
      <x:c r="F23" s="998" t="str">
        <x:v>[1.5시간] 기록을 같이 정리한다.</x:v>
      </x:c>
      <x:c r="G23" s="998" t="str">
        <x:v>시간 -1.5h / 보리치 호감도 +1</x:v>
      </x:c>
      <x:c r="H23" s="998" t="str">
        <x:v>같은 숫자를 몇 번씩 확인하는 동안 보리치는 조금도 지루해하지 않았다.
오히려 제이가 한 줄을 건너뛰자 바로 손가락이 멈췄다.
보리치 - 다시.
제이 - 방금 봤는데.
보리치 - 봤다는 걸 다시 확인하자.</x:v>
      </x:c>
      <x:c r="I23" s="998" t="str">
        <x:v>[기술 ≥ 3 / 1.5시간] 중복 기록을 자동 대조한다.</x:v>
      </x:c>
      <x:c r="J23" s="998" t="str">
        <x:v>시간 -1.5h / 기술XP +1 / 보리치 호감도 +1</x:v>
      </x:c>
      <x:c r="K23" s="998" t="str">
        <x:v>제이가 간단한 비교식을 돌리자 네 벌의 기록이 한 화면에 겹쳐졌다.
보리치는 화면을 오래 봤다.
보리치 - …이게 더 낫네.
칭찬치고는 꽤 큰 반응이었다.</x:v>
      </x:c>
      <x:c r="L23" s="998" t="str"/>
      <x:c r="M23" s="998" t="str"/>
      <x:c r="N23" s="998" t="str"/>
      <x:c r="O23" s="998" t="str">
        <x:v>맨 아래에는 추락 전 항해 기록 폴더가 따로 잠겨 있다. 보리치는 그 폴더만 열지 않았다.</x:v>
      </x:c>
      <x:c r="P23" s="998" t="str">
        <x:v>BORICHI_RECORD_SEED</x:v>
      </x:c>
      <x:c r="Q23" s="998" t="str">
        <x:v>확정원고 후보</x:v>
      </x:c>
      <x:c r="R23" s="998" t="str">
        <x:v>사고 과거는 아직 공개하지 않음.</x:v>
      </x:c>
    </x:row>
    <x:row r="24" ht="168" hidden="0" customHeight="1">
      <x:c r="A24" s="990" t="str">
        <x:v>W1D3_01</x:v>
      </x:c>
      <x:c r="B24" s="990" t="n">
        <x:v>3</x:v>
      </x:c>
      <x:c r="C24" s="990" t="str">
        <x:v>샘 — 오아시스 조사 의뢰</x:v>
      </x:c>
      <x:c r="D24" s="990" t="str">
        <x:v>사람/선형</x:v>
      </x:c>
      <x:c r="E24" s="990" t="str">
        <x:v>샘 - 제이, 잠깐.
제이 - 무슨 일인데?
샘 - 오아시스 펌프 말이야. 다들 거기서 물이 나오니까 여기서 살 수 있다고 생각해.
제이 - 너는 아닌 것 같네.
샘 - 나는 판단할 자료가 없어.
잠깐 멈췄다가 샘이 말을 고쳤다.
샘 - 정확히는, 지하수와 지금 취수 방식이 앞으로도 유지될지 판단할 자료가 없어.</x:v>
      </x:c>
      <x:c r="F24" s="990" t="str">
        <x:v>「그래서 내가 봐달라는 거야?」</x:v>
      </x:c>
      <x:c r="G24" s="990" t="str">
        <x:v>오아시스 조사 Main 활성화 / 시간 -1h</x:v>
      </x:c>
      <x:c r="H24" s="990" t="str">
        <x:v>제이 - 그래서 내가 봐달라는 거야?
샘 - 너 원래 이쪽 담당이었잖아.
샘 - 펌프에서 지금 물이 나온다는 것하고, 우리가 계속 살 수 있다는 게 같은 말인지 확인해 줘.</x:v>
      </x:c>
      <x:c r="I24" s="990" t="str"/>
      <x:c r="J24" s="990" t="str"/>
      <x:c r="K24" s="990" t="str"/>
      <x:c r="L24" s="990" t="str"/>
      <x:c r="M24" s="990" t="str"/>
      <x:c r="N24" s="990" t="str"/>
      <x:c r="O24" s="990" t="str">
        <x:v>샘 - 좋은 소식이면 좋고. 나쁜 소식이어도 괜찮아.
샘 - 모르는 채로 결정하는 것보단 나으니까.</x:v>
      </x:c>
      <x:c r="P24" s="990" t="str">
        <x:v>OASIS_MAIN_ACTIVE</x:v>
      </x:c>
      <x:c r="Q24" s="990" t="str">
        <x:v>확정원고 후보</x:v>
      </x:c>
      <x:c r="R24" s="990" t="str">
        <x:v>제이가 조사자 역할로 복귀하는 장면.</x:v>
      </x:c>
    </x:row>
    <x:row r="25" ht="30" hidden="0" customHeight="1">
      <x:c r="A25" s="998" t="str">
        <x:v>W1D3_03</x:v>
      </x:c>
      <x:c r="B25" s="998" t="n">
        <x:v>3</x:v>
      </x:c>
      <x:c r="C25" s="998" t="str">
        <x:v>샘 — 검토해 줄 사람이 없다</x:v>
      </x:c>
      <x:c r="D25" s="998" t="str">
        <x:v>사람/선택</x:v>
      </x:c>
      <x:c r="E25" s="998" t="str">
        <x:v>샘 - 이거 한 번만 봐줄래?
제이 - 항로 계산?
샘 - 아니. 식량 배분표.
제이 - 왜 나한테?
샘 - 그냥… 누가 한 번 봐줬으면 해서.
샘은 웃었지만 손에서 표를 놓지 않았다.</x:v>
      </x:c>
      <x:c r="F25" s="998" t="str">
        <x:v>[2시간 / 의지 -1] 같이 검토한다.</x:v>
      </x:c>
      <x:c r="G25" s="998" t="str">
        <x:v>시간 -2h / 의지 -1 / 샘 호감도 +1 / Sam Episode1</x:v>
      </x:c>
      <x:c r="H25" s="998" t="str">
        <x:v>둘은 식량표보다 더 오래 다른 얘기를 했다.
샘 - 예전엔 계산 끝내면 선임한테 들고 갔어. 틀렸으면 욕먹고 다시 하고.
제이 - 지금은?
샘 - 맞는지 내가 정해.
샘 - 그게 제일 싫어.</x:v>
      </x:c>
      <x:c r="I25" s="998" t="str">
        <x:v>「이건 네가 더 잘 알잖아. 네 판단대로 해도 돼.」</x:v>
      </x:c>
      <x:c r="J25" s="998" t="str">
        <x:v>시간 소모 없음 / 샘 부담 +1</x:v>
      </x:c>
      <x:c r="K25" s="998" t="str">
        <x:v>제이 - 이건 네가 더 잘 알잖아. 네 판단대로 해도 돼.
샘 - …그래.
샘은 표를 접었다. 맞는 말인데, 듣고 싶던 말은 아니었던 것 같다.</x:v>
      </x:c>
      <x:c r="L25" s="998" t="str"/>
      <x:c r="M25" s="998" t="str"/>
      <x:c r="N25" s="998" t="str"/>
      <x:c r="O25" s="998" t="str">
        <x:v>샘은 다시 일하러 갔다. 테이블 위에는 검토할 사람이 없는 표가 한 장 더 남았다.</x:v>
      </x:c>
      <x:c r="P25" s="998" t="str">
        <x:v>SAM_EP1</x:v>
      </x:c>
      <x:c r="Q25" s="998" t="str">
        <x:v>확정원고 후보</x:v>
      </x:c>
      <x:c r="R25" s="998" t="str">
        <x:v>Full Route용 반복지원의 첫 장면.</x:v>
      </x:c>
    </x:row>
    <x:row r="26" ht="108" hidden="0" customHeight="1">
      <x:c r="A26" s="990" t="str">
        <x:v>W1D3_04</x:v>
      </x:c>
      <x:c r="B26" s="990" t="n">
        <x:v>3</x:v>
      </x:c>
      <x:c r="C26" s="990" t="str">
        <x:v>보리치 — 오아시스 관측 자료 대조</x:v>
      </x:c>
      <x:c r="D26" s="990" t="str">
        <x:v>사람/조사</x:v>
      </x:c>
      <x:c r="E26" s="990" t="str">
        <x:v>보리치 - 강수량 자체는 크게 변하지 않았어. 적어도 우리가 측정한 범위에서는.
제이 - '적어도 우리가 측정한 범위에서는.'
보리치 - 중요한 말이니까.
그는 강수량, 지표 온도, 풍속과 오아시스 펌프의 유입량·흡입 깊이 기록을 차례로 띄웠다.</x:v>
      </x:c>
      <x:c r="F26" s="990" t="str">
        <x:v>[2시간] 자료를 같이 대조한다.</x:v>
      </x:c>
      <x:c r="G26" s="990" t="str">
        <x:v>시간 -2h / 보리치 호감도 +1 / 조사 보조</x:v>
      </x:c>
      <x:c r="H26" s="990" t="str">
        <x:v>둘은 숫자보다 빈칸을 더 오래 봤다.
제이 - 데이터가 없는 날이 많네.
보리치 - 고장 난 센서가 많아.
제이 - 연구실을 살리면 더 볼 수 있어?
보리치 - 아마. '아마'까지는 말할 수 있어.</x:v>
      </x:c>
      <x:c r="I26" s="990" t="str">
        <x:v>[기술 ≥ 4 / 2시간] 손상된 로그까지 복원해 본다.</x:v>
      </x:c>
      <x:c r="J26" s="990" t="str">
        <x:v>시간 -2h / 기술XP +1 / 추가 조사 정보</x:v>
      </x:c>
      <x:c r="K26" s="990" t="str">
        <x:v>깨진 로그를 이어 붙이자 몇 개의 오래된 수치가 돌아왔다.
완전한 답은 아니었다. 대신 '안정적'이라는 말에 붙는 별표가 하나 늘었다.</x:v>
      </x:c>
      <x:c r="L26" s="990" t="str"/>
      <x:c r="M26" s="990" t="str"/>
      <x:c r="N26" s="990" t="str"/>
      <x:c r="O26" s="990" t="str">
        <x:v>보리치 - 모르는 걸 모른다고 써두는 게 제일 중요해.
제이 - 너답다.
보리치 - 좋은 뜻이야?
제이 - 아직은.</x:v>
      </x:c>
      <x:c r="P26" s="990" t="str">
        <x:v>BORICHI_COMPARE</x:v>
      </x:c>
      <x:c r="Q26" s="990" t="str">
        <x:v>확정원고 후보</x:v>
      </x:c>
      <x:c r="R26" s="990" t="str">
        <x:v>D6 caveat Pivot의 문체 복선.</x:v>
      </x:c>
    </x:row>
    <x:row r="27" ht="120" hidden="0" customHeight="1">
      <x:c r="A27" s="990" t="str">
        <x:v>W1D4_02</x:v>
      </x:c>
      <x:c r="B27" s="990" t="n">
        <x:v>4</x:v>
      </x:c>
      <x:c r="C27" s="990" t="str">
        <x:v>지나 — 과거의 제이</x:v>
      </x:c>
      <x:c r="D27" s="990" t="str">
        <x:v>사람/선택</x:v>
      </x:c>
      <x:c r="E27" s="990" t="str">
        <x:v>지나는 불시착 전 작성한 작업판을 제이 앞에 내려놓았다.
지나 - 이거 네 글씨야.
표에는 정착 초기 역할이 적혀 있고, 제이의 이름 옆에는 '정착 운영'이라고 쓰여 있었다.
제이 - 항해 중에 벌써 이런 걸 짰어?
지나 - 고작 석 달인데도 일 얘기할 땐 눈에 띄었으니까.
지나 - 사적인 얘긴 거의 안 했지만.</x:v>
      </x:c>
      <x:c r="F27" s="990" t="str">
        <x:v>「내가 그렇게 앞장섰어?」</x:v>
      </x:c>
      <x:c r="G27" s="990" t="str">
        <x:v>지나 호감도 +1</x:v>
      </x:c>
      <x:c r="H27" s="990" t="str">
        <x:v>제이 - 내가 그렇게 앞장섰어?
지나 - 일이 꼬이면 작업판 들고 내 쪽으로 왔잖아. 그리고 여기 도착하면 네가 연결하겠다고 했고.
지나 - 네 자리를 누가 대신한 게 아니야. 다들 조금씩 자기 자리를 넓힌 거지.</x:v>
      </x:c>
      <x:c r="I27" s="990" t="str">
        <x:v>「고작 석 달인데도 기억나?」</x:v>
      </x:c>
      <x:c r="J27" s="990" t="str">
        <x:v>교감XP +1 / 지나 호감도 +1</x:v>
      </x:c>
      <x:c r="K27" s="990" t="str">
        <x:v>제이 - 고작 석 달인데도 기억나?
지나 - 일 얘기할 때는 기억나지.
말은 건조했지만 지나가 물병 하나를 밀어뒀다.
지나 - 친구였던 건 아니어도, 네가 어디에 기대는 사람인지는 알고 있었어.</x:v>
      </x:c>
      <x:c r="L27" s="990" t="str"/>
      <x:c r="M27" s="990" t="str"/>
      <x:c r="N27" s="990" t="str"/>
      <x:c r="O27" s="990" t="str">
        <x:v>지나 - 너 없는 동안에도 계획은 계속됐어. 네가 생각한 모양이 아니었을 뿐이야.</x:v>
      </x:c>
      <x:c r="P27" s="990" t="str">
        <x:v>JINA_PAST_SEED</x:v>
      </x:c>
      <x:c r="Q27" s="990" t="str">
        <x:v>확정원고 후보</x:v>
      </x:c>
      <x:c r="R27" s="990" t="str">
        <x:v>제이의 과거 책임자 떡밥.</x:v>
      </x:c>
    </x:row>
    <x:row r="28" ht="144" hidden="0" customHeight="1">
      <x:c r="A28" s="990" t="str">
        <x:v>W1D4_03</x:v>
      </x:c>
      <x:c r="B28" s="990" t="n">
        <x:v>4</x:v>
      </x:c>
      <x:c r="C28" s="990" t="str">
        <x:v>페이 — 음악 꿈</x:v>
      </x:c>
      <x:c r="D28" s="990" t="str">
        <x:v>사람/선택</x:v>
      </x:c>
      <x:c r="E28" s="990" t="str">
        <x:v>작업이 끝난 뒤에도 페이는 작은 증폭기를 만지고 있었다.
제이 - 그거 어디에 쓰는 거야?
페이 - 고장난 거.
제이 - 그건 알아.
페이 - 그럼 질문 끝.
잠시 뒤 증폭기에서 짧은 전자음이 났다. 페이가 바로 전원을 껐다.</x:v>
      </x:c>
      <x:c r="F28" s="990" t="str">
        <x:v>「방금 그거, 음악이야?」</x:v>
      </x:c>
      <x:c r="G28" s="990" t="str">
        <x:v>페이 호감도 +1</x:v>
      </x:c>
      <x:c r="H28" s="990" t="str">
        <x:v>제이 - 방금 그거, 음악이야?
페이 - 소음.
제이 - 다시 해봐.
페이 - …나중에.
페이는 한참 뜸을 들이다가 지구에서 전자음악을 만들고 싶었다고 말했다. 기타도 배우고 싶었다고.</x:v>
      </x:c>
      <x:c r="I28" s="990" t="str">
        <x:v>「배 고치는 부품으로 이런 것도 만들 수 있네.」</x:v>
      </x:c>
      <x:c r="J28" s="990" t="str">
        <x:v>기술XP +1 / 페이 호감도 +1</x:v>
      </x:c>
      <x:c r="K28" s="990" t="str">
        <x:v>제이 - 배 고치는 부품으로 이런 것도 만들 수 있네.
페이 - 정확히는 배 고치다 남은 쓰레기로.
제이 - 그래도 되잖아.
페이 - …그 말 기억해 둘게.</x:v>
      </x:c>
      <x:c r="L28" s="990" t="str"/>
      <x:c r="M28" s="990" t="str"/>
      <x:c r="N28" s="990" t="str"/>
      <x:c r="O28" s="990" t="str">
        <x:v>페이 - 웃지 마.
제이 - 안 웃었어.
페이 - 얼굴이 웃고 있거든.</x:v>
      </x:c>
      <x:c r="P28" s="990" t="str">
        <x:v>FAYE_MUSIC_DREAM</x:v>
      </x:c>
      <x:c r="Q28" s="990" t="str">
        <x:v>확정원고 후보</x:v>
      </x:c>
      <x:c r="R28" s="990" t="str">
        <x:v>D9 AUDIO_LINK의 핵심 감정 Seed.</x:v>
      </x:c>
    </x:row>
    <x:row r="29" ht="132" hidden="0" customHeight="1">
      <x:c r="A29" s="990" t="str">
        <x:v>W1D5_02</x:v>
      </x:c>
      <x:c r="B29" s="990" t="n">
        <x:v>5</x:v>
      </x:c>
      <x:c r="C29" s="990" t="str">
        <x:v>디야 — 뜨개질과 집</x:v>
      </x:c>
      <x:c r="D29" s="990" t="str">
        <x:v>사람/선택</x:v>
      </x:c>
      <x:c r="E29" s="990" t="str">
        <x:v>디야는 문 앞에 앉아 파란 실을 뜨고 있었다.
제이 - 뭐 만드는 거야?
디야 - 아직 비밀.
미라 - 지구!
디야 - 야.
미라가 입을 막았다. 이미 늦었다.</x:v>
      </x:c>
      <x:c r="F29" s="990" t="str">
        <x:v>「네가 본 지구도 이런 색이었어?」</x:v>
      </x:c>
      <x:c r="G29" s="990" t="str">
        <x:v>디야 호감도 +1</x:v>
      </x:c>
      <x:c r="H29" s="990" t="str">
        <x:v>제이 - 네가 본 지구도 이런 색이었어?
디야 - 아니. 내가 태어났을 땐 이미 이런 색 아니었어. 사진에서나 봤지.
제이 - 그래서 만드는 거야?
디야 - 애들한텐 우리가 어디서 왔는지 말고, 어디까지 다시 만들 수 있는지도 보여주고 싶어서.</x:v>
      </x:c>
      <x:c r="I29" s="990" t="str">
        <x:v>「파란색이 너무 많은데.」</x:v>
      </x:c>
      <x:c r="J29" s="990" t="str">
        <x:v>교감XP +1</x:v>
      </x:c>
      <x:c r="K29" s="990" t="str">
        <x:v>제이 - 파란색이 너무 많은데.
디야 - 내가 본 지구엔 이 색이 거의 없었어. 그래서 더 넣는 거야.
제이 - 없는 걸 그리는 거네.
디야 - 다음 애들까지 우리처럼 폐허만 기억할 필요는 없잖아.</x:v>
      </x:c>
      <x:c r="L29" s="990" t="str"/>
      <x:c r="M29" s="990" t="str"/>
      <x:c r="N29" s="990" t="str"/>
      <x:c r="O29" s="990" t="str">
        <x:v>미라는 완성되면 자기 방 벽에 걸겠다고 했다.
디야가 뜨는 지구는 자신이 기억하는 지구가 아니라, 아이들에게 보여주고 싶은 지구에 가까웠다.</x:v>
      </x:c>
      <x:c r="P29" s="990" t="str">
        <x:v>DIYA_KNIT_SEED</x:v>
      </x:c>
      <x:c r="Q29" s="990" t="str">
        <x:v>확정원고 후보</x:v>
      </x:c>
      <x:c r="R29" s="990" t="str">
        <x:v>귀여운 소품처럼 시작, 후반 집/지구 의미로 회수.</x:v>
      </x:c>
    </x:row>
    <x:row r="30" ht="156" hidden="0" customHeight="1">
      <x:c r="A30" s="990" t="str">
        <x:v>W1D5_03</x:v>
      </x:c>
      <x:c r="B30" s="990" t="n">
        <x:v>5</x:v>
      </x:c>
      <x:c r="C30" s="990" t="str">
        <x:v>보리치 — 악몽과 과잉 확인</x:v>
      </x:c>
      <x:c r="D30" s="990" t="str">
        <x:v>사람/선택</x:v>
      </x:c>
      <x:c r="E30" s="990" t="str">
        <x:v>새벽에 관측지 쪽 불이 켜져 있었다.
보리치는 같은 센서 창을 열었다 닫았다 반복하고 있었다.
제이 - 아직 안 잤어?
보리치 - 잤어.
제이 - 얼마나?
보리치 - 충분히.
대답이 너무 빨랐다.</x:v>
      </x:c>
      <x:c r="F30" s="990" t="str">
        <x:v>「내가 대신 볼게. 가서 자.」</x:v>
      </x:c>
      <x:c r="G30" s="990" t="str">
        <x:v>보리치 호감도 +1</x:v>
      </x:c>
      <x:c r="H30" s="990" t="str">
        <x:v>제이 - 내가 대신 볼게. 가서 자.
보리치 - 네가 뭘 봐야 하는지 모르잖아.
제이 - 그러니까 알려주고 가.
보리치는 한동안 말이 없었다.
보리치 - 이상한 게 없어도, 두 번은 봐.</x:v>
      </x:c>
      <x:c r="I30" s="990" t="str">
        <x:v>그냥 옆에 앉는다.</x:v>
      </x:c>
      <x:c r="J30" s="990" t="str">
        <x:v>시간 -1h / 보리치 호감도 +1</x:v>
      </x:c>
      <x:c r="K30" s="990" t="str">
        <x:v>제이는 묻지 않고 옆에 앉았다.
한참 뒤 보리치가 화면을 끄며 말했다.
보리치 - 이상한 게 없는데도 이상하게 느껴질 때가 있어.
그 이상은 설명하지 않았다.</x:v>
      </x:c>
      <x:c r="L30" s="990" t="str"/>
      <x:c r="M30" s="990" t="str"/>
      <x:c r="N30" s="990" t="str"/>
      <x:c r="O30" s="990" t="str">
        <x:v>관측지는 다시 어두워졌다.
잠긴 추락 전 기록 폴더만 화면에 잠깐 남았다가 사라졌다.</x:v>
      </x:c>
      <x:c r="P30" s="990" t="str">
        <x:v>BORICHI_NIGHTMARE_SEED</x:v>
      </x:c>
      <x:c r="Q30" s="990" t="str">
        <x:v>확정원고 후보</x:v>
      </x:c>
      <x:c r="R30" s="990" t="str">
        <x:v>과거 사고 설명 금지.</x:v>
      </x:c>
    </x:row>
    <x:row r="31" ht="108" hidden="0" customHeight="1">
      <x:c r="A31" s="990" t="str">
        <x:v>W1D5_04</x:v>
      </x:c>
      <x:c r="B31" s="990" t="n">
        <x:v>5</x:v>
      </x:c>
      <x:c r="C31" s="990" t="str">
        <x:v>벤자민 — 묘지 후속</x:v>
      </x:c>
      <x:c r="D31" s="990" t="str">
        <x:v>사람/선택</x:v>
      </x:c>
      <x:c r="E31" s="990" t="str">
        <x:v>벤자민은 묘지 표식 하나를 다시 세우고 있었다.
제이 - 지난번엔 멀쩡했는데.
벤자민 - 바람이 셌어.
제이 - 매번 네가 고쳐?
벤자민 - 누군가는 해야지.</x:v>
      </x:c>
      <x:c r="F31" s="990" t="str">
        <x:v>[2시간] 같이 손본다.</x:v>
      </x:c>
      <x:c r="G31" s="990" t="str">
        <x:v>시간 -2h / 벤자민 호감도 +1</x:v>
      </x:c>
      <x:c r="H31" s="990" t="str">
        <x:v>둘은 기울어진 표식을 다시 세우고 천 조각을 갈았다.
제이 - 이걸 계속 해야 한다고 생각해?
벤자민 - 계속 기억해야 한다고 생각해.
제이 - 같은 말이야?
벤자민 - 아직은.</x:v>
      </x:c>
      <x:c r="I31" s="990" t="str">
        <x:v>「기록만 제대로 남기면 되지 않을까?」</x:v>
      </x:c>
      <x:c r="J31" s="990" t="str">
        <x:v>강인함XP +1 / 벤자민 호감도 -1</x:v>
      </x:c>
      <x:c r="K31" s="990" t="str">
        <x:v>제이 - 기록만 제대로 남기면 되지 않을까?
벤자민 - 기록은 사람이 안 와도 남아.
벤자민은 더 말하지 않고 표식을 세웠다.
제이는 그 말이 반박인지 설명인지 알기 어려웠다.</x:v>
      </x:c>
      <x:c r="L31" s="990" t="str"/>
      <x:c r="M31" s="990" t="str"/>
      <x:c r="N31" s="990" t="str"/>
      <x:c r="O31" s="990" t="str">
        <x:v>돌아오는 길에 수송선이 멀리 보였다. 벤자민은 한 번 봤다가 금방 시선을 돌렸다.</x:v>
      </x:c>
      <x:c r="P31" s="990" t="str">
        <x:v>BEN_GRAVE_DEEP</x:v>
      </x:c>
      <x:c r="Q31" s="990" t="str">
        <x:v>확정원고 후보</x:v>
      </x:c>
      <x:c r="R31" s="990" t="str">
        <x:v>D12 Living Ship의 질문을 미리 심음.</x:v>
      </x:c>
    </x:row>
    <x:row r="32" ht="132" hidden="0" customHeight="1">
      <x:c r="A32" s="990" t="str">
        <x:v>W1D6_01</x:v>
      </x:c>
      <x:c r="B32" s="990" t="n">
        <x:v>6</x:v>
      </x:c>
      <x:c r="C32" s="990" t="str">
        <x:v>오아시스 조사 결론 보고</x:v>
      </x:c>
      <x:c r="D32" s="990" t="str">
        <x:v>사람/Pivot</x:v>
      </x:c>
      <x:c r="E32" s="990" t="str">
        <x:v>샘 - 그래서 결론은?
제이 - 물은 있어. 지금까지 버틴 이유도 설명돼.
샘 - 좋은 얘기네.
제이 - 장기적으로 충분하다는 뜻은 아니야.
샘의 표정이 바로 굳었다.
샘 - 사람들한테 뭐라고 말하지?</x:v>
      </x:c>
      <x:c r="F32" s="990" t="str">
        <x:v>「지금 방식으로는 못 버텨. 떠날 준비까지 같이 시작해야 해.」</x:v>
      </x:c>
      <x:c r="G32" s="990" t="str">
        <x:v>강인함XP +2 / 샘 호감도 +1</x:v>
      </x:c>
      <x:c r="H32" s="990" t="str">
        <x:v>제이 - 지금 방식으로는 못 버텨. 떠날 준비까지 같이 시작해야 해.
샘 - 그래.
샘은 짧게 대답하고 바로 메모를 시작했다.
샘 - 적어도 뭘 준비해야 하는지는 분명하네.</x:v>
      </x:c>
      <x:c r="I32" s="990" t="str">
        <x:v>「보장할 수 없다는 게 끝이라는 뜻은 아니야. 조건이 바뀌면 다시 확인할 여지는 남겨두자.」</x:v>
      </x:c>
      <x:c r="J32" s="990" t="str">
        <x:v>기술XP +2 / 보리치 호감도 +1</x:v>
      </x:c>
      <x:c r="K32" s="990" t="str">
        <x:v>제이 - 보장할 수 없다는 게 끝이라는 뜻은 아니야. 조건이 바뀌면 다시 확인할 여지는 남겨두자.
보리치가 보고서 문장을 다시 읽었다.
보리치 - '현재 조건에서는.'
제이 - 그래. 그 문장은 빼지 마.</x:v>
      </x:c>
      <x:c r="L32" s="990" t="str"/>
      <x:c r="M32" s="990" t="str"/>
      <x:c r="N32" s="990" t="str"/>
      <x:c r="O32" s="990" t="str">
        <x:v>샘 - 어느 쪽이든 내일은 다들 알아야겠네.
제이 - 응. 지금 모르는 것도 포함해서.</x:v>
      </x:c>
      <x:c r="P32" s="990" t="str">
        <x:v>RECHECK_CAVEAT only on B</x:v>
      </x:c>
      <x:c r="Q32" s="990" t="str">
        <x:v>확정원고 후보</x:v>
      </x:c>
      <x:c r="R32" s="990" t="str">
        <x:v>Hover에는 Route Flag 미표시.</x:v>
      </x:c>
    </x:row>
    <x:row r="33" ht="30" hidden="0" customHeight="1">
      <x:c r="A33" s="998" t="str">
        <x:v>W1D6_03</x:v>
      </x:c>
      <x:c r="B33" s="998" t="n">
        <x:v>6</x:v>
      </x:c>
      <x:c r="C33" s="998" t="str">
        <x:v>샘 — 책임 부담 Episode 2</x:v>
      </x:c>
      <x:c r="D33" s="998" t="str">
        <x:v>사람/선택</x:v>
      </x:c>
      <x:c r="E33" s="998" t="str">
        <x:v>샘 - 너 보고서 쓰고 나면 시간 있어?
제이 - 얼마나?
샘 - 두 시간.
제이 - 정확하네.
샘 - 요즘은 뭐든 시간을 먼저 세게 돼.
그가 웃지 않았다.</x:v>
      </x:c>
      <x:c r="F33" s="998" t="str">
        <x:v>[2시간 / 의지 -1] 샘과 공개 기준을 같이 정리한다.</x:v>
      </x:c>
      <x:c r="G33" s="998" t="str">
        <x:v>시간 -2h / 의지 -1 / 샘 호감도 +1 / Sam Episode2</x:v>
      </x:c>
      <x:c r="H33" s="998" t="str">
        <x:v>둘은 누가 먼저 알아야 하는지, 아이들에게 어디까지 말할지, 질문에 답이 없을 때 뭐라고 말할지까지 적었다.
샘 - 이상하다.
제이 - 뭐가?
샘 - 누가 옆에서 '그건 네가 정해'라고 안 하는 게.</x:v>
      </x:c>
      <x:c r="I33" s="998" t="str">
        <x:v>「준비는 충분해. 내일 가서 말하면 돼.」</x:v>
      </x:c>
      <x:c r="J33" s="998" t="str">
        <x:v>시간 소모 없음 / Sam Episode2 미완료</x:v>
      </x:c>
      <x:c r="K33" s="998" t="str">
        <x:v>제이 - 준비는 충분해. 내일 가서 말하면 돼.
샘 - …그래.
샘은 메모를 접었다. 종이는 가벼운데 손은 무거워 보였다.</x:v>
      </x:c>
      <x:c r="L33" s="998" t="str"/>
      <x:c r="M33" s="998" t="str"/>
      <x:c r="N33" s="998" t="str"/>
      <x:c r="O33" s="998" t="str">
        <x:v>내일이면 조사 결과가 공동체 전체의 문제가 된다.</x:v>
      </x:c>
      <x:c r="P33" s="998" t="str">
        <x:v>SAM_EP2</x:v>
      </x:c>
      <x:c r="Q33" s="998" t="str">
        <x:v>확정원고 후보</x:v>
      </x:c>
      <x:c r="R33" s="998" t="str">
        <x:v>Sam Mastery W1 Anchor.</x:v>
      </x:c>
    </x:row>
    <x:row r="34" ht="132" hidden="0" customHeight="1">
      <x:c r="A34" s="990" t="str">
        <x:v>W1D7_02</x:v>
      </x:c>
      <x:c r="B34" s="990" t="n">
        <x:v>7</x:v>
      </x:c>
      <x:c r="C34" s="990" t="str">
        <x:v>공동체 공개</x:v>
      </x:c>
      <x:c r="D34" s="990" t="str">
        <x:v>사람/Pivot</x:v>
      </x:c>
      <x:c r="E34" s="990" t="str">
        <x:v>사람들이 모이자 웅성거림이 먼저 공간을 채웠다.
샘 - 시작할까?
디야 - 애들도 있어.
샘 - 그래서 더 숨기면 안 돼.
디야 - 숨기자는 게 아니야. 한꺼번에 던지지 말자는 거지.
둘 다 제이를 봤다.</x:v>
      </x:c>
      <x:c r="F34" s="990" t="str">
        <x:v>「확실한 것도 불확실한 것도 전부 말하자. 혼란도 우리가 감당해야 해.」</x:v>
      </x:c>
      <x:c r="G34" s="990" t="str">
        <x:v>강인함XP +2 / 샘 호감도 +1 / 디야 호감도 -1</x:v>
      </x:c>
      <x:c r="H34" s="990" t="str">
        <x:v>제이 - 확실한 것도 불확실한 것도 전부 말하자. 혼란도 우리가 감당해야 해.
샘은 곧바로 고개를 끄덕였다.
디야 - …좋아. 그럼 애들이 겁먹는 것도 우리가 감당하는 거야.
공개가 끝났을 때 질문은 예상보다 많았고, 답할 수 없는 것도 많았다.</x:v>
      </x:c>
      <x:c r="I34" s="990" t="str">
        <x:v>「오늘 결정에 필요한 것부터 말하자. 모르는 건 모른다고 남기고, 나머지는 순서대로 설명해.」</x:v>
      </x:c>
      <x:c r="J34" s="990" t="str">
        <x:v>교감XP +2 / 디야 호감도 +1 / 샘 호감도 -1</x:v>
      </x:c>
      <x:c r="K34" s="990" t="str">
        <x:v>제이 - 오늘 결정에 필요한 것부터 말하자. 모르는 건 모른다고 남기고, 나머지는 순서대로 설명해.
디야 - 그게 낫겠어.
샘은 잠시 말이 없었다.
샘 - 결국 어디까지 말할지는 내가 정해야 하네.
공개는 더 조용했지만, 샘의 메모는 더 길어졌다.</x:v>
      </x:c>
      <x:c r="L34" s="990" t="str"/>
      <x:c r="M34" s="990" t="str"/>
      <x:c r="N34" s="990" t="str"/>
      <x:c r="O34" s="990" t="str">
        <x:v>어느 방식을 택해도 마지막에 남는 말은 같았다.
지금까지의 오아시스와 지금까지의 방식만으로는, 이곳에서 계속 살 수 있다고 장담할 수 없다.</x:v>
      </x:c>
      <x:c r="P34" s="990" t="str">
        <x:v>DISCLOSURE_FULL or DISCLOSURE_STAGED</x:v>
      </x:c>
      <x:c r="Q34" s="990" t="str">
        <x:v>확정원고 후보</x:v>
      </x:c>
      <x:c r="R34" s="990" t="str">
        <x:v>Hover에 즉시 호감도 증감까지 공개. 미래 D15 회수는 숨김.</x:v>
      </x:c>
    </x:row>
    <x:row r="35" ht="15" hidden="0" customHeight="1">
      <x:c r="A35" s="990"/>
      <x:c r="B35" s="990"/>
      <x:c r="C35" s="990"/>
      <x:c r="D35" s="990"/>
      <x:c r="E35" s="990"/>
      <x:c r="F35" s="990"/>
      <x:c r="G35" s="990"/>
      <x:c r="H35" s="990"/>
      <x:c r="I35" s="990"/>
      <x:c r="J35" s="990"/>
      <x:c r="K35" s="990"/>
      <x:c r="L35" s="990"/>
      <x:c r="M35" s="990"/>
      <x:c r="N35" s="990"/>
      <x:c r="O35" s="990"/>
      <x:c r="P35" s="990"/>
      <x:c r="Q35" s="990"/>
      <x:c r="R35" s="990"/>
    </x:row>
    <x:row r="36" ht="26" hidden="0" customHeight="1">
      <x:c r="A36" s="1007" t="str">
        <x:v>3. W1 Authoring 판단</x:v>
      </x:c>
      <x:c r="B36" s="1007"/>
      <x:c r="C36" s="1007"/>
      <x:c r="D36" s="1007"/>
      <x:c r="E36" s="1007"/>
      <x:c r="F36" s="1007"/>
      <x:c r="G36" s="1007"/>
      <x:c r="H36" s="1007"/>
      <x:c r="I36" s="1007"/>
      <x:c r="J36" s="1007"/>
      <x:c r="K36" s="1007"/>
      <x:c r="L36" s="1007"/>
      <x:c r="M36" s="1007"/>
      <x:c r="N36" s="1007"/>
      <x:c r="O36" s="1007"/>
      <x:c r="P36" s="1007"/>
      <x:c r="Q36" s="1007"/>
      <x:c r="R36" s="1007"/>
    </x:row>
    <x:row r="37" ht="30" hidden="0" customHeight="1">
      <x:c r="A37" s="1012" t="str">
        <x:v>항목</x:v>
      </x:c>
      <x:c r="B37" s="1012" t="str">
        <x:v>판단</x:v>
      </x:c>
      <x:c r="C37" s="1012"/>
      <x:c r="D37" s="1012"/>
      <x:c r="E37" s="1012"/>
      <x:c r="F37" s="1012"/>
      <x:c r="G37" s="1012"/>
      <x:c r="H37" s="1012"/>
      <x:c r="I37" s="1012"/>
      <x:c r="J37" s="1012"/>
      <x:c r="K37" s="1012"/>
      <x:c r="L37" s="1012"/>
      <x:c r="M37" s="1012"/>
      <x:c r="N37" s="1012"/>
      <x:c r="O37" s="1012"/>
      <x:c r="P37" s="1012"/>
      <x:c r="Q37" s="1012"/>
      <x:c r="R37" s="1012"/>
    </x:row>
    <x:row r="38" ht="48" hidden="0" customHeight="1">
      <x:c r="A38" s="990" t="str">
        <x:v>D1~2</x:v>
      </x:c>
      <x:c r="B38" s="990" t="str">
        <x:v>재회와 시간차를 우선. 시스템 설명은 최소화하고 '십 년 동안 사람들이 어떻게 살았는지'를 사람/사물 양쪽에서 보여준다.</x:v>
      </x:c>
      <x:c r="C38" s="990"/>
      <x:c r="D38" s="990"/>
      <x:c r="E38" s="990"/>
      <x:c r="F38" s="990"/>
      <x:c r="G38" s="990"/>
      <x:c r="H38" s="990"/>
      <x:c r="I38" s="990"/>
      <x:c r="J38" s="990"/>
      <x:c r="K38" s="990"/>
      <x:c r="L38" s="990"/>
      <x:c r="M38" s="990"/>
      <x:c r="N38" s="990"/>
      <x:c r="O38" s="990"/>
      <x:c r="P38" s="990"/>
      <x:c r="Q38" s="990"/>
      <x:c r="R38" s="990"/>
    </x:row>
    <x:row r="39" ht="48" hidden="0" customHeight="1">
      <x:c r="A39" s="990" t="str">
        <x:v>D3~5</x:v>
      </x:c>
      <x:c r="B39" s="990" t="str">
        <x:v>제이가 조사자로 돌아오는 Main과 Character Seed가 평행하게 진행. 설명보다 작은 습관·물건·말투로 후반 핵심을 심는다.</x:v>
      </x:c>
      <x:c r="C39" s="990"/>
      <x:c r="D39" s="990"/>
      <x:c r="E39" s="990"/>
      <x:c r="F39" s="990"/>
      <x:c r="G39" s="990"/>
      <x:c r="H39" s="990"/>
      <x:c r="I39" s="990"/>
      <x:c r="J39" s="990"/>
      <x:c r="K39" s="990"/>
      <x:c r="L39" s="990"/>
      <x:c r="M39" s="990"/>
      <x:c r="N39" s="990"/>
      <x:c r="O39" s="990"/>
      <x:c r="P39" s="990"/>
      <x:c r="Q39" s="990"/>
      <x:c r="R39" s="990"/>
    </x:row>
    <x:row r="40" ht="48" hidden="0" customHeight="1">
      <x:c r="A40" s="990" t="str">
        <x:v>D6~7</x:v>
      </x:c>
      <x:c r="B40" s="990" t="str">
        <x:v>처음으로 플레이어가 '말하는 방식' 자체를 전략적으로 선택. Hover 정보는 즉시 결과까지 공개하되 미래 Route 의미는 숨긴다.</x:v>
      </x:c>
      <x:c r="C40" s="990"/>
      <x:c r="D40" s="990"/>
      <x:c r="E40" s="990"/>
      <x:c r="F40" s="990"/>
      <x:c r="G40" s="990"/>
      <x:c r="H40" s="990"/>
      <x:c r="I40" s="990"/>
      <x:c r="J40" s="990"/>
      <x:c r="K40" s="990"/>
      <x:c r="L40" s="990"/>
      <x:c r="M40" s="990"/>
      <x:c r="N40" s="990"/>
      <x:c r="O40" s="990"/>
      <x:c r="P40" s="990"/>
      <x:c r="Q40" s="990"/>
      <x:c r="R40" s="990"/>
    </x:row>
    <x:row r="41" ht="36" hidden="0" customHeight="1">
      <x:c r="A41" s="990" t="str">
        <x:v>호감도</x:v>
      </x:c>
      <x:c r="B41" s="990" t="str">
        <x:v>한 장면에서 여러 선택이 +1이어도 실제 획득은 장면당 최대 +1. 같은 장면 재진입으로 관계 파밍 금지.</x:v>
      </x:c>
      <x:c r="C41" s="990"/>
      <x:c r="D41" s="990"/>
      <x:c r="E41" s="990"/>
      <x:c r="F41" s="990"/>
      <x:c r="G41" s="990"/>
      <x:c r="H41" s="990"/>
      <x:c r="I41" s="990"/>
      <x:c r="J41" s="990"/>
      <x:c r="K41" s="990"/>
      <x:c r="L41" s="990"/>
      <x:c r="M41" s="990"/>
      <x:c r="N41" s="990"/>
      <x:c r="O41" s="990"/>
      <x:c r="P41" s="990"/>
      <x:c r="Q41" s="990"/>
      <x:c r="R41" s="990"/>
    </x:row>
    <x:row r="42" ht="48" hidden="0" customHeight="1">
      <x:c r="A42" s="990" t="str">
        <x:v>문체</x:v>
      </x:c>
      <x:c r="B42" s="990" t="str">
        <x:v>사람: 짧은 대사 + 행동 한두 문장. 사물: 짧은 서술 1~4문장. 설명문이 길어지면 쪼개거나 상호작용으로 전환.</x:v>
      </x:c>
      <x:c r="C42" s="990"/>
      <x:c r="D42" s="990"/>
      <x:c r="E42" s="990"/>
      <x:c r="F42" s="990"/>
      <x:c r="G42" s="990"/>
      <x:c r="H42" s="990"/>
      <x:c r="I42" s="990"/>
      <x:c r="J42" s="990"/>
      <x:c r="K42" s="990"/>
      <x:c r="L42" s="990"/>
      <x:c r="M42" s="990"/>
      <x:c r="N42" s="990"/>
      <x:c r="O42" s="990"/>
      <x:c r="P42" s="990"/>
      <x:c r="Q42" s="990"/>
      <x:c r="R42" s="990"/>
    </x:row>
    <x:row r="43" ht="48" hidden="0" customHeight="1">
      <x:c r="A43" s="990" t="str">
        <x:v>다음</x:v>
      </x:c>
      <x:c r="B43" s="990" t="str">
        <x:v>D1~7 Focus A/B 전용 장면과 Research Restoration 1~3단계 원고를 작성한 뒤 W2 D8~14로 넘어간다.</x:v>
      </x:c>
      <x:c r="C43" s="990"/>
      <x:c r="D43" s="990"/>
      <x:c r="E43" s="990"/>
      <x:c r="F43" s="990"/>
      <x:c r="G43" s="990"/>
      <x:c r="H43" s="990"/>
      <x:c r="I43" s="990"/>
      <x:c r="J43" s="990"/>
      <x:c r="K43" s="990"/>
      <x:c r="L43" s="990"/>
      <x:c r="M43" s="990"/>
      <x:c r="N43" s="990"/>
      <x:c r="O43" s="990"/>
      <x:c r="P43" s="990"/>
      <x:c r="Q43" s="990"/>
      <x:c r="R43" s="990"/>
    </x:row>
    <x:row r="44" ht="15" hidden="0" customHeight="1">
      <x:c r="A44" s="990"/>
      <x:c r="B44" s="990"/>
      <x:c r="C44" s="990"/>
      <x:c r="D44" s="990"/>
      <x:c r="E44" s="990"/>
      <x:c r="F44" s="990"/>
      <x:c r="G44" s="990"/>
      <x:c r="H44" s="990"/>
      <x:c r="I44" s="990"/>
      <x:c r="J44" s="990"/>
      <x:c r="K44" s="990"/>
      <x:c r="L44" s="990"/>
      <x:c r="M44" s="990"/>
      <x:c r="N44" s="990"/>
      <x:c r="O44" s="990"/>
      <x:c r="P44" s="990"/>
      <x:c r="Q44" s="990"/>
      <x:c r="R44" s="990"/>
    </x:row>
    <x:row r="45" ht="15" hidden="0" customHeight="1">
      <x:c r="A45" s="992" t="str">
        <x:v>W1 원고 상태</x:v>
      </x:c>
      <x:c r="B45" s="992" t="str">
        <x:v>게임 데이터 이식 완료</x:v>
      </x:c>
      <x:c r="C45" s="992"/>
      <x:c r="D45" s="992"/>
      <x:c r="E45" s="990"/>
      <x:c r="F45" s="990"/>
      <x:c r="G45" s="990"/>
      <x:c r="H45" s="990"/>
      <x:c r="I45" s="990"/>
      <x:c r="J45" s="990"/>
      <x:c r="K45" s="990"/>
      <x:c r="L45" s="990"/>
      <x:c r="M45" s="990"/>
      <x:c r="N45" s="990"/>
      <x:c r="O45" s="990"/>
      <x:c r="P45" s="990"/>
      <x:c r="Q45" s="990"/>
      <x:c r="R45" s="990"/>
    </x:row>
    <x:row r="46" ht="15" hidden="0" customHeight="1">
      <x:c r="A46" s="990" t="str">
        <x:v>핵심 Seed/Main</x:v>
      </x:c>
      <x:c r="B46" s="990" t="str">
        <x:v>D1~D7 Master 이식 완료 / 조사 Main 4단계</x:v>
      </x:c>
      <x:c r="C46" s="990"/>
      <x:c r="D46" s="990"/>
      <x:c r="E46" s="990"/>
      <x:c r="F46" s="990"/>
      <x:c r="G46" s="990"/>
      <x:c r="H46" s="990"/>
      <x:c r="I46" s="990"/>
      <x:c r="J46" s="990"/>
      <x:c r="K46" s="990"/>
      <x:c r="L46" s="990"/>
      <x:c r="M46" s="990"/>
      <x:c r="N46" s="990"/>
      <x:c r="O46" s="990"/>
      <x:c r="P46" s="990"/>
      <x:c r="Q46" s="990"/>
      <x:c r="R46" s="990"/>
    </x:row>
    <x:row r="47" ht="24" hidden="0" customHeight="1">
      <x:c r="A47" s="990" t="str">
        <x:v>Focus A/B</x:v>
      </x:c>
      <x:c r="B47" s="990" t="str">
        <x:v>D6 Focus A 3종 + D7 Focus B 2종 Master 이식 완료</x:v>
      </x:c>
      <x:c r="C47" s="990"/>
      <x:c r="D47" s="990"/>
      <x:c r="E47" s="990"/>
      <x:c r="F47" s="990"/>
      <x:c r="G47" s="990"/>
      <x:c r="H47" s="990"/>
      <x:c r="I47" s="990"/>
      <x:c r="J47" s="990"/>
      <x:c r="K47" s="990"/>
      <x:c r="L47" s="990"/>
      <x:c r="M47" s="990"/>
      <x:c r="N47" s="990"/>
      <x:c r="O47" s="990"/>
      <x:c r="P47" s="990"/>
      <x:c r="Q47" s="990"/>
      <x:c r="R47" s="990"/>
    </x:row>
    <x:row r="48" ht="15" hidden="0" customHeight="1">
      <x:c r="A48" s="990" t="str">
        <x:v>Research Restoration</x:v>
      </x:c>
      <x:c r="B48" s="990" t="str">
        <x:v>1→3단계 Master 이식 완료 / Facility Service 전 State proxy</x:v>
      </x:c>
      <x:c r="C48" s="990"/>
      <x:c r="D48" s="990"/>
      <x:c r="E48" s="990"/>
      <x:c r="F48" s="990"/>
      <x:c r="G48" s="990"/>
      <x:c r="H48" s="990"/>
      <x:c r="I48" s="990"/>
      <x:c r="J48" s="990"/>
      <x:c r="K48" s="990"/>
      <x:c r="L48" s="990"/>
      <x:c r="M48" s="990"/>
      <x:c r="N48" s="990"/>
      <x:c r="O48" s="990"/>
      <x:c r="P48" s="990"/>
      <x:c r="Q48" s="990"/>
      <x:c r="R48" s="990"/>
    </x:row>
    <x:row r="49" ht="24" hidden="0" customHeight="1">
      <x:c r="A49" s="990" t="str">
        <x:v>다음</x:v>
      </x:c>
      <x:c r="B49" s="990" t="str">
        <x:v>W1 실제 연속 플레이 QA 후 W2 D8~14 마이그레이션</x:v>
      </x:c>
      <x:c r="C49" s="990"/>
      <x:c r="D49" s="990"/>
      <x:c r="E49" s="990"/>
      <x:c r="F49" s="990"/>
      <x:c r="G49" s="990"/>
      <x:c r="H49" s="990"/>
      <x:c r="I49" s="990"/>
      <x:c r="J49" s="990"/>
      <x:c r="K49" s="990"/>
      <x:c r="L49" s="990"/>
      <x:c r="M49" s="990"/>
      <x:c r="N49" s="990"/>
      <x:c r="O49" s="990"/>
      <x:c r="P49" s="990"/>
      <x:c r="Q49" s="990"/>
      <x:c r="R49" s="990"/>
    </x:row>
  </x:sheetData>
  <x:mergeCells>
    <x:mergeCell ref="A1:R1"/>
    <x:mergeCell ref="A2:R2"/>
    <x:mergeCell ref="A4:R4"/>
    <x:mergeCell ref="A15:R15"/>
    <x:mergeCell ref="A36:R36"/>
  </x:mergeCells>
  <x:conditionalFormatting sqref="Q17:Q49">
    <x:cfRule type="expression" dxfId="312" priority="1">
      <x:formula>OR(Q17="완료",Q17="확정",Q17="확정방향",Q17="방향 확정",LEFT(Q17,2)="확정")</x:formula>
    </x:cfRule>
    <x:cfRule type="expression" dxfId="313" priority="2">
      <x:formula>OR(Q17="TBD",Q17="대기",ISNUMBER(SEARCH("TEMP",Q17)))</x:formula>
    </x:cfRule>
    <x:cfRule type="expression" dxfId="314" priority="3">
      <x:formula>OR(Q17="폐기",Q17="HISTORICAL",ISNUMBER(SEARCH("폐기",Q17)))</x:formula>
    </x:cfRule>
    <x:cfRule type="expression" dxfId="315" priority="4">
      <x:formula>OR(Q17="NEXT",Q17="진행")</x:formula>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18" hidden="0" customWidth="1"/>
    <x:col min="2" max="2" width="26" hidden="0" customWidth="1"/>
    <x:col min="3" max="3" width="32" hidden="0" customWidth="1"/>
    <x:col min="4" max="4" width="24" hidden="0" customWidth="1"/>
    <x:col min="5" max="5" width="44" hidden="0" customWidth="1"/>
    <x:col min="6" max="6" width="26" hidden="0" customWidth="1"/>
    <x:col min="7" max="7" width="30" hidden="0" customWidth="1"/>
    <x:col min="8" max="8" width="44" hidden="0" customWidth="1"/>
    <x:col min="9" max="9" width="26" hidden="0" customWidth="1"/>
    <x:col min="10" max="10" width="30" hidden="0" customWidth="1"/>
    <x:col min="11" max="11" width="44" hidden="0" customWidth="1"/>
    <x:col min="12" max="12" width="26" hidden="0" customWidth="1"/>
    <x:col min="13" max="13" width="28" hidden="0" customWidth="1"/>
    <x:col min="14" max="14" width="44" hidden="0" customWidth="1"/>
    <x:col min="15" max="15" width="38" hidden="0" customWidth="1"/>
    <x:col min="16" max="16" width="28" hidden="0" customWidth="1"/>
    <x:col min="17" max="17" width="18" hidden="0" customWidth="1"/>
    <x:col min="18" max="18" width="34" hidden="0" customWidth="1"/>
  </x:cols>
  <x:sheetData>
    <x:row r="1" ht="30" hidden="0" customHeight="1">
      <x:c r="A1" s="1001" t="str">
        <x:v>W1 Focus &amp; Research Authoring v0.1 — Focus A/B + Research Restoration 1→3</x:v>
      </x:c>
      <x:c r="B1" s="1001"/>
      <x:c r="C1" s="1001"/>
      <x:c r="D1" s="1001"/>
      <x:c r="E1" s="1001"/>
      <x:c r="F1" s="1001"/>
      <x:c r="G1" s="1001"/>
      <x:c r="H1" s="1001"/>
      <x:c r="I1" s="1001"/>
      <x:c r="J1" s="1001"/>
      <x:c r="K1" s="1001"/>
      <x:c r="L1" s="1001"/>
      <x:c r="M1" s="1001"/>
      <x:c r="N1" s="1001"/>
      <x:c r="O1" s="1001"/>
      <x:c r="P1" s="1001"/>
      <x:c r="Q1" s="1001"/>
      <x:c r="R1" s="1001"/>
    </x:row>
    <x:row r="2" ht="42" hidden="0" customHeight="1">
      <x:c r="A2" s="1004" t="str">
        <x:v>26_W1_NarrativeAuthoring의 연속 원고. Focus는 선택한 인물의 Full Route Mastery 자격을 내부적으로 남기지만 Hover에는 미래 효과를 표시하지 않는다. Research Restoration은 비인물 상호작용으로 작성하며, 매 수리마다 즉시 W1 조사에 쓸 수 있는 기록을 돌려준다.</x:v>
      </x:c>
      <x:c r="B2" s="1004"/>
      <x:c r="C2" s="1004"/>
      <x:c r="D2" s="1004"/>
      <x:c r="E2" s="1004"/>
      <x:c r="F2" s="1004"/>
      <x:c r="G2" s="1004"/>
      <x:c r="H2" s="1004"/>
      <x:c r="I2" s="1004"/>
      <x:c r="J2" s="1004"/>
      <x:c r="K2" s="1004"/>
      <x:c r="L2" s="1004"/>
      <x:c r="M2" s="1004"/>
      <x:c r="N2" s="1004"/>
      <x:c r="O2" s="1004"/>
      <x:c r="P2" s="1004"/>
      <x:c r="Q2" s="1004"/>
      <x:c r="R2" s="1004"/>
    </x:row>
    <x:row r="3" ht="15" hidden="0" customHeight="1">
      <x:c r="A3" s="990"/>
      <x:c r="B3" s="990"/>
      <x:c r="C3" s="990"/>
      <x:c r="D3" s="990"/>
      <x:c r="E3" s="990"/>
      <x:c r="F3" s="990"/>
      <x:c r="G3" s="990"/>
      <x:c r="H3" s="990"/>
      <x:c r="I3" s="990"/>
      <x:c r="J3" s="990"/>
      <x:c r="K3" s="990"/>
      <x:c r="L3" s="990"/>
      <x:c r="M3" s="990"/>
      <x:c r="N3" s="990"/>
      <x:c r="O3" s="990"/>
      <x:c r="P3" s="990"/>
      <x:c r="Q3" s="990"/>
      <x:c r="R3" s="990"/>
    </x:row>
    <x:row r="4" ht="26" hidden="0" customHeight="1">
      <x:c r="A4" s="1007" t="str">
        <x:v>1. Focus Anchor 작성 규칙</x:v>
      </x:c>
      <x:c r="B4" s="1007"/>
      <x:c r="C4" s="1007"/>
      <x:c r="D4" s="1007"/>
      <x:c r="E4" s="1007"/>
      <x:c r="F4" s="1007"/>
      <x:c r="G4" s="1007"/>
      <x:c r="H4" s="1007"/>
      <x:c r="I4" s="1007"/>
      <x:c r="J4" s="1007"/>
      <x:c r="K4" s="1007"/>
      <x:c r="L4" s="1007"/>
      <x:c r="M4" s="1007"/>
      <x:c r="N4" s="1007"/>
      <x:c r="O4" s="1007"/>
      <x:c r="P4" s="1007"/>
      <x:c r="Q4" s="1007"/>
      <x:c r="R4" s="1007"/>
    </x:row>
    <x:row r="5" ht="30" hidden="0" customHeight="1">
      <x:c r="A5" s="1012" t="str">
        <x:v>항목</x:v>
      </x:c>
      <x:c r="B5" s="1012" t="str">
        <x:v>규칙</x:v>
      </x:c>
      <x:c r="C5" s="1012"/>
      <x:c r="D5" s="1012"/>
      <x:c r="E5" s="1012"/>
      <x:c r="F5" s="1012"/>
      <x:c r="G5" s="1012"/>
      <x:c r="H5" s="1012"/>
      <x:c r="I5" s="1012"/>
      <x:c r="J5" s="1012"/>
      <x:c r="K5" s="1012"/>
      <x:c r="L5" s="1012"/>
      <x:c r="M5" s="1012"/>
      <x:c r="N5" s="1012"/>
      <x:c r="O5" s="1012"/>
      <x:c r="P5" s="1012"/>
      <x:c r="Q5" s="1012"/>
      <x:c r="R5" s="1012"/>
    </x:row>
    <x:row r="6" ht="48" hidden="0" customHeight="1">
      <x:c r="A6" s="990" t="str">
        <x:v>Focus A</x:v>
      </x:c>
      <x:c r="B6" s="990" t="str">
        <x:v>D6에 지나 / 페이 / 보리치 중 1명만 선택. 선택하지 않은 인물의 Final 접근은 유지되지만 Full Route Mastery 자격은 얻지 못함.</x:v>
      </x:c>
      <x:c r="C6" s="990"/>
      <x:c r="D6" s="990"/>
      <x:c r="E6" s="990"/>
      <x:c r="F6" s="990"/>
      <x:c r="G6" s="990"/>
      <x:c r="H6" s="990"/>
      <x:c r="I6" s="990"/>
      <x:c r="J6" s="990"/>
      <x:c r="K6" s="990"/>
      <x:c r="L6" s="990"/>
      <x:c r="M6" s="990"/>
      <x:c r="N6" s="990"/>
      <x:c r="O6" s="990"/>
      <x:c r="P6" s="990"/>
      <x:c r="Q6" s="990"/>
      <x:c r="R6" s="990"/>
    </x:row>
    <x:row r="7" ht="36" hidden="0" customHeight="1">
      <x:c r="A7" s="990" t="str">
        <x:v>Focus B</x:v>
      </x:c>
      <x:c r="B7" s="990" t="str">
        <x:v>D7 공개 이후 벤자민 / 디야 중 1명만 선택. 마찬가지로 Final은 가능, Mastery 자격만 갈림.</x:v>
      </x:c>
      <x:c r="C7" s="990"/>
      <x:c r="D7" s="990"/>
      <x:c r="E7" s="990"/>
      <x:c r="F7" s="990"/>
      <x:c r="G7" s="990"/>
      <x:c r="H7" s="990"/>
      <x:c r="I7" s="990"/>
      <x:c r="J7" s="990"/>
      <x:c r="K7" s="990"/>
      <x:c r="L7" s="990"/>
      <x:c r="M7" s="990"/>
      <x:c r="N7" s="990"/>
      <x:c r="O7" s="990"/>
      <x:c r="P7" s="990"/>
      <x:c r="Q7" s="990"/>
      <x:c r="R7" s="990"/>
    </x:row>
    <x:row r="8" ht="36" hidden="0" customHeight="1">
      <x:c r="A8" s="990" t="str">
        <x:v>플레이어 표시</x:v>
      </x:c>
      <x:c r="B8" s="990" t="str">
        <x:v>퀘스트 이름과 2시간 비용만 보임. 'Mastery Anchor'라는 말은 UI에 표시하지 않음.</x:v>
      </x:c>
      <x:c r="C8" s="990"/>
      <x:c r="D8" s="990"/>
      <x:c r="E8" s="990"/>
      <x:c r="F8" s="990"/>
      <x:c r="G8" s="990"/>
      <x:c r="H8" s="990"/>
      <x:c r="I8" s="990"/>
      <x:c r="J8" s="990"/>
      <x:c r="K8" s="990"/>
      <x:c r="L8" s="990"/>
      <x:c r="M8" s="990"/>
      <x:c r="N8" s="990"/>
      <x:c r="O8" s="990"/>
      <x:c r="P8" s="990"/>
      <x:c r="Q8" s="990"/>
      <x:c r="R8" s="990"/>
    </x:row>
    <x:row r="9" ht="36" hidden="0" customHeight="1">
      <x:c r="A9" s="990" t="str">
        <x:v>Hover</x:v>
      </x:c>
      <x:c r="B9" s="990" t="str">
        <x:v>즉시 XP / Affinity / 시간만 표시. 미래 +1Lv, True/Hidden 기여도는 숨김.</x:v>
      </x:c>
      <x:c r="C9" s="990"/>
      <x:c r="D9" s="990"/>
      <x:c r="E9" s="990"/>
      <x:c r="F9" s="990"/>
      <x:c r="G9" s="990"/>
      <x:c r="H9" s="990"/>
      <x:c r="I9" s="990"/>
      <x:c r="J9" s="990"/>
      <x:c r="K9" s="990"/>
      <x:c r="L9" s="990"/>
      <x:c r="M9" s="990"/>
      <x:c r="N9" s="990"/>
      <x:c r="O9" s="990"/>
      <x:c r="P9" s="990"/>
      <x:c r="Q9" s="990"/>
      <x:c r="R9" s="990"/>
    </x:row>
    <x:row r="10" ht="48" hidden="0" customHeight="1">
      <x:c r="A10" s="990" t="str">
        <x:v>장면 성격</x:v>
      </x:c>
      <x:c r="B10" s="990" t="str">
        <x:v>일상 대화보다 한 단계 깊지만 Final처럼 결론을 내리지는 않음. '이 사람을 더 알고 싶다'는 이유를 만드는 중간 장면.</x:v>
      </x:c>
      <x:c r="C10" s="990"/>
      <x:c r="D10" s="990"/>
      <x:c r="E10" s="990"/>
      <x:c r="F10" s="990"/>
      <x:c r="G10" s="990"/>
      <x:c r="H10" s="990"/>
      <x:c r="I10" s="990"/>
      <x:c r="J10" s="990"/>
      <x:c r="K10" s="990"/>
      <x:c r="L10" s="990"/>
      <x:c r="M10" s="990"/>
      <x:c r="N10" s="990"/>
      <x:c r="O10" s="990"/>
      <x:c r="P10" s="990"/>
      <x:c r="Q10" s="990"/>
      <x:c r="R10" s="990"/>
    </x:row>
    <x:row r="11" ht="15" hidden="0" customHeight="1">
      <x:c r="A11" s="990"/>
      <x:c r="B11" s="990"/>
      <x:c r="C11" s="990"/>
      <x:c r="D11" s="990"/>
      <x:c r="E11" s="990"/>
      <x:c r="F11" s="990"/>
      <x:c r="G11" s="990"/>
      <x:c r="H11" s="990"/>
      <x:c r="I11" s="990"/>
      <x:c r="J11" s="990"/>
      <x:c r="K11" s="990"/>
      <x:c r="L11" s="990"/>
      <x:c r="M11" s="990"/>
      <x:c r="N11" s="990"/>
      <x:c r="O11" s="990"/>
      <x:c r="P11" s="990"/>
      <x:c r="Q11" s="990"/>
      <x:c r="R11" s="990"/>
    </x:row>
    <x:row r="12" ht="26" hidden="0" customHeight="1">
      <x:c r="A12" s="1007" t="str">
        <x:v>2. D6 Focus A — 지나 / 페이 / 보리치 중 1명</x:v>
      </x:c>
      <x:c r="B12" s="1007"/>
      <x:c r="C12" s="1007"/>
      <x:c r="D12" s="1007"/>
      <x:c r="E12" s="1007"/>
      <x:c r="F12" s="1007"/>
      <x:c r="G12" s="1007"/>
      <x:c r="H12" s="1007"/>
      <x:c r="I12" s="1007"/>
      <x:c r="J12" s="1007"/>
      <x:c r="K12" s="1007"/>
      <x:c r="L12" s="1007"/>
      <x:c r="M12" s="1007"/>
      <x:c r="N12" s="1007"/>
      <x:c r="O12" s="1007"/>
      <x:c r="P12" s="1007"/>
      <x:c r="Q12" s="1007"/>
      <x:c r="R12" s="1007"/>
    </x:row>
    <x:row r="13" ht="30" hidden="0" customHeight="1">
      <x:c r="A13" s="1012" t="str">
        <x:v>VariantID</x:v>
      </x:c>
      <x:c r="B13" s="1012" t="str">
        <x:v>대상</x:v>
      </x:c>
      <x:c r="C13" s="1012" t="str">
        <x:v>Scene</x:v>
      </x:c>
      <x:c r="D13" s="1012" t="str">
        <x:v>도입 본문/대화</x:v>
      </x:c>
      <x:c r="E13" s="1012" t="str">
        <x:v>선택 A — 표시</x:v>
      </x:c>
      <x:c r="F13" s="1012" t="str">
        <x:v>Hover A</x:v>
      </x:c>
      <x:c r="G13" s="1012" t="str">
        <x:v>선택 후 A 본문</x:v>
      </x:c>
      <x:c r="H13" s="1012" t="str">
        <x:v>선택 B — 표시</x:v>
      </x:c>
      <x:c r="I13" s="1012" t="str">
        <x:v>Hover B</x:v>
      </x:c>
      <x:c r="J13" s="1012" t="str">
        <x:v>선택 후 B 본문</x:v>
      </x:c>
      <x:c r="K13" s="1012" t="str">
        <x:v>선택 C</x:v>
      </x:c>
      <x:c r="L13" s="1012" t="str">
        <x:v>Hover C</x:v>
      </x:c>
      <x:c r="M13" s="1012" t="str">
        <x:v>선택 후 C 본문</x:v>
      </x:c>
      <x:c r="N13" s="1012" t="str">
        <x:v>공통 결말</x:v>
      </x:c>
      <x:c r="O13" s="1012" t="str">
        <x:v>내부 Flag</x:v>
      </x:c>
      <x:c r="P13" s="1012" t="str">
        <x:v>즉시 보상 상한</x:v>
      </x:c>
      <x:c r="Q13" s="1012" t="str">
        <x:v>상태</x:v>
      </x:c>
      <x:c r="R13" s="1012" t="str">
        <x:v>메모</x:v>
      </x:c>
    </x:row>
    <x:row r="14" ht="228" hidden="0" customHeight="1">
      <x:c r="A14" s="990" t="str">
        <x:v>W1D6_04_JINA</x:v>
      </x:c>
      <x:c r="B14" s="990" t="str">
        <x:v>지나</x:v>
      </x:c>
      <x:c r="C14" s="990" t="str">
        <x:v>없어진 내 자리</x:v>
      </x:c>
      <x:c r="D14" s="990" t="str">
        <x:v>지나는 오래된 작업판 하나를 제이 앞에 내려놨다.
지나 - 이거 네 글씨야.
표에는 정착 초기 역할이 적혀 있었다. 제이는 약 석 달의 항해 동안 이런 계획을 계속 고쳤고, 일이 꼬이면 지나에게 가져갔다.
제이 - 내가 이걸 짰어?
지나 - 응. 사적인 얘기는 별로 안 했어도, 일 얘기할 때는 네가 꽤 시끄러웠거든.</x:v>
      </x:c>
      <x:c r="E14" s="990" t="str">
        <x:v>[2시간] 「내가 빠진 자리에 누가 있었는지 알려줘.」</x:v>
      </x:c>
      <x:c r="F14" s="990" t="str">
        <x:v>시간 -2h / 지나 호감도 +1 / 교감XP +1</x:v>
      </x:c>
      <x:c r="G14" s="990" t="str">
        <x:v>제이 - 내가 빠진 자리에 누가 있었는지 알려줘.
지나는 사람 이름을 하나씩 짚었다.
죽은 사람도 있었고, 지금 아이를 키우는 사람도 있었다. 원래 다른 일을 하던 사람도 많았다.
지나 - 네 자리를 누가 대신한 게 아니야.
지나 - 그냥 다들 조금씩 자기 자리를 넓힌 거지.</x:v>
      </x:c>
      <x:c r="H14" s="990" t="str">
        <x:v>「그때 나는 뭘 하려고 했어?」</x:v>
      </x:c>
      <x:c r="I14" s="990" t="str">
        <x:v>교감XP +1 / 지나 호감도 +1</x:v>
      </x:c>
      <x:c r="J14" s="990" t="str">
        <x:v>제이 - 그때 나는 뭘 하려고 했어?
지나 - 다 연결하려고 했지. 연구하는 사람, 고치는 사람, 사는 사람.
지나 - 네가 직접 다 하겠다는 게 아니라, 서로 말이 통하게 만들겠다고.
제이 - 지금 나는 별로 그런 사람 같지 않은데.
지나 - 열 해 자고 바로 그러면 그게 더 무섭지.</x:v>
      </x:c>
      <x:c r="K14" s="990" t="str">
        <x:v>작업판을 그냥 돌려준다.</x:v>
      </x:c>
      <x:c r="L14" s="990" t="str">
        <x:v>변화 없음</x:v>
      </x:c>
      <x:c r="M14" s="990" t="str">
        <x:v>제이는 작업판을 접어 지나에게 돌려줬다.
지나 - 안 물어봐?
제이 - 아직은.
지나는 더 붙잡지 않았다.</x:v>
      </x:c>
      <x:c r="N14" s="990" t="str">
        <x:v>지나가 작업판을 다시 챙겼다.
지나 - 네가 예전처럼 될 필요는 없어.
지나 - 대신 지금 네가 뭘 할 사람인지는 좀 정해.</x:v>
      </x:c>
      <x:c r="O14" s="990" t="str">
        <x:v>FOCUS_A_JINA</x:v>
      </x:c>
      <x:c r="P14" s="990" t="str">
        <x:v>장면당 Affinity 최대+1 / SocialXP 최대+1</x:v>
      </x:c>
      <x:c r="Q14" s="990" t="str">
        <x:v>확정원고 후보</x:v>
      </x:c>
      <x:c r="R14" s="990" t="str">
        <x:v>제이의 과거를 '대단했던 사람'으로 미화하지 않고, 사라진 역할과 공동체의 적응을 보여줌.</x:v>
      </x:c>
    </x:row>
    <x:row r="15" ht="192" hidden="0" customHeight="1">
      <x:c r="A15" s="990" t="str">
        <x:v>W1D6_04_FAYE</x:v>
      </x:c>
      <x:c r="B15" s="990" t="str">
        <x:v>페이</x:v>
      </x:c>
      <x:c r="C15" s="990" t="str">
        <x:v>쓸모없는 걸 고치는 시간</x:v>
      </x:c>
      <x:c r="D15" s="990" t="str">
        <x:v>페이는 폐기 상자에서 작은 스피커 두 개를 꺼냈다.
제이 - 그건 배에 안 쓰는 거지?
페이 - 응.
제이 - 그럼 왜 고쳐?
페이 - 안 쓰는 거니까.
제이가 이해하지 못한 표정을 짓자 페이가 한숨을 쉬었다.
페이 - 맨날 필요한 것만 고치면 사람이 필요한 것만 남잖아.</x:v>
      </x:c>
      <x:c r="E15" s="990" t="str">
        <x:v>[기술 ≥ 3 / 2시간] 스피커를 같이 살린다.</x:v>
      </x:c>
      <x:c r="F15" s="990" t="str">
        <x:v>시간 -2h / 기술XP +1 / 페이 호감도 +1</x:v>
      </x:c>
      <x:c r="G15" s="990" t="str">
        <x:v>제이는 한쪽 스피커를 열었다.
배선은 단순했고, 문제는 접점 하나였다.
페이 - 거기 납 너무 많이 먹이지 마.
제이 - 보고 있었어?
페이 - 내 스피커잖아.
둘이 전원을 넣자 찢어진 잡음 뒤로 짧은 코드가 흘렀다.
페이가 자기도 모르게 웃었다.</x:v>
      </x:c>
      <x:c r="H15" s="990" t="str">
        <x:v>「필요한 것만 남으면 뭐가 문제인데?」</x:v>
      </x:c>
      <x:c r="I15" s="990" t="str">
        <x:v>페이 호감도 +1</x:v>
      </x:c>
      <x:c r="J15" s="990" t="str">
        <x:v>제이 - 필요한 것만 남으면 뭐가 문제인데?
페이 - 언젠가 필요가 끝났을 때 아무것도 안 남지.
제이 - 생존이 끝나는 날이 와?
페이 - 와야지.
페이는 너무 당연하다는 듯 말했다.</x:v>
      </x:c>
      <x:c r="K15" s="990" t="str">
        <x:v>「지금은 이런 데 두 시간을 써도 돼?」</x:v>
      </x:c>
      <x:c r="L15" s="990" t="str">
        <x:v>강인함XP +1 / 페이 호감도 -1</x:v>
      </x:c>
      <x:c r="M15" s="990" t="str">
        <x:v>제이 - 지금은 이런 데 두 시간을 써도 돼?
페이 - 안 되지.
페이는 스피커를 다시 상자에 넣었다.
페이 - 그래서 내가 몰래 하는 거야.
제이 - …미안.
페이 - 틀린 말은 아니니까 더 짜증 나.</x:v>
      </x:c>
      <x:c r="N15" s="990" t="str">
        <x:v>작업이 끝난 뒤 페이는 스피커 하나를 작업대 위에 남겨두었다.
페이 - 언젠가 이걸로 음악 틀 거야.
제이 - 배 전체에?
페이 - 그건 너무 시끄럽고.
잠깐 뒤 페이가 덧붙였다.
페이 - …근데 재밌긴 하겠다.</x:v>
      </x:c>
      <x:c r="O15" s="990" t="str">
        <x:v>FOCUS_A_FAYE</x:v>
      </x:c>
      <x:c r="P15" s="990" t="str">
        <x:v>장면당 Affinity 최대+1 / TechXP 또는 StrongXP 최대+1</x:v>
      </x:c>
      <x:c r="Q15" s="990" t="str">
        <x:v>확정원고 후보</x:v>
      </x:c>
      <x:c r="R15" s="990" t="str">
        <x:v>D9 엔진↔함교 AUDIO_LINK 아이디어가 갑자기 생기지 않도록 직접 복선.</x:v>
      </x:c>
    </x:row>
    <x:row r="16" ht="228" hidden="0" customHeight="1">
      <x:c r="A16" s="990" t="str">
        <x:v>W1D6_04_BORICHI</x:v>
      </x:c>
      <x:c r="B16" s="990" t="str">
        <x:v>보리치</x:v>
      </x:c>
      <x:c r="C16" s="990" t="str">
        <x:v>틀린 경보까지 남기는 사람</x:v>
      </x:c>
      <x:c r="D16" s="990" t="str">
        <x:v>보리치는 오아시스 관측 파일 옆에 별도의 폴더를 열어두고 있었다.
제이 - '오경보 기록'?
보리치 - 이상하다고 생각했는데 아무 일도 없었던 것들.
제이 - 그런 걸 왜 모아?
보리치 - 다음에 같은 게 나오면, 이번에도 아무 일 없을 가능성을 계산할 수 있으니까.
제이 - 반대로 진짜 위험일 수도 있고.
보리치의 손이 잠깐 멈췄다.</x:v>
      </x:c>
      <x:c r="E16" s="990" t="str">
        <x:v>[기술 ≥ 3 / 2시간] 오경보 패턴을 같이 분류한다.</x:v>
      </x:c>
      <x:c r="F16" s="990" t="str">
        <x:v>시간 -2h / 기술XP +1 / 보리치 호감도 +1</x:v>
      </x:c>
      <x:c r="G16" s="990" t="str">
        <x:v>둘은 중요하지 않았던 기록들을 중요도별로 다시 나눴다.
대부분은 정말 아무것도 아니었다.
보리치 - 이런 게 많을수록 판단이 어려워져.
제이 - 그래서 더 모으는 거야?
보리치 - 그래. 적어도 내가 뭘 무시했는지는 알아야 하니까.</x:v>
      </x:c>
      <x:c r="H16" s="990" t="str">
        <x:v>[교감 ≥ 3 / 2시간] 「기록 말고, 네가 왜 이걸 계속 보는지 듣고 싶어.」</x:v>
      </x:c>
      <x:c r="I16" s="990" t="str">
        <x:v>시간 -2h / 교감XP +1 / 보리치 호감도 +1</x:v>
      </x:c>
      <x:c r="J16" s="990" t="str">
        <x:v>제이 - 기록 말고, 네가 왜 이걸 계속 보는지 듣고 싶어.
보리치 - 그건 조사에 도움이 안 돼.
제이 - 오늘은 조사하러 온 거 아니야.
보리치는 오래 침묵했다.
보리치 - 이상한 걸 봤는데, 별거 아니라고 생각한 적이 있어.
그는 거기까지만 말했다.</x:v>
      </x:c>
      <x:c r="K16" s="990" t="str">
        <x:v>「쓸모없는 기록은 좀 버려도 되지 않아?」</x:v>
      </x:c>
      <x:c r="L16" s="990" t="str">
        <x:v>시간 소모 없음 / 보리치 호감도 -1</x:v>
      </x:c>
      <x:c r="M16" s="990" t="str">
        <x:v>제이 - 쓸모없는 기록은 좀 버려도 되지 않아?
보리치 - 쓸모없다는 걸 어떻게 알아?
대답은 너무 빨랐다.
보리치는 파일을 닫고 더 설명하지 않았다.</x:v>
      </x:c>
      <x:c r="N16" s="990" t="str">
        <x:v>나가기 전 제이는 잠긴 추락 전 기록 폴더를 다시 봤다.
이번에는 보리치도 그 시선을 알아챘다.
보리치 - 아직은 아니야.
제이 - 알겠어.</x:v>
      </x:c>
      <x:c r="O16" s="990" t="str">
        <x:v>FOCUS_A_BORICHI</x:v>
      </x:c>
      <x:c r="P16" s="990" t="str">
        <x:v>장면당 Affinity 최대+1 / Tech 또는 SocialXP 최대+1</x:v>
      </x:c>
      <x:c r="Q16" s="990" t="str">
        <x:v>확정원고 후보</x:v>
      </x:c>
      <x:c r="R16" s="990" t="str">
        <x:v>사고 전말은 여전히 D8 이후까지 보류. 단 '무시한 적이 있다'는 핵심 감정만 한 단계 노출.</x:v>
      </x:c>
    </x:row>
    <x:row r="17" ht="15" hidden="0" customHeight="1">
      <x:c r="A17" s="990"/>
      <x:c r="B17" s="990"/>
      <x:c r="C17" s="990"/>
      <x:c r="D17" s="990"/>
      <x:c r="E17" s="990"/>
      <x:c r="F17" s="990"/>
      <x:c r="G17" s="990"/>
      <x:c r="H17" s="990"/>
      <x:c r="I17" s="990"/>
      <x:c r="J17" s="990"/>
      <x:c r="K17" s="990"/>
      <x:c r="L17" s="990"/>
      <x:c r="M17" s="990"/>
      <x:c r="N17" s="990"/>
      <x:c r="O17" s="990"/>
      <x:c r="P17" s="990"/>
      <x:c r="Q17" s="990"/>
      <x:c r="R17" s="990"/>
    </x:row>
    <x:row r="18" ht="26" hidden="0" customHeight="1">
      <x:c r="A18" s="1007" t="str">
        <x:v>3. D7 Focus B — 공개 이후 벤자민 / 디야 중 1명</x:v>
      </x:c>
      <x:c r="B18" s="1007"/>
      <x:c r="C18" s="1007"/>
      <x:c r="D18" s="1007"/>
      <x:c r="E18" s="1007"/>
      <x:c r="F18" s="1007"/>
      <x:c r="G18" s="1007"/>
      <x:c r="H18" s="1007"/>
      <x:c r="I18" s="1007"/>
      <x:c r="J18" s="1007"/>
      <x:c r="K18" s="1007"/>
      <x:c r="L18" s="1007"/>
      <x:c r="M18" s="1007"/>
      <x:c r="N18" s="1007"/>
      <x:c r="O18" s="1007"/>
      <x:c r="P18" s="1007"/>
      <x:c r="Q18" s="1007"/>
      <x:c r="R18" s="1007"/>
    </x:row>
    <x:row r="19" ht="30" hidden="0" customHeight="1">
      <x:c r="A19" s="1012" t="str">
        <x:v>VariantID</x:v>
      </x:c>
      <x:c r="B19" s="1012" t="str">
        <x:v>대상</x:v>
      </x:c>
      <x:c r="C19" s="1012" t="str">
        <x:v>Scene</x:v>
      </x:c>
      <x:c r="D19" s="1012" t="str">
        <x:v>도입 본문/대화</x:v>
      </x:c>
      <x:c r="E19" s="1012" t="str">
        <x:v>선택 A — 표시</x:v>
      </x:c>
      <x:c r="F19" s="1012" t="str">
        <x:v>Hover A</x:v>
      </x:c>
      <x:c r="G19" s="1012" t="str">
        <x:v>선택 후 A 본문</x:v>
      </x:c>
      <x:c r="H19" s="1012" t="str">
        <x:v>선택 B — 표시</x:v>
      </x:c>
      <x:c r="I19" s="1012" t="str">
        <x:v>Hover B</x:v>
      </x:c>
      <x:c r="J19" s="1012" t="str">
        <x:v>선택 후 B 본문</x:v>
      </x:c>
      <x:c r="K19" s="1012" t="str">
        <x:v>선택 C</x:v>
      </x:c>
      <x:c r="L19" s="1012" t="str">
        <x:v>Hover C</x:v>
      </x:c>
      <x:c r="M19" s="1012" t="str">
        <x:v>선택 후 C 본문</x:v>
      </x:c>
      <x:c r="N19" s="1012" t="str">
        <x:v>공통 결말</x:v>
      </x:c>
      <x:c r="O19" s="1012" t="str">
        <x:v>내부 Flag</x:v>
      </x:c>
      <x:c r="P19" s="1012" t="str">
        <x:v>즉시 보상 상한</x:v>
      </x:c>
      <x:c r="Q19" s="1012" t="str">
        <x:v>상태</x:v>
      </x:c>
      <x:c r="R19" s="1012" t="str">
        <x:v>메모</x:v>
      </x:c>
    </x:row>
    <x:row r="20" ht="204" hidden="0" customHeight="1">
      <x:c r="A20" s="990" t="str">
        <x:v>W1D7_03_BEN</x:v>
      </x:c>
      <x:c r="B20" s="990" t="str">
        <x:v>벤자민</x:v>
      </x:c>
      <x:c r="C20" s="990" t="str">
        <x:v>남겨둘 이름, 가져갈 이름</x:v>
      </x:c>
      <x:c r="D20" s="990" t="str">
        <x:v>공개가 끝난 뒤 벤자민은 묘지 쪽으로 혼자 걸어갔다.
제이 - 또 손볼 데 있어?
벤자민 - 아니.
제이 - 그럼?
벤자민 - 사람들이 떠날 준비 얘기하더라.
벤자민은 약혼자의 표식을 내려다봤다.
벤자민 - 떠나면 이 사람은 여기 남는 거잖아.</x:v>
      </x:c>
      <x:c r="E20" s="990" t="str">
        <x:v>[2시간] 묘지 표식을 바람에 버티게 다시 고정한다.</x:v>
      </x:c>
      <x:c r="F20" s="990" t="str">
        <x:v>시간 -2h / 벤자민 호감도 +1 / 강인함XP +1</x:v>
      </x:c>
      <x:c r="G20" s="990" t="str">
        <x:v>제이는 말 대신 도구를 들었다.
둘은 표식 밑을 더 깊게 파고 고정핀을 새로 박았다.
벤자민 - 이걸 왜 이렇게까지 하냐고 묻는 사람도 있어.
제이 - 나는 안 물었는데.
벤자민 - 그래서 같이 하는 거겠지.</x:v>
      </x:c>
      <x:c r="H20" s="990" t="str">
        <x:v>[기술 ≥ 3 / 2시간] 이름을 휴대용 기록판에도 옮긴다.</x:v>
      </x:c>
      <x:c r="I20" s="990" t="str">
        <x:v>시간 -2h / 기술XP +1 / 벤자민 호감도 +1</x:v>
      </x:c>
      <x:c r="J20" s="990" t="str">
        <x:v>제이 - 여기만 남겨둘 필요는 없잖아.
둘은 오래된 금속판에 이름을 새겼다.
벤자민 - 가져가자는 거야?
제이 - 어디로 가든 기록은 들고 갈 수 있게.
벤자민은 바로 대답하지 않았다.
하지만 판을 버리라고도 하지 않았다.</x:v>
      </x:c>
      <x:c r="K20" s="990" t="str">
        <x:v>「떠날지 정한 것도 아닌데 너무 앞서가는 거 아냐?」</x:v>
      </x:c>
      <x:c r="L20" s="990" t="str">
        <x:v>벤자민 호감도 -1</x:v>
      </x:c>
      <x:c r="M20" s="990" t="str">
        <x:v>제이 - 떠날지 정한 것도 아닌데 너무 앞서가는 거 아냐?
벤자민 - 그래서 지금 해두는 거야.
벤자민 - 결정한 뒤엔 이런 거 신경 쓸 정신도 없으니까.</x:v>
      </x:c>
      <x:c r="N20" s="990" t="str">
        <x:v>작업이 끝난 뒤 벤자민은 휴대용 기록판을 묘지 입구에 세워두었다.
아직 가져가지도, 묻어두지도 않았다.</x:v>
      </x:c>
      <x:c r="O20" s="990" t="str">
        <x:v>FOCUS_B_BEN</x:v>
      </x:c>
      <x:c r="P20" s="990" t="str">
        <x:v>장면당 Affinity 최대+1 / Strong 또는 TechXP 최대+1</x:v>
      </x:c>
      <x:c r="Q20" s="990" t="str">
        <x:v>확정원고 후보</x:v>
      </x:c>
      <x:c r="R20" s="990" t="str">
        <x:v>STAY/LEAVE를 아직 결정하지 않고, 기억을 장소와 이동 가능한 기록 양쪽에 둘 수 있다는 가능성만 열어둠.</x:v>
      </x:c>
    </x:row>
    <x:row r="21" ht="204" hidden="0" customHeight="1">
      <x:c r="A21" s="990" t="str">
        <x:v>W1D7_03_DIYA</x:v>
      </x:c>
      <x:c r="B21" s="990" t="str">
        <x:v>디야</x:v>
      </x:c>
      <x:c r="C21" s="990" t="str">
        <x:v>겁먹은 아이들에게 설명하는 법</x:v>
      </x:c>
      <x:c r="D21" s="990" t="str">
        <x:v>공개가 끝난 뒤 아이들은 평소보다 조용했다.
미라 - 우리 여기서 못 살아?
디야 - 아직 그런 말 아니야.
미라 - 그럼 배 타?
디야는 바로 대답하지 못했다.
제이를 보며 낮게 말했다.
디야 - 봤지? 어른들끼리 말하면 끝나는 일이 아니라니까.</x:v>
      </x:c>
      <x:c r="E21" s="990" t="str">
        <x:v>[2시간] 아이들과 같이 앉아 오늘 들은 말을 다시 설명한다.</x:v>
      </x:c>
      <x:c r="F21" s="990" t="str">
        <x:v>시간 -2h / 디야 호감도 +1 / 교감XP +1</x:v>
      </x:c>
      <x:c r="G21" s="990" t="str">
        <x:v>제이는 모래 위에 동그라미 두 개를 그렸다.
제이 - 하나는 여기. 하나는 배.
미라 - 어디가 좋아?
제이 - 아직 몰라.
미라 - 어른인데?
디야가 웃었다.
디야 - 어른도 모를 때 있어.
그 말 뒤로 아이들의 질문이 조금씩 평범해졌다.</x:v>
      </x:c>
      <x:c r="H21" s="990" t="str">
        <x:v>[강인함 ≥ 3 / 2시간] 아이들이 쓸 공동공간의 바람막이를 보강한다.</x:v>
      </x:c>
      <x:c r="I21" s="990" t="str">
        <x:v>시간 -2h / 강인함XP +1 / 디야 호감도 +1</x:v>
      </x:c>
      <x:c r="J21" s="990" t="str">
        <x:v>말로 설명하는 대신 제이는 디야와 바람막이를 다시 세웠다.
아이들은 옆에서 천을 잡고 매듭을 묶었다.
디야 - 이런 게 집이야.
제이 - 벽 하나 고치는 게?
디야 - 내일도 여기 있을 거라고 생각하고 고치는 거.</x:v>
      </x:c>
      <x:c r="K21" s="990" t="str">
        <x:v>「오늘은 다들 좀 쉬게 두자.」</x:v>
      </x:c>
      <x:c r="L21" s="990" t="str">
        <x:v>변화 없음</x:v>
      </x:c>
      <x:c r="M21" s="990" t="str">
        <x:v>제이 - 오늘은 다들 좀 쉬게 두자.
디야 - 그래. 그것도 필요하지.
하지만 미라는 한동안 제이 쪽을 보고 있었다.</x:v>
      </x:c>
      <x:c r="N21" s="990" t="str">
        <x:v>해가 지자 아이들은 다시 조금씩 시끄러워졌다.
디야 - 저 소리가 돌아오면 일단 반은 괜찮은 거야.</x:v>
      </x:c>
      <x:c r="O21" s="990" t="str">
        <x:v>FOCUS_B_DIYA</x:v>
      </x:c>
      <x:c r="P21" s="990" t="str">
        <x:v>장면당 Affinity 최대+1 / Social 또는 StrongXP 최대+1</x:v>
      </x:c>
      <x:c r="Q21" s="990" t="str">
        <x:v>확정원고 후보</x:v>
      </x:c>
      <x:c r="R21" s="990" t="str">
        <x:v>D11 '아이들의 미래' 갈등 이전에, 디야가 왜 아이들의 일상을 정치적 선택보다 중요하게 보는지 보여줌.</x:v>
      </x:c>
    </x:row>
    <x:row r="22" ht="15" hidden="0" customHeight="1">
      <x:c r="A22" s="990"/>
      <x:c r="B22" s="990"/>
      <x:c r="C22" s="990"/>
      <x:c r="D22" s="990"/>
      <x:c r="E22" s="990"/>
      <x:c r="F22" s="990"/>
      <x:c r="G22" s="990"/>
      <x:c r="H22" s="990"/>
      <x:c r="I22" s="990"/>
      <x:c r="J22" s="990"/>
      <x:c r="K22" s="990"/>
      <x:c r="L22" s="990"/>
      <x:c r="M22" s="990"/>
      <x:c r="N22" s="990"/>
      <x:c r="O22" s="990"/>
      <x:c r="P22" s="990"/>
      <x:c r="Q22" s="990"/>
      <x:c r="R22" s="990"/>
    </x:row>
    <x:row r="23" ht="26" hidden="0" customHeight="1">
      <x:c r="A23" s="1007" t="str">
        <x:v>4. Research Restoration 1→3 — 소설식 상호작용</x:v>
      </x:c>
      <x:c r="B23" s="1007"/>
      <x:c r="C23" s="1007"/>
      <x:c r="D23" s="1007"/>
      <x:c r="E23" s="1007"/>
      <x:c r="F23" s="1007"/>
      <x:c r="G23" s="1007"/>
      <x:c r="H23" s="1007"/>
      <x:c r="I23" s="1007"/>
      <x:c r="J23" s="1007"/>
      <x:c r="K23" s="1007"/>
      <x:c r="L23" s="1007"/>
      <x:c r="M23" s="1007"/>
      <x:c r="N23" s="1007"/>
      <x:c r="O23" s="1007"/>
      <x:c r="P23" s="1007"/>
      <x:c r="Q23" s="1007"/>
      <x:c r="R23" s="1007"/>
    </x:row>
    <x:row r="24" ht="30" hidden="0" customHeight="1">
      <x:c r="A24" s="1012" t="str">
        <x:v>StageID</x:v>
      </x:c>
      <x:c r="B24" s="1012" t="str">
        <x:v>Integrity</x:v>
      </x:c>
      <x:c r="C24" s="1012" t="str">
        <x:v>Scene</x:v>
      </x:c>
      <x:c r="D24" s="1012" t="str">
        <x:v>도입 서술</x:v>
      </x:c>
      <x:c r="E24" s="1012" t="str">
        <x:v>선택 A — 표시</x:v>
      </x:c>
      <x:c r="F24" s="1012" t="str">
        <x:v>Hover A</x:v>
      </x:c>
      <x:c r="G24" s="1012" t="str">
        <x:v>선택 후 A 본문</x:v>
      </x:c>
      <x:c r="H24" s="1012" t="str">
        <x:v>선택 B — 표시</x:v>
      </x:c>
      <x:c r="I24" s="1012" t="str">
        <x:v>Hover B</x:v>
      </x:c>
      <x:c r="J24" s="1012" t="str">
        <x:v>선택 후 B 본문</x:v>
      </x:c>
      <x:c r="K24" s="1012" t="str">
        <x:v>선택 C</x:v>
      </x:c>
      <x:c r="L24" s="1012" t="str">
        <x:v>Hover C</x:v>
      </x:c>
      <x:c r="M24" s="1012" t="str">
        <x:v>선택 후 C 본문</x:v>
      </x:c>
      <x:c r="N24" s="1012" t="str">
        <x:v>해금 정보</x:v>
      </x:c>
      <x:c r="O24" s="1012" t="str">
        <x:v>내부 Flag</x:v>
      </x:c>
      <x:c r="P24" s="1012" t="str">
        <x:v>W2/W3 회수</x:v>
      </x:c>
      <x:c r="Q24" s="1012" t="str">
        <x:v>상태</x:v>
      </x:c>
      <x:c r="R24" s="1012" t="str">
        <x:v>메모</x:v>
      </x:c>
    </x:row>
    <x:row r="25" ht="30" hidden="0" customHeight="1">
      <x:c r="A25" s="998" t="str">
        <x:v>RESEARCH_RESTORE_1</x:v>
      </x:c>
      <x:c r="B25" s="998" t="str">
        <x:v>2→3</x:v>
      </x:c>
      <x:c r="C25" s="998" t="str">
        <x:v>죽은 화면 하나</x:v>
      </x:c>
      <x:c r="D25" s="998" t="str">
        <x:v>연구실 문은 완전히 닫히지 않는다.
모래가 레일 사이에 굳어 있고, 안쪽 모니터는 세 대 중 한 대만 켜진다. 화면 절반은 검고 절반은 오래된 오류창이다.
비상전원은 살아 있다. 기록 장치까지 전기가 가지 않을 뿐이다.</x:v>
      </x:c>
      <x:c r="E25" s="998" t="str">
        <x:v>[기술 ≥ 3 / 2시간] 연구실 전원 분배를 복구한다.</x:v>
      </x:c>
      <x:c r="F25" s="998" t="str">
        <x:v>시간 -2h / 연구실 내구도 +1 / 기술XP +1 / 추락 전 관측기록 일부 해금</x:v>
      </x:c>
      <x:c r="G25" s="998" t="str">
        <x:v>제이는 죽은 장비 두 대를 전원망에서 떼어냈다.
남은 전력을 기록 장치로 돌리자 화면이 두 번 깜빡였다.
날짜가 찍힌 파일들이 몇 개 나타났다.
대부분은 평범한 관측 기록이었다.
그래서 더 쓸 만했다. 사고 전의 '평범함'이 어떤 상태였는지 처음 비교할 수 있게 됐다.</x:v>
      </x:c>
      <x:c r="H25" s="998" t="str">
        <x:v>[2시간] 최소한의 조명과 작업대만 복구한다.</x:v>
      </x:c>
      <x:c r="I25" s="998" t="str">
        <x:v>시간 -2h / 연구실 내구도 +1</x:v>
      </x:c>
      <x:c r="J25" s="998" t="str">
        <x:v>연구실 조명 절반이 돌아왔다.
기록 장치는 여전히 죽어 있었지만, 적어도 다음 수리를 어둠 속에서 할 필요는 없어졌다.</x:v>
      </x:c>
      <x:c r="K25" s="998" t="str">
        <x:v>다른 시설을 고친다.</x:v>
      </x:c>
      <x:c r="L25" s="998" t="str">
        <x:v>연구실 변화 없음</x:v>
      </x:c>
      <x:c r="M25" s="998" t="str">
        <x:v>오늘은 연구실을 그대로 두기로 한다.</x:v>
      </x:c>
      <x:c r="N25" s="998" t="str">
        <x:v>사고 전 일반 환경 데이터 / W1 오아시스 기준선</x:v>
      </x:c>
      <x:c r="O25" s="998" t="str">
        <x:v>RESEARCH_LOG_BASELINE</x:v>
      </x:c>
      <x:c r="P25" s="998" t="str">
        <x:v>D3~6 오아시스 조사에서 '현재 수치가 정말 특이한가' 비교 가능</x:v>
      </x:c>
      <x:c r="Q25" s="998" t="str">
        <x:v>확정원고 후보</x:v>
      </x:c>
      <x:c r="R25" s="998" t="str">
        <x:v>A가 Hidden/연구빌드의 핵심 선택. B도 시설+1은 동일하므로 일반 생존 수리로 합리적.</x:v>
      </x:c>
    </x:row>
    <x:row r="26" ht="30" hidden="0" customHeight="1">
      <x:c r="A26" s="998" t="str">
        <x:v>RESEARCH_RESTORE_2</x:v>
      </x:c>
      <x:c r="B26" s="998" t="str">
        <x:v>3→4</x:v>
      </x:c>
      <x:c r="C26" s="998" t="str">
        <x:v>센서가 보던 것</x:v>
      </x:c>
      <x:c r="D26" s="998" t="str">
        <x:v>전원이 돌아오자 다음 문제가 보인다.
외부 환경센서 여섯 개 중 네 개는 응답이 없다. 두 개는 숫자를 보내지만 날짜가 십 년 전에서 멈춰 있다.
배선도에는 토양, 수질, 대기 먼지, 지표 온도 센서가 따로 표시되어 있다.</x:v>
      </x:c>
      <x:c r="E26" s="998" t="str">
        <x:v>[기술 ≥ 3 / 2시간] 환경센서 릴레이를 다시 연결한다.</x:v>
      </x:c>
      <x:c r="F26" s="998" t="str">
        <x:v>시간 -2h / 연구실 내구도 +1 / 기술XP +1 / 토양·수질·대기 로그 해금</x:v>
      </x:c>
      <x:c r="G26" s="998" t="str">
        <x:v>릴레이 하나는 타 있었고, 하나는 모래가 들어가 접점이 붙어 있었다.
살릴 수 있는 센서부터 연결하자 오래된 수치들이 천천히 올라왔다.
오아시스 물은 처음부터 지금과 같지 않았다.
토양도 조금씩 변했다.
변화가 있다는 것과 좋아지고 있다는 것은 같은 말이 아니었다. 그래도 '고정된 행성'은 아니라는 사실은 남았다.</x:v>
      </x:c>
      <x:c r="H26" s="998" t="str">
        <x:v>[2시간] 냉각과 보존장치만 안정화한다.</x:v>
      </x:c>
      <x:c r="I26" s="998" t="str">
        <x:v>시간 -2h / 연구실 내구도 +1</x:v>
      </x:c>
      <x:c r="J26" s="998" t="str">
        <x:v>연구실 온도는 안정됐다.
오래된 시료 몇 개가 더 망가지는 건 막았지만, 센서 기록은 여전히 읽을 수 없었다.</x:v>
      </x:c>
      <x:c r="K26" s="998" t="str">
        <x:v>다른 시설을 고친다.</x:v>
      </x:c>
      <x:c r="L26" s="998" t="str">
        <x:v>연구실 변화 없음</x:v>
      </x:c>
      <x:c r="M26" s="998" t="str">
        <x:v>연구실 패널을 닫고 다른 곳으로 향한다.</x:v>
      </x:c>
      <x:c r="N26" s="998" t="str">
        <x:v>환경센서 / 토양·수질 변화 기록</x:v>
      </x:c>
      <x:c r="O26" s="998" t="str">
        <x:v>RESEARCH_ENV_LOGS</x:v>
      </x:c>
      <x:c r="P26" s="998" t="str">
        <x:v>D12 시험재배에서 '모래와 처리수 조건'을 비교할 근거</x:v>
      </x:c>
      <x:c r="Q26" s="998" t="str">
        <x:v>확정원고 후보</x:v>
      </x:c>
      <x:c r="R26" s="998" t="str">
        <x:v>현재 결론을 뒤집는 정보가 아니라 '조건이 움직일 수 있다'는 근거.</x:v>
      </x:c>
    </x:row>
    <x:row r="27" ht="30" hidden="0" customHeight="1">
      <x:c r="A27" s="998" t="str">
        <x:v>RESEARCH_RESTORE_3</x:v>
      </x:c>
      <x:c r="B27" s="998" t="str">
        <x:v>4→5</x:v>
      </x:c>
      <x:c r="C27" s="998" t="str">
        <x:v>십 년짜리 표본</x:v>
      </x:c>
      <x:c r="D27" s="998" t="str">
        <x:v>마지막으로 남은 건 벽 안쪽의 장기 보존함이다.
문에는 손으로 쓴 날짜가 여러 겹 붙어 있다. 첫해, 셋째 해, 다섯째 해, 여덟째 해.
누군가 같은 장소에서 같은 흙과 물을 계속 모아 넣었다.
보존함 전원은 꺼져 있지만 밀폐는 유지되고 있다.</x:v>
      </x:c>
      <x:c r="E27" s="998" t="str">
        <x:v>[기술 ≥ 3 / 2시간] 장기 표본 보존함과 인덱스를 복구한다.</x:v>
      </x:c>
      <x:c r="F27" s="998" t="str">
        <x:v>시간 -2h / 연구실 내구도 +1 / 기술XP +1 / 장기 표본 기록 해금</x:v>
      </x:c>
      <x:c r="G27" s="998" t="str">
        <x:v>보존함이 낮은 소리를 내며 다시 돌기 시작했다.
제이는 라벨을 하나씩 읽었다.
같은 오아시스의 물.
같은 거주지 바깥의 모래.
서로 다른 해의 기록.
한 장의 수치만 보면 우연일 수 있다.
십 년이 나란히 놓이면 변화가 된다.
아직 '살 수 있다'는 답은 아니었다.
하지만 나중에 다시 물을 수 있는 자료는 생겼다.</x:v>
      </x:c>
      <x:c r="H27" s="998" t="str">
        <x:v>[2시간] 연구실을 일반 작업이 가능한 수준으로 마무리한다.</x:v>
      </x:c>
      <x:c r="I27" s="998" t="str">
        <x:v>시간 -2h / 연구실 내구도 +1</x:v>
      </x:c>
      <x:c r="J27" s="998" t="str">
        <x:v>전원과 조명, 작업대가 정상 범위에 들어왔다.
연구실은 다시 쓸 수 있게 됐지만, 장기 표본함은 닫힌 채 남았다.</x:v>
      </x:c>
      <x:c r="K27" s="998" t="str">
        <x:v>다른 시설을 고친다.</x:v>
      </x:c>
      <x:c r="L27" s="998" t="str">
        <x:v>연구실 변화 없음</x:v>
      </x:c>
      <x:c r="M27" s="998" t="str">
        <x:v>손댈 수 있는 곳은 많다. 오늘 연구실은 여기까지다.</x:v>
      </x:c>
      <x:c r="N27" s="998" t="str">
        <x:v>10년 장기 토양·수질 표본 / 변화 추세</x:v>
      </x:c>
      <x:c r="O27" s="998" t="str">
        <x:v>RESEARCH_LONG_SAMPLE</x:v>
      </x:c>
      <x:c r="P27" s="998" t="str">
        <x:v>D18 Sustainability 재점검의 핵심 Research5 근거</x:v>
      </x:c>
      <x:c r="Q27" s="998" t="str">
        <x:v>확정원고 후보</x:v>
      </x:c>
      <x:c r="R27" s="998" t="str">
        <x:v>Hidden을 미리 알려주지 않고 '나중에 다시 물을 수 있는 자료'라는 문장만 남김.</x:v>
      </x:c>
    </x:row>
    <x:row r="28" ht="15" hidden="0" customHeight="1">
      <x:c r="A28" s="990"/>
      <x:c r="B28" s="990"/>
      <x:c r="C28" s="990"/>
      <x:c r="D28" s="990"/>
      <x:c r="E28" s="990"/>
      <x:c r="F28" s="990"/>
      <x:c r="G28" s="990"/>
      <x:c r="H28" s="990"/>
      <x:c r="I28" s="990"/>
      <x:c r="J28" s="990"/>
      <x:c r="K28" s="990"/>
      <x:c r="L28" s="990"/>
      <x:c r="M28" s="990"/>
      <x:c r="N28" s="990"/>
      <x:c r="O28" s="990"/>
      <x:c r="P28" s="990"/>
      <x:c r="Q28" s="990"/>
      <x:c r="R28" s="990"/>
    </x:row>
    <x:row r="29" ht="26" hidden="0" customHeight="1">
      <x:c r="A29" s="1007" t="str">
        <x:v>5. Research Restoration 서사 흐름</x:v>
      </x:c>
      <x:c r="B29" s="1007"/>
      <x:c r="C29" s="1007"/>
      <x:c r="D29" s="1007"/>
      <x:c r="E29" s="1007"/>
      <x:c r="F29" s="1007"/>
      <x:c r="G29" s="1007"/>
      <x:c r="H29" s="1007"/>
      <x:c r="I29" s="1007"/>
      <x:c r="J29" s="1007"/>
      <x:c r="K29" s="1007"/>
      <x:c r="L29" s="1007"/>
      <x:c r="M29" s="1007"/>
      <x:c r="N29" s="1007"/>
      <x:c r="O29" s="1007"/>
      <x:c r="P29" s="1007"/>
      <x:c r="Q29" s="1007"/>
      <x:c r="R29" s="1007"/>
    </x:row>
    <x:row r="30" ht="30" hidden="0" customHeight="1">
      <x:c r="A30" s="1012" t="str">
        <x:v>단계</x:v>
      </x:c>
      <x:c r="B30" s="1012" t="str">
        <x:v>W1에서 플레이어가 얻는 인상</x:v>
      </x:c>
      <x:c r="C30" s="1012" t="str">
        <x:v>나중에 바뀌는 의미</x:v>
      </x:c>
      <x:c r="D30" s="1012"/>
      <x:c r="E30" s="1012"/>
      <x:c r="F30" s="1012"/>
      <x:c r="G30" s="1012"/>
      <x:c r="H30" s="1012"/>
      <x:c r="I30" s="1012"/>
      <x:c r="J30" s="1012"/>
      <x:c r="K30" s="1012"/>
      <x:c r="L30" s="1012"/>
      <x:c r="M30" s="1012"/>
      <x:c r="N30" s="1012"/>
      <x:c r="O30" s="1012"/>
      <x:c r="P30" s="1012"/>
      <x:c r="Q30" s="1012"/>
      <x:c r="R30" s="1012"/>
    </x:row>
    <x:row r="31" ht="24" hidden="0" customHeight="1">
      <x:c r="A31" s="990" t="str">
        <x:v>1/3</x:v>
      </x:c>
      <x:c r="B31" s="990" t="str">
        <x:v>사고 전 평범한 환경 기준선을 되찾는다.</x:v>
      </x:c>
      <x:c r="C31" s="990" t="str">
        <x:v>D6 결론이 '자료 없는 추측'이 아니라 과거와 비교한 판단이 됨.</x:v>
      </x:c>
      <x:c r="D31" s="990"/>
      <x:c r="E31" s="990"/>
      <x:c r="F31" s="990"/>
      <x:c r="G31" s="990"/>
      <x:c r="H31" s="990"/>
      <x:c r="I31" s="990"/>
      <x:c r="J31" s="990"/>
      <x:c r="K31" s="990"/>
      <x:c r="L31" s="990"/>
      <x:c r="M31" s="990"/>
      <x:c r="N31" s="990"/>
      <x:c r="O31" s="990"/>
      <x:c r="P31" s="990"/>
      <x:c r="Q31" s="990"/>
      <x:c r="R31" s="990"/>
    </x:row>
    <x:row r="32" ht="24" hidden="0" customHeight="1">
      <x:c r="A32" s="990" t="str">
        <x:v>2/3</x:v>
      </x:c>
      <x:c r="B32" s="990" t="str">
        <x:v>행성의 토양·물 조건이 십 년 동안 조금씩 달라졌다는 걸 본다.</x:v>
      </x:c>
      <x:c r="C32" s="990" t="str">
        <x:v>D12 시험재배가 뜬금없는 실험이 아니라 기록의 연장선이 됨.</x:v>
      </x:c>
      <x:c r="D32" s="990"/>
      <x:c r="E32" s="990"/>
      <x:c r="F32" s="990"/>
      <x:c r="G32" s="990"/>
      <x:c r="H32" s="990"/>
      <x:c r="I32" s="990"/>
      <x:c r="J32" s="990"/>
      <x:c r="K32" s="990"/>
      <x:c r="L32" s="990"/>
      <x:c r="M32" s="990"/>
      <x:c r="N32" s="990"/>
      <x:c r="O32" s="990"/>
      <x:c r="P32" s="990"/>
      <x:c r="Q32" s="990"/>
      <x:c r="R32" s="990"/>
    </x:row>
    <x:row r="33" ht="24" hidden="0" customHeight="1">
      <x:c r="A33" s="990" t="str">
        <x:v>3/3</x:v>
      </x:c>
      <x:c r="B33" s="990" t="str">
        <x:v>십 년치 장기 표본을 보존해 둔다.</x:v>
      </x:c>
      <x:c r="C33" s="990" t="str">
        <x:v>D18 재점검 때 '새 증거 + 과거 데이터'를 비교할 수 있게 됨.</x:v>
      </x:c>
      <x:c r="D33" s="990"/>
      <x:c r="E33" s="990"/>
      <x:c r="F33" s="990"/>
      <x:c r="G33" s="990"/>
      <x:c r="H33" s="990"/>
      <x:c r="I33" s="990"/>
      <x:c r="J33" s="990"/>
      <x:c r="K33" s="990"/>
      <x:c r="L33" s="990"/>
      <x:c r="M33" s="990"/>
      <x:c r="N33" s="990"/>
      <x:c r="O33" s="990"/>
      <x:c r="P33" s="990"/>
      <x:c r="Q33" s="990"/>
      <x:c r="R33" s="990"/>
    </x:row>
    <x:row r="34" ht="24" hidden="0" customHeight="1">
      <x:c r="A34" s="990" t="str">
        <x:v>핵심</x:v>
      </x:c>
      <x:c r="B34" s="990" t="str">
        <x:v>어느 단계도 '여기 살 수 있다'고 말하지 않는다.</x:v>
      </x:c>
      <x:c r="C34" s="990" t="str">
        <x:v>W1의 기존 결론을 훼손하지 않고 Hidden의 재평가 가능성만 만든다.</x:v>
      </x:c>
      <x:c r="D34" s="990"/>
      <x:c r="E34" s="990"/>
      <x:c r="F34" s="990"/>
      <x:c r="G34" s="990"/>
      <x:c r="H34" s="990"/>
      <x:c r="I34" s="990"/>
      <x:c r="J34" s="990"/>
      <x:c r="K34" s="990"/>
      <x:c r="L34" s="990"/>
      <x:c r="M34" s="990"/>
      <x:c r="N34" s="990"/>
      <x:c r="O34" s="990"/>
      <x:c r="P34" s="990"/>
      <x:c r="Q34" s="990"/>
      <x:c r="R34" s="990"/>
    </x:row>
  </x:sheetData>
  <x:mergeCells>
    <x:mergeCell ref="A1:R1"/>
    <x:mergeCell ref="A2:R2"/>
    <x:mergeCell ref="A4:R4"/>
    <x:mergeCell ref="A12:R12"/>
    <x:mergeCell ref="A18:R18"/>
    <x:mergeCell ref="A23:R23"/>
    <x:mergeCell ref="A29:R29"/>
  </x:mergeCells>
  <x:conditionalFormatting sqref="Q25:Q34">
    <x:cfRule type="expression" dxfId="316" priority="1">
      <x:formula>OR(Q25="완료",Q25="확정",Q25="확정방향",Q25="방향 확정",LEFT(Q25,2)="확정")</x:formula>
    </x:cfRule>
    <x:cfRule type="expression" dxfId="317" priority="2">
      <x:formula>OR(Q25="TBD",Q25="대기",ISNUMBER(SEARCH("TEMP",Q25)))</x:formula>
    </x:cfRule>
    <x:cfRule type="expression" dxfId="318" priority="3">
      <x:formula>OR(Q25="폐기",Q25="HISTORICAL",ISNUMBER(SEARCH("폐기",Q25)))</x:formula>
    </x:cfRule>
    <x:cfRule type="expression" dxfId="319" priority="4">
      <x:formula>OR(Q25="NEXT",Q25="진행")</x:formula>
    </x:cfRule>
  </x:conditionalFormatting>
  <x:conditionalFormatting sqref="Q14:Q34">
    <x:cfRule type="expression" dxfId="320" priority="5">
      <x:formula>OR(Q14="완료",Q14="확정",Q14="확정방향",Q14="방향 확정",LEFT(Q14,2)="확정")</x:formula>
    </x:cfRule>
    <x:cfRule type="expression" dxfId="321" priority="6">
      <x:formula>OR(Q14="TBD",Q14="대기",ISNUMBER(SEARCH("TEMP",Q14)))</x:formula>
    </x:cfRule>
    <x:cfRule type="expression" dxfId="322" priority="7">
      <x:formula>OR(Q14="폐기",Q14="HISTORICAL",ISNUMBER(SEARCH("폐기",Q14)))</x:formula>
    </x:cfRule>
    <x:cfRule type="expression" dxfId="323" priority="8">
      <x:formula>OR(Q14="NEXT",Q14="진행")</x:formula>
    </x:cfRule>
  </x:conditionalFormatting>
  <x:conditionalFormatting sqref="Q20:Q34">
    <x:cfRule type="expression" dxfId="324" priority="9">
      <x:formula>OR(Q20="완료",Q20="확정",Q20="확정방향",Q20="방향 확정",LEFT(Q20,2)="확정")</x:formula>
    </x:cfRule>
    <x:cfRule type="expression" dxfId="325" priority="10">
      <x:formula>OR(Q20="TBD",Q20="대기",ISNUMBER(SEARCH("TEMP",Q20)))</x:formula>
    </x:cfRule>
    <x:cfRule type="expression" dxfId="326" priority="11">
      <x:formula>OR(Q20="폐기",Q20="HISTORICAL",ISNUMBER(SEARCH("폐기",Q20)))</x:formula>
    </x:cfRule>
    <x:cfRule type="expression" dxfId="327" priority="12">
      <x:formula>OR(Q20="NEXT",Q20="진행")</x:formula>
    </x:cfRule>
  </x:conditionalFormatting>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26" hidden="0" customWidth="1"/>
    <x:col min="3" max="3" width="32" hidden="0" customWidth="1"/>
    <x:col min="4" max="4" width="24" hidden="0" customWidth="1"/>
    <x:col min="5" max="5" width="44" hidden="0" customWidth="1"/>
    <x:col min="6" max="6" width="26" hidden="0" customWidth="1"/>
    <x:col min="7" max="7" width="30" hidden="0" customWidth="1"/>
    <x:col min="8" max="8" width="44" hidden="0" customWidth="1"/>
    <x:col min="9" max="9" width="26" hidden="0" customWidth="1"/>
    <x:col min="10" max="10" width="30" hidden="0" customWidth="1"/>
    <x:col min="11" max="11" width="44" hidden="0" customWidth="1"/>
    <x:col min="12" max="12" width="26" hidden="0" customWidth="1"/>
    <x:col min="13" max="13" width="28" hidden="0" customWidth="1"/>
    <x:col min="14" max="14" width="44" hidden="0" customWidth="1"/>
    <x:col min="15" max="15" width="38" hidden="0" customWidth="1"/>
    <x:col min="16" max="16" width="28" hidden="0" customWidth="1"/>
    <x:col min="17" max="17" width="18" hidden="0" customWidth="1"/>
    <x:col min="18" max="18" width="34" hidden="0" customWidth="1"/>
  </x:cols>
  <x:sheetData>
    <x:row r="1" ht="30" hidden="0" customHeight="1">
      <x:c r="A1" s="1001" t="str">
        <x:v>W2 Narrative Authoring v0.1 — D8~14 Storm Preparation / Character Cost / Final Night</x:v>
      </x:c>
      <x:c r="B1" s="1001"/>
      <x:c r="C1" s="1001"/>
      <x:c r="D1" s="1001"/>
      <x:c r="E1" s="1001"/>
      <x:c r="F1" s="1001"/>
      <x:c r="G1" s="1001"/>
      <x:c r="H1" s="1001"/>
      <x:c r="I1" s="1001"/>
      <x:c r="J1" s="1001"/>
      <x:c r="K1" s="1001"/>
      <x:c r="L1" s="1001"/>
      <x:c r="M1" s="1001"/>
      <x:c r="N1" s="1001"/>
      <x:c r="O1" s="1001"/>
      <x:c r="P1" s="1001"/>
      <x:c r="Q1" s="1001"/>
      <x:c r="R1" s="1001"/>
    </x:row>
    <x:row r="2" ht="42" hidden="0" customHeight="1">
      <x:c r="A2" s="1004" t="str">
        <x:v>W1 원고 문법을 그대로 사용한다. 사람 대화는 로그형으로 누적되고, 선택 버튼에는 조건·시간·Will 같은 요구를 표시하며 Hover에는 즉시 XP·호감도·시설/보존 변화를 공개한다. 미래 Route Flag와 Ending 의미는 숨긴다. 반복 수리/보존은 공통 템플릿을 사용하고, Main/Character 장면만 개별 원고를 둔다.</x:v>
      </x:c>
      <x:c r="B2" s="1004"/>
      <x:c r="C2" s="1004"/>
      <x:c r="D2" s="1004"/>
      <x:c r="E2" s="1004"/>
      <x:c r="F2" s="1004"/>
      <x:c r="G2" s="1004"/>
      <x:c r="H2" s="1004"/>
      <x:c r="I2" s="1004"/>
      <x:c r="J2" s="1004"/>
      <x:c r="K2" s="1004"/>
      <x:c r="L2" s="1004"/>
      <x:c r="M2" s="1004"/>
      <x:c r="N2" s="1004"/>
      <x:c r="O2" s="1004"/>
      <x:c r="P2" s="1004"/>
      <x:c r="Q2" s="1004"/>
      <x:c r="R2" s="1004"/>
    </x:row>
    <x:row r="3" ht="15" hidden="0" customHeight="1">
      <x:c r="A3" s="990"/>
      <x:c r="B3" s="990"/>
      <x:c r="C3" s="990"/>
      <x:c r="D3" s="990"/>
      <x:c r="E3" s="990"/>
      <x:c r="F3" s="990"/>
      <x:c r="G3" s="990"/>
      <x:c r="H3" s="990"/>
      <x:c r="I3" s="990"/>
      <x:c r="J3" s="990"/>
      <x:c r="K3" s="990"/>
      <x:c r="L3" s="990"/>
      <x:c r="M3" s="990"/>
      <x:c r="N3" s="990"/>
      <x:c r="O3" s="990"/>
      <x:c r="P3" s="990"/>
      <x:c r="Q3" s="990"/>
      <x:c r="R3" s="990"/>
    </x:row>
    <x:row r="4" ht="26" hidden="0" customHeight="1">
      <x:c r="A4" s="1007" t="str">
        <x:v>1. W2 문체 / 압력 규칙</x:v>
      </x:c>
      <x:c r="B4" s="1007"/>
      <x:c r="C4" s="1007"/>
      <x:c r="D4" s="1007"/>
      <x:c r="E4" s="1007"/>
      <x:c r="F4" s="1007"/>
      <x:c r="G4" s="1007"/>
      <x:c r="H4" s="1007"/>
      <x:c r="I4" s="1007"/>
      <x:c r="J4" s="1007"/>
      <x:c r="K4" s="1007"/>
      <x:c r="L4" s="1007"/>
      <x:c r="M4" s="1007"/>
      <x:c r="N4" s="1007"/>
      <x:c r="O4" s="1007"/>
      <x:c r="P4" s="1007"/>
      <x:c r="Q4" s="1007"/>
      <x:c r="R4" s="1007"/>
    </x:row>
    <x:row r="5" ht="30" hidden="0" customHeight="1">
      <x:c r="A5" s="1012" t="str">
        <x:v>항목</x:v>
      </x:c>
      <x:c r="B5" s="1012" t="str">
        <x:v>규칙</x:v>
      </x:c>
      <x:c r="C5" s="1012"/>
      <x:c r="D5" s="1012"/>
      <x:c r="E5" s="1012"/>
      <x:c r="F5" s="1012"/>
      <x:c r="G5" s="1012"/>
      <x:c r="H5" s="1012"/>
      <x:c r="I5" s="1012"/>
      <x:c r="J5" s="1012"/>
      <x:c r="K5" s="1012"/>
      <x:c r="L5" s="1012"/>
      <x:c r="M5" s="1012"/>
      <x:c r="N5" s="1012"/>
      <x:c r="O5" s="1012"/>
      <x:c r="P5" s="1012"/>
      <x:c r="Q5" s="1012"/>
      <x:c r="R5" s="1012"/>
    </x:row>
    <x:row r="6" ht="36" hidden="0" customHeight="1">
      <x:c r="A6" s="990" t="str">
        <x:v>W2의 리듬</x:v>
      </x:c>
      <x:c r="B6" s="990" t="str">
        <x:v>W1보다 한 문장을 짧게. '해야 할 일'이 계속 쌓이는 느낌을 대사 사이의 작업 묘사로 만든다.</x:v>
      </x:c>
      <x:c r="C6" s="990"/>
      <x:c r="D6" s="990"/>
      <x:c r="E6" s="990"/>
      <x:c r="F6" s="990"/>
      <x:c r="G6" s="990"/>
      <x:c r="H6" s="990"/>
      <x:c r="I6" s="990"/>
      <x:c r="J6" s="990"/>
      <x:c r="K6" s="990"/>
      <x:c r="L6" s="990"/>
      <x:c r="M6" s="990"/>
      <x:c r="N6" s="990"/>
      <x:c r="O6" s="990"/>
      <x:c r="P6" s="990"/>
      <x:c r="Q6" s="990"/>
      <x:c r="R6" s="990"/>
    </x:row>
    <x:row r="7" ht="30" hidden="0" customHeight="1">
      <x:c r="A7" s="998" t="str">
        <x:v>선택의 정보</x:v>
      </x:c>
      <x:c r="B7" s="998" t="str">
        <x:v>시간·Will·Stat 조건·Affinity 요구는 버튼/잠금에, 즉시 XP·Affinity·시설/보존 변화는 Hover에 모두 표시.</x:v>
      </x:c>
      <x:c r="C7" s="998"/>
      <x:c r="D7" s="998"/>
      <x:c r="E7" s="998"/>
      <x:c r="F7" s="998"/>
      <x:c r="G7" s="998"/>
      <x:c r="H7" s="998"/>
      <x:c r="I7" s="998"/>
      <x:c r="J7" s="998"/>
      <x:c r="K7" s="998"/>
      <x:c r="L7" s="998"/>
      <x:c r="M7" s="998"/>
      <x:c r="N7" s="998"/>
      <x:c r="O7" s="998"/>
      <x:c r="P7" s="998"/>
      <x:c r="Q7" s="998"/>
      <x:c r="R7" s="998"/>
    </x:row>
    <x:row r="8" ht="36" hidden="0" customHeight="1">
      <x:c r="A8" s="990" t="str">
        <x:v>수리/보존</x:v>
      </x:c>
      <x:c r="B8" s="990" t="str">
        <x:v>매번 새 장문을 쓰지 않고 장소별 2~4문장 공통 템플릿 + 현재 상태 한 줄 Variant를 사용.</x:v>
      </x:c>
      <x:c r="C8" s="990"/>
      <x:c r="D8" s="990"/>
      <x:c r="E8" s="990"/>
      <x:c r="F8" s="990"/>
      <x:c r="G8" s="990"/>
      <x:c r="H8" s="990"/>
      <x:c r="I8" s="990"/>
      <x:c r="J8" s="990"/>
      <x:c r="K8" s="990"/>
      <x:c r="L8" s="990"/>
      <x:c r="M8" s="990"/>
      <x:c r="N8" s="990"/>
      <x:c r="O8" s="990"/>
      <x:c r="P8" s="990"/>
      <x:c r="Q8" s="990"/>
      <x:c r="R8" s="990"/>
    </x:row>
    <x:row r="9" ht="36" hidden="0" customHeight="1">
      <x:c r="A9" s="990" t="str">
        <x:v>Character</x:v>
      </x:c>
      <x:c r="B9" s="990" t="str">
        <x:v>감정 장면도 준비 작업 속에서 발생. 폭풍 준비를 멈추고 '대화만 하는 시간'처럼 보이지 않게 한다.</x:v>
      </x:c>
      <x:c r="C9" s="990"/>
      <x:c r="D9" s="990"/>
      <x:c r="E9" s="990"/>
      <x:c r="F9" s="990"/>
      <x:c r="G9" s="990"/>
      <x:c r="H9" s="990"/>
      <x:c r="I9" s="990"/>
      <x:c r="J9" s="990"/>
      <x:c r="K9" s="990"/>
      <x:c r="L9" s="990"/>
      <x:c r="M9" s="990"/>
      <x:c r="N9" s="990"/>
      <x:c r="O9" s="990"/>
      <x:c r="P9" s="990"/>
      <x:c r="Q9" s="990"/>
      <x:c r="R9" s="990"/>
    </x:row>
    <x:row r="10" ht="36" hidden="0" customHeight="1">
      <x:c r="A10" s="990" t="str">
        <x:v>D13 비극</x:v>
      </x:c>
      <x:c r="B10" s="990" t="str">
        <x:v>플레이어가 샘의 선택을 직접 누르지 않는다. 낮의 선택은 샘이 사건을 해석하는 방식만 바꾼다.</x:v>
      </x:c>
      <x:c r="C10" s="990"/>
      <x:c r="D10" s="990"/>
      <x:c r="E10" s="990"/>
      <x:c r="F10" s="990"/>
      <x:c r="G10" s="990"/>
      <x:c r="H10" s="990"/>
      <x:c r="I10" s="990"/>
      <x:c r="J10" s="990"/>
      <x:c r="K10" s="990"/>
      <x:c r="L10" s="990"/>
      <x:c r="M10" s="990"/>
      <x:c r="N10" s="990"/>
      <x:c r="O10" s="990"/>
      <x:c r="P10" s="990"/>
      <x:c r="Q10" s="990"/>
      <x:c r="R10" s="990"/>
    </x:row>
    <x:row r="11" ht="36" hidden="0" customHeight="1">
      <x:c r="A11" s="990" t="str">
        <x:v>D14</x:v>
      </x:c>
      <x:c r="B11" s="990" t="str">
        <x:v>새로운 큰 Route 선택보다 '무엇을 마지막으로 손댈 것인가'와 작별의 감각을 강조.</x:v>
      </x:c>
      <x:c r="C11" s="990"/>
      <x:c r="D11" s="990"/>
      <x:c r="E11" s="990"/>
      <x:c r="F11" s="990"/>
      <x:c r="G11" s="990"/>
      <x:c r="H11" s="990"/>
      <x:c r="I11" s="990"/>
      <x:c r="J11" s="990"/>
      <x:c r="K11" s="990"/>
      <x:c r="L11" s="990"/>
      <x:c r="M11" s="990"/>
      <x:c r="N11" s="990"/>
      <x:c r="O11" s="990"/>
      <x:c r="P11" s="990"/>
      <x:c r="Q11" s="990"/>
      <x:c r="R11" s="990"/>
    </x:row>
    <x:row r="12" ht="15" hidden="0" customHeight="1">
      <x:c r="A12" s="990"/>
      <x:c r="B12" s="990"/>
      <x:c r="C12" s="990"/>
      <x:c r="D12" s="990"/>
      <x:c r="E12" s="990"/>
      <x:c r="F12" s="990"/>
      <x:c r="G12" s="990"/>
      <x:c r="H12" s="990"/>
      <x:c r="I12" s="990"/>
      <x:c r="J12" s="990"/>
      <x:c r="K12" s="990"/>
      <x:c r="L12" s="990"/>
      <x:c r="M12" s="990"/>
      <x:c r="N12" s="990"/>
      <x:c r="O12" s="990"/>
      <x:c r="P12" s="990"/>
      <x:c r="Q12" s="990"/>
      <x:c r="R12" s="990"/>
    </x:row>
    <x:row r="13" ht="26" hidden="0" customHeight="1">
      <x:c r="A13" s="1007" t="str">
        <x:v>2. D8~14 실제 로그 원고</x:v>
      </x:c>
      <x:c r="B13" s="1007"/>
      <x:c r="C13" s="1007"/>
      <x:c r="D13" s="1007"/>
      <x:c r="E13" s="1007"/>
      <x:c r="F13" s="1007"/>
      <x:c r="G13" s="1007"/>
      <x:c r="H13" s="1007"/>
      <x:c r="I13" s="1007"/>
      <x:c r="J13" s="1007"/>
      <x:c r="K13" s="1007"/>
      <x:c r="L13" s="1007"/>
      <x:c r="M13" s="1007"/>
      <x:c r="N13" s="1007"/>
      <x:c r="O13" s="1007"/>
      <x:c r="P13" s="1007"/>
      <x:c r="Q13" s="1007"/>
      <x:c r="R13" s="1007"/>
    </x:row>
    <x:row r="14" ht="30" hidden="0" customHeight="1">
      <x:c r="A14" s="1012" t="str">
        <x:v>ActionID</x:v>
      </x:c>
      <x:c r="B14" s="1012" t="str">
        <x:v>Day</x:v>
      </x:c>
      <x:c r="C14" s="1012" t="str">
        <x:v>Scene</x:v>
      </x:c>
      <x:c r="D14" s="1012" t="str">
        <x:v>형식</x:v>
      </x:c>
      <x:c r="E14" s="1012" t="str">
        <x:v>도입 본문/대화</x:v>
      </x:c>
      <x:c r="F14" s="1012" t="str">
        <x:v>선택 A — 표시</x:v>
      </x:c>
      <x:c r="G14" s="1012" t="str">
        <x:v>Hover A</x:v>
      </x:c>
      <x:c r="H14" s="1012" t="str">
        <x:v>선택 후 A 본문</x:v>
      </x:c>
      <x:c r="I14" s="1012" t="str">
        <x:v>선택 B — 표시</x:v>
      </x:c>
      <x:c r="J14" s="1012" t="str">
        <x:v>Hover B</x:v>
      </x:c>
      <x:c r="K14" s="1012" t="str">
        <x:v>선택 후 B 본문</x:v>
      </x:c>
      <x:c r="L14" s="1012" t="str">
        <x:v>선택 C/기타</x:v>
      </x:c>
      <x:c r="M14" s="1012" t="str">
        <x:v>Hover C</x:v>
      </x:c>
      <x:c r="N14" s="1012" t="str">
        <x:v>선택 후 C 본문</x:v>
      </x:c>
      <x:c r="O14" s="1012" t="str">
        <x:v>공통 결말</x:v>
      </x:c>
      <x:c r="P14" s="1012" t="str">
        <x:v>내부 Flag/기억</x:v>
      </x:c>
      <x:c r="Q14" s="1012" t="str">
        <x:v>상태</x:v>
      </x:c>
      <x:c r="R14" s="1012" t="str">
        <x:v>메모</x:v>
      </x:c>
    </x:row>
    <x:row r="15" ht="156" hidden="0" customHeight="1">
      <x:c r="A15" s="990" t="str">
        <x:v>W2D8_01</x:v>
      </x:c>
      <x:c r="B15" s="990" t="n">
        <x:v>8</x:v>
      </x:c>
      <x:c r="C15" s="990" t="str">
        <x:v>샌드웜이 도망간 방향</x:v>
      </x:c>
      <x:c r="D15" s="990" t="str">
        <x:v>비인물+사람/Main</x:v>
      </x:c>
      <x:c r="E15" s="990" t="str">
        <x:v>땅이 먼저 울렸다.
거주지 바깥 모래가 길게 갈라지고, 거대한 등이 잠깐 지면 위로 솟았다. 사람들은 비명을 질렀지만 샌드웜은 정착지 쪽을 보지도 않았다.
놈은 그대로 반대편 사구를 넘어 사라졌다.
샘 - …우릴 공격한 게 아니네.
보리치 - 도망간 거야.
제이 - 뭘 피해서?</x:v>
      </x:c>
      <x:c r="F15" s="990" t="str">
        <x:v>[3시간] 샌드웜이 사라진 방향과 관측 기록을 추적한다.</x:v>
      </x:c>
      <x:c r="G15" s="990" t="str">
        <x:v>시간 -3h / W2 폭풍 조사 진행 / 보리치 Character Event 오픈</x:v>
      </x:c>
      <x:c r="H15" s="990" t="str">
        <x:v>발자국 대신 모래가 꺼진 긴 흔적이 남아 있었다.
보리치는 풍속 기록을 겹쳐 보다가 손을 멈췄다.
보리치 - 이 방향…
제이 - 알아?
보리치 - 비슷한 걸 본 적 있어.
그의 목소리가 갑자기 작아졌다.</x:v>
      </x:c>
      <x:c r="I15" s="990" t="str"/>
      <x:c r="J15" s="990" t="str"/>
      <x:c r="K15" s="990" t="str"/>
      <x:c r="L15" s="990" t="str"/>
      <x:c r="M15" s="990" t="str"/>
      <x:c r="N15" s="990" t="str">
        <x:v>샘 - 오늘 안에 답을 내야 해?
보리치 - 아니.
보리치가 화면에서 눈을 떼지 않은 채 말했다.
보리치 - 그런데 늦게 내면 의미가 없을 수도 있어.</x:v>
      </x:c>
      <x:c r="O15" s="990" t="str">
        <x:v>STORM_TRACE_OPEN</x:v>
      </x:c>
      <x:c r="P15" s="990" t="str">
        <x:v>확정원고 후보</x:v>
      </x:c>
      <x:c r="Q15" s="990" t="str">
        <x:v>샌드웜은 공격자가 아니라 경보 장치처럼 기능.</x:v>
      </x:c>
      <x:c r="R15" s="990"/>
    </x:row>
    <x:row r="16" ht="180" hidden="0" customHeight="1">
      <x:c r="A16" s="990" t="str">
        <x:v>W2D8_02</x:v>
      </x:c>
      <x:c r="B16" s="990" t="n">
        <x:v>8</x:v>
      </x:c>
      <x:c r="C16" s="990" t="str">
        <x:v>보리치 — 한 번만 더 볼 것인가</x:v>
      </x:c>
      <x:c r="D16" s="990" t="str">
        <x:v>사람/Pivot</x:v>
      </x:c>
      <x:c r="E16" s="990" t="str">
        <x:v>관측지에 남은 건 제이와 보리치뿐이었다.
보리치는 같은 구간을 세 번째 재생하다가 손을 내렸다.
보리치 - 오늘은 그만할래.
제이 - 괜찮아?
보리치 - 아니. 그래서 그만하는 거야.</x:v>
      </x:c>
      <x:c r="F16" s="990" t="str">
        <x:v>「오늘은 여기까지 하자. 기록은 내가 보관할게.」</x:v>
      </x:c>
      <x:c r="G16" s="990" t="str">
        <x:v>보리치 호감도 +1 / 폭풍 확정 지연</x:v>
      </x:c>
      <x:c r="H16" s="990" t="str">
        <x:v>제이 - 오늘은 여기까지 하자. 기록은 내가 보관할게. 네가 다시 볼 수 있을 때 보자.
보리치는 처음으로 관측기에서 손을 뗐다.
보리치 - …고맙다는 말은 다음에 할게.
제이 - 안 해도 돼.
보리치 - 그 말도 다음에 판단할게.</x:v>
      </x:c>
      <x:c r="I16" s="990" t="str">
        <x:v>「한 번만 더 같이 보자. 네가 혼자 보게 두진 않을게.」</x:v>
      </x:c>
      <x:c r="J16" s="990" t="str">
        <x:v>기술XP +3 / 보리치 호감도 -1 / 폭풍 단서 즉시</x:v>
      </x:c>
      <x:c r="K16" s="990" t="str">
        <x:v>제이 - 한 번만 더 같이 보자. 네가 혼자 보게 두진 않을게. 지금 놓치면 다음엔 아무도 못 볼 수도 있어.
보리치는 눈을 감았다가 다시 화면을 켰다.
몇 분 뒤 먼지층의 이동이 하나의 곡선으로 이어졌다.
보리치 - 폭풍이야.
제이 - 규모는?
보리치 - 우리가 지금까지 본 것보다 커.
보리치 - …필요할 때만 내가 사람이 아니라 관측기가 되는 기분이네.</x:v>
      </x:c>
      <x:c r="L16" s="990" t="str"/>
      <x:c r="M16" s="990" t="str"/>
      <x:c r="N16" s="990" t="str"/>
      <x:c r="O16" s="990" t="str">
        <x:v>어느 쪽이든 그날 밤까지 결론은 나왔다.
사구 너머에서 거대한 모래폭풍이 접근하고 있다.</x:v>
      </x:c>
      <x:c r="P16" s="990" t="str">
        <x:v>BORICHI_STORM_PIVOT</x:v>
      </x:c>
      <x:c r="Q16" s="990" t="str">
        <x:v>확정원고 후보</x:v>
      </x:c>
      <x:c r="R16" s="990" t="str">
        <x:v>A는 지연 Variant. Main 진행은 막히지 않음.</x:v>
      </x:c>
    </x:row>
    <x:row r="17" ht="108" hidden="0" customHeight="1">
      <x:c r="A17" s="990" t="str">
        <x:v>W2D8_03</x:v>
      </x:c>
      <x:c r="B17" s="990" t="n">
        <x:v>8</x:v>
      </x:c>
      <x:c r="C17" s="990" t="str">
        <x:v>샘 — 무엇부터 준비할 것인가</x:v>
      </x:c>
      <x:c r="D17" s="990" t="str">
        <x:v>사람/Main</x:v>
      </x:c>
      <x:c r="E17" s="990" t="str">
        <x:v>샘은 종이 대신 벽을 쓰기 시작했다.
`사람 / 물 / 산소 / 전력 / 출입구 / 외부 자산`
제이 - 벌써 다 적었네.
샘 - 적는 건 쉬워.
샘 - 문제는 다 못 한다는 거지.</x:v>
      </x:c>
      <x:c r="F17" s="990" t="str">
        <x:v>「사람이 들어갈 곳부터. 수송선을 피난처로 쓸 수 있는지 확인하자.」</x:v>
      </x:c>
      <x:c r="G17" s="990" t="str">
        <x:v>대피 계획 Seed / 다음날 Ship Main 오픈</x:v>
      </x:c>
      <x:c r="H17" s="990" t="str">
        <x:v>제이 - 사람이 들어갈 곳부터. 수송선을 피난처로 쓸 수 있는지 확인하자.
샘 - 나도 그 생각이야.
샘은 벽의 맨 위에 `배`라고 적었다.
샘 - 고향이 될지 탈출선이 될지는 나중 문제고, 일단 폭풍을 버틸 지붕은 필요해.</x:v>
      </x:c>
      <x:c r="I17" s="990" t="str"/>
      <x:c r="J17" s="990" t="str"/>
      <x:c r="K17" s="990" t="str"/>
      <x:c r="L17" s="990" t="str"/>
      <x:c r="M17" s="990" t="str"/>
      <x:c r="N17" s="990" t="str">
        <x:v>그날부터 수송선은 더 이상 과거의 잔해만은 아니었다.
며칠 뒤 사람들을 살릴 피난처가 될 수도 있는 물건이 됐다.</x:v>
      </x:c>
      <x:c r="O17" s="990" t="str">
        <x:v>SHELTER_PLAN_SEED</x:v>
      </x:c>
      <x:c r="P17" s="990" t="str">
        <x:v>확정원고 후보</x:v>
      </x:c>
      <x:c r="Q17" s="990" t="str">
        <x:v>W2 전략 목표를 서사적으로 명료화.</x:v>
      </x:c>
      <x:c r="R17" s="990"/>
    </x:row>
    <x:row r="18" ht="108" hidden="0" customHeight="1">
      <x:c r="A18" s="990" t="str">
        <x:v>W2D8_06</x:v>
      </x:c>
      <x:c r="B18" s="990" t="n">
        <x:v>8</x:v>
      </x:c>
      <x:c r="C18" s="990" t="str">
        <x:v>야간조 — 밤에도 누군가는 일한다</x:v>
      </x:c>
      <x:c r="D18" s="990" t="str">
        <x:v>사람/Side</x:v>
      </x:c>
      <x:c r="E18" s="990" t="str">
        <x:v>해가 진 뒤에도 수송선 외부등 몇 개가 켜져 있었다.
야간조 대표 - 낮에 많이 놀랐지?
제이 - 샌드웜 말이야?
야간조 대표 - 아니. 일이 두 배로 늘어난 거.
그는 웃으며 고정핀을 하나 더 박았다.</x:v>
      </x:c>
      <x:c r="F18" s="990" t="str">
        <x:v>[1시간] 야간 준비를 같이 확인한다.</x:v>
      </x:c>
      <x:c r="G18" s="990" t="str">
        <x:v>시간 -1h / 야간조 기억 +1</x:v>
      </x:c>
      <x:c r="H18" s="990" t="str">
        <x:v>제이는 조명, 로프, 외부 작업자 호출 순서를 같이 확인했다.
야간조 대표 - 밤이라고 일 안 생기는 건 아니니까.
제이 - 위험하면 바로 들어와.
야간조 대표 - 그 말은 낮에 일하는 사람한테도 해.</x:v>
      </x:c>
      <x:c r="I18" s="990" t="str">
        <x:v>그냥 돌아간다.</x:v>
      </x:c>
      <x:c r="J18" s="990" t="str">
        <x:v>변화 없음</x:v>
      </x:c>
      <x:c r="K18" s="990" t="str">
        <x:v>제이 - 오늘은 일찍 들어가.
야간조 대표 - 노력은 해볼게.
말투를 보니 별로 그럴 생각은 없어 보였다.</x:v>
      </x:c>
      <x:c r="L18" s="990" t="str"/>
      <x:c r="M18" s="990" t="str"/>
      <x:c r="N18" s="990" t="str"/>
      <x:c r="O18" s="990" t="str">
        <x:v>밤이 깊어져도 수송선 바깥에는 작은 불빛이 몇 개 남아 있었다.</x:v>
      </x:c>
      <x:c r="P18" s="990" t="str">
        <x:v>NIGHT_SHIFT_SEEN_D8</x:v>
      </x:c>
      <x:c r="Q18" s="990" t="str">
        <x:v>확정원고 후보</x:v>
      </x:c>
      <x:c r="R18" s="990" t="str">
        <x:v>대표 이름은 아직 쓰지 않음.</x:v>
      </x:c>
    </x:row>
    <x:row r="19" ht="132" hidden="0" customHeight="1">
      <x:c r="A19" s="990" t="str">
        <x:v>W2D9_01</x:v>
      </x:c>
      <x:c r="B19" s="990" t="n">
        <x:v>9</x:v>
      </x:c>
      <x:c r="C19" s="990" t="str">
        <x:v>수송선을 피난처로 만든다</x:v>
      </x:c>
      <x:c r="D19" s="990" t="str">
        <x:v>사람/Main</x:v>
      </x:c>
      <x:c r="E19" s="990" t="str">
        <x:v>함교 회의 테이블에는 배의 단면도가 펼쳐져 있었다.
페이 - 정상 운항 기준으로 보면 답 없어.
벤자민 - 누가 운항한대? 안 죽으면 되는 거지.
샘 - 그럼 기준을 바꾸자.
샘은 펜으로 선을 그었다.
샘 - 폭풍 동안 사람들이 안에서 살아남을 수 있느냐.</x:v>
      </x:c>
      <x:c r="F19" s="990" t="str">
        <x:v>[2시간] 피난 계획을 확정한다.</x:v>
      </x:c>
      <x:c r="G19" s="990" t="str">
        <x:v>시간 -2h / D14 봉쇄 계획 오픈 / 핵심 피난 시설 표시</x:v>
      </x:c>
      <x:c r="H19" s="990" t="str">
        <x:v>산소, 전력, 거주구역, 출입구.
필요한 것만 적어도 목록은 길었다.
페이 - 이거 다 고칠 시간 없어.
벤자민 - 그래서 뭘 버릴지 정하는 거야.
샘은 제이를 봤다.
샘 - 이번 주 내내 그 얘기만 하게 될 것 같네.</x:v>
      </x:c>
      <x:c r="I19" s="990" t="str"/>
      <x:c r="J19" s="990" t="str"/>
      <x:c r="K19" s="990" t="str"/>
      <x:c r="L19" s="990" t="str"/>
      <x:c r="M19" s="990" t="str"/>
      <x:c r="N19" s="990" t="str">
        <x:v>계획표 맨 아래에는 빈 칸이 하나 남았다.
`폭풍 이후`
아무도 거기에 뭘 적지 않았다.</x:v>
      </x:c>
      <x:c r="O19" s="990" t="str">
        <x:v>EVAC_PLAN_ACTIVE</x:v>
      </x:c>
      <x:c r="P19" s="990" t="str">
        <x:v>확정원고 후보</x:v>
      </x:c>
      <x:c r="Q19" s="990" t="str">
        <x:v>출항/정착보다 당장 피난이 먼저.</x:v>
      </x:c>
      <x:c r="R19" s="990"/>
    </x:row>
    <x:row r="20" ht="30" hidden="0" customHeight="1">
      <x:c r="A20" s="998" t="str">
        <x:v>W2D9_02</x:v>
      </x:c>
      <x:c r="B20" s="998" t="n">
        <x:v>9</x:v>
      </x:c>
      <x:c r="C20" s="998" t="str">
        <x:v>피난 시설 상태 점검</x:v>
      </x:c>
      <x:c r="D20" s="998" t="str">
        <x:v>비인물/Main</x:v>
      </x:c>
      <x:c r="E20" s="998" t="str">
        <x:v>산소 장치는 돌아가지만 출력이 고르지 않다.
거주구역은 사람이 늘어나면 환기와 난방이 모자란다.
엔진은 이동하지 않아도 전력을 공급해야 한다.
'배가 움직이느냐'보다 '안에서 사람이 버티느냐'가 더 까다로워 보였다.</x:v>
      </x:c>
      <x:c r="F20" s="998" t="str">
        <x:v>[2시간] 산소·거주·전력의 최소 요구를 표시한다.</x:v>
      </x:c>
      <x:c r="G20" s="998" t="str">
        <x:v>시간 -2h / Shelter 필수 시설 정보 해금 / 수리 우선순위 표시</x:v>
      </x:c>
      <x:c r="H20" s="998" t="str">
        <x:v>제이는 패널 옆에 임시 표식을 붙였다.
`산소 — 반드시`
`거주 — 반드시`
`전력 — 반드시`
함교와 연구실, 다른 장비들은 그 다음이었다.
문제는 '그 다음'까지 갈 시간이 있을지였다.</x:v>
      </x:c>
      <x:c r="I20" s="998" t="str">
        <x:v>[기술 ≥ 4 / 2시간] 손상 원인을 세부 진단한다.</x:v>
      </x:c>
      <x:c r="J20" s="998" t="str">
        <x:v>시간 -2h / 기술XP +1 / 시설별 다음 수리 효과 상세 표시</x:v>
      </x:c>
      <x:c r="K20" s="998" t="str">
        <x:v>고장이라는 말로 묶였던 것들이 조금씩 다른 문제로 보이기 시작했다.
막힌 필터, 죽은 릴레이, 갈라진 배선.
수리는 여전히 많았지만, 적어도 헛손질은 줄일 수 있었다.</x:v>
      </x:c>
      <x:c r="L20" s="998" t="str"/>
      <x:c r="M20" s="998" t="str"/>
      <x:c r="N20" s="998" t="str"/>
      <x:c r="O20" s="998" t="str">
        <x:v>이제 수리 버튼을 누를 때마다 무엇을 포기하는지도 더 잘 보일 것이다.</x:v>
      </x:c>
      <x:c r="P20" s="998" t="str">
        <x:v>SHELTER_FACILITY_READ</x:v>
      </x:c>
      <x:c r="Q20" s="998" t="str">
        <x:v>확정원고 후보</x:v>
      </x:c>
      <x:c r="R20" s="998" t="str">
        <x:v>W3 시설 시스템 튜토리얼 역할.</x:v>
      </x:c>
    </x:row>
    <x:row r="21" ht="204" hidden="0" customHeight="1">
      <x:c r="A21" s="990" t="str">
        <x:v>W2D9_03</x:v>
      </x:c>
      <x:c r="B21" s="990" t="n">
        <x:v>9</x:v>
      </x:c>
      <x:c r="C21" s="990" t="str">
        <x:v>페이 — 배 전체에 음악을 보내는 법</x:v>
      </x:c>
      <x:c r="D21" s="990" t="str">
        <x:v>사람/Pivot</x:v>
      </x:c>
      <x:c r="E21" s="990" t="str">
        <x:v>엔진실에서 잡음이 한 번 튀었다.
잠시 뒤 함교 스피커에서 같은 소리가 났다.
페이 - …잠깐.
페이는 다시 노브를 돌렸다. 이번에는 짧은 신시사이저 음이 함교 전체에 울렸다.
제이 - 방금 네 거지?
페이 - 쉿.
둘은 동시에 웃었다.
그리고 같은 증폭 부품이 피난용 리피터 목록에도 있다는 걸 발견했다.</x:v>
      </x:c>
      <x:c r="F21" s="990" t="str">
        <x:v>[2시간] 「이 회선은 남겨두자. 사람 사는 데도 이런 건 필요해.」</x:v>
      </x:c>
      <x:c r="G21" s="990" t="str">
        <x:v>시간 -2h / 기술XP +1 / 페이 호감도 +1 / 음악 회선 유지</x:v>
      </x:c>
      <x:c r="H21" s="990" t="str">
        <x:v>제이 - 이 회선은 남겨두자. 지금 당장 필요 없어 보여도, 사람 사는 데도 이런 건 필요해.
페이 - 그 말 나중에 후회하지 마.
제이 - 왜?
페이 - 내가 진짜 크게 틀 수도 있으니까.</x:v>
      </x:c>
      <x:c r="I21" s="990" t="str">
        <x:v>[2시간] 「부품은 피난 설비로 돌리자. 음악은 나중에 다시 만들 수 있어.」</x:v>
      </x:c>
      <x:c r="J21" s="990" t="str">
        <x:v>시간 -2h / 기술XP +3 / 페이 호감도 -2 / 음악 회선 손상 / 피난 설비 작업 보조</x:v>
      </x:c>
      <x:c r="K21" s="990" t="str">
        <x:v>제이 - 부품은 피난 설비로 돌리자. 음악은 나중에 다시 만들 수 있어.
페이는 잠깐 대답하지 않았다.
그리고 직접 증폭기를 분해했다.
페이 - 맞는 말이라 더 짜증 나네.
제이 - 미안.
페이 - 사과하면 부품 생겨?</x:v>
      </x:c>
      <x:c r="L21" s="990" t="str"/>
      <x:c r="M21" s="990" t="str"/>
      <x:c r="N21" s="990" t="str"/>
      <x:c r="O21" s="990" t="str">
        <x:v>함교 스피커는 다시 평범한 경고음만 냈다.
다만 제이는 한 번 들은 음을 기억하고 있었다.</x:v>
      </x:c>
      <x:c r="P21" s="990" t="str">
        <x:v>AUDIO_LINK_READY / AUDIO_LINK_DAMAGED</x:v>
      </x:c>
      <x:c r="Q21" s="990" t="str">
        <x:v>확정원고 후보</x:v>
      </x:c>
      <x:c r="R21" s="990" t="str">
        <x:v>D13 복구 여부와 D18 공연으로 회수.</x:v>
      </x:c>
    </x:row>
    <x:row r="22" ht="108" hidden="0" customHeight="1">
      <x:c r="A22" s="990" t="str">
        <x:v>W2D9_04</x:v>
      </x:c>
      <x:c r="B22" s="990" t="n">
        <x:v>9</x:v>
      </x:c>
      <x:c r="C22" s="990" t="str">
        <x:v>샘 — 잠깐만 같이 보자</x:v>
      </x:c>
      <x:c r="D22" s="990" t="str">
        <x:v>사람/Character</x:v>
      </x:c>
      <x:c r="E22" s="990" t="str">
        <x:v>샘 - 이 대피표 좀 봐줄래?
제이 - 또 검토?
샘 - 이번엔 진짜 검토.
제이 - 지난번엔 가짜였어?
샘 - 지난번엔… 그냥 누가 옆에 있었으면 했던 거고.</x:v>
      </x:c>
      <x:c r="F22" s="990" t="str">
        <x:v>[2시간 / 의지 -1] 대피 우선순위를 같이 검토한다.</x:v>
      </x:c>
      <x:c r="G22" s="990" t="str">
        <x:v>시간 -2h / 의지 -1 / 샘 호감도 +1 / 부담 -1</x:v>
      </x:c>
      <x:c r="H22" s="990" t="str">
        <x:v>이름 옆에 숫자를 붙이는 일이 생각보다 오래 걸렸다.
아이, 부상자, 야간조, 시설 담당.
샘 - 사람을 표로 만들면 좀 덜 무서울 줄 알았어.
제이 - 어때?
샘 - 더 무서운데.</x:v>
      </x:c>
      <x:c r="I22" s="990" t="str">
        <x:v>「표는 괜찮아. 네 판단대로 진행해.」</x:v>
      </x:c>
      <x:c r="J22" s="990" t="str">
        <x:v>시간 소모 없음 / 샘 부담 +1</x:v>
      </x:c>
      <x:c r="K22" s="990" t="str">
        <x:v>제이 - 표는 괜찮아. 네 판단대로 진행해.
샘 - 응.
그는 바로 일어나 다음 사람을 부르기 시작했다.
효율적이었고, 그래서 조금 더 혼자처럼 보였다.</x:v>
      </x:c>
      <x:c r="L22" s="990" t="str"/>
      <x:c r="M22" s="990" t="str"/>
      <x:c r="N22" s="990" t="str"/>
      <x:c r="O22" s="990" t="str">
        <x:v>벽에는 사람 이름이 점점 더 많이 붙었다.</x:v>
      </x:c>
      <x:c r="P22" s="990" t="str">
        <x:v>SAM_W2_BURDEN</x:v>
      </x:c>
      <x:c r="Q22" s="990" t="str">
        <x:v>확정원고 후보</x:v>
      </x:c>
      <x:c r="R22" s="990" t="str">
        <x:v>D13까지 부담 누적의 중간 Beat.</x:v>
      </x:c>
    </x:row>
    <x:row r="23" ht="30" hidden="0" customHeight="1">
      <x:c r="A23" s="998" t="str">
        <x:v>W2D9_08</x:v>
      </x:c>
      <x:c r="B23" s="998" t="n">
        <x:v>9</x:v>
      </x:c>
      <x:c r="C23" s="998" t="str">
        <x:v>야간조 — 반복되는 밤</x:v>
      </x:c>
      <x:c r="D23" s="998" t="str">
        <x:v>사람/Side</x:v>
      </x:c>
      <x:c r="E23" s="998" t="str">
        <x:v>야간조 대표는 전날과 같은 자리에서 다른 볼트를 조이고 있었다.
제이 - 매일 여기 있어?
야간조 대표 - 매일은 아니고, 일이 있을 때.
제이 - 매일이네.
야간조 대표 - 이제 이해했네.</x:v>
      </x:c>
      <x:c r="F23" s="998" t="str">
        <x:v>[1시간] 야간 점검표를 같이 본다.</x:v>
      </x:c>
      <x:c r="G23" s="998" t="str">
        <x:v>시간 -1h / 야간조 기억 +1</x:v>
      </x:c>
      <x:c r="H23" s="998" t="str">
        <x:v>외부 작업은 두 명 이상, 호출 장치 항상 켜기, 혼자 멀리 나가지 않기.
제이 - 이 규칙은 꼭 지켜.
야간조 대표 - 그러려고 규칙을 만든 거지.
그는 아무렇지 않게 체크 표시를 했다.</x:v>
      </x:c>
      <x:c r="I23" s="998" t="str"/>
      <x:c r="J23" s="998" t="str"/>
      <x:c r="K23" s="998" t="str"/>
      <x:c r="L23" s="998" t="str"/>
      <x:c r="M23" s="998" t="str"/>
      <x:c r="N23" s="998" t="str">
        <x:v>평범한 규칙은 사건이 일어나기 전까진 너무 평범해서 기억에 남지 않는다.</x:v>
      </x:c>
      <x:c r="O23" s="998" t="str">
        <x:v>NIGHT_SHIFT_SEEN_D9</x:v>
      </x:c>
      <x:c r="P23" s="998" t="str">
        <x:v>확정원고 후보</x:v>
      </x:c>
      <x:c r="Q23" s="998" t="str">
        <x:v>D13 사건의 규칙 위반이 아니라 동시사고로 인한 한계로 보이게 함.</x:v>
      </x:c>
      <x:c r="R23" s="998"/>
    </x:row>
    <x:row r="24" ht="132" hidden="0" customHeight="1">
      <x:c r="A24" s="990" t="str">
        <x:v>W2D10_01</x:v>
      </x:c>
      <x:c r="B24" s="990" t="n">
        <x:v>10</x:v>
      </x:c>
      <x:c r="C24" s="990" t="str">
        <x:v>사람과 물자를 배 안으로 옮긴다</x:v>
      </x:c>
      <x:c r="D24" s="990" t="str">
        <x:v>사람+비인물/Main</x:v>
      </x:c>
      <x:c r="E24" s="990" t="str">
        <x:v>대피는 '사람을 옮기면 끝'이 아니었다.
아이들 침구, 약, 식수통, 충전기, 조리도구, 의료 기록.
사람마다 꼭 필요하다고 말하는 물건이 하나씩 더 있었다.
샘 - 다 가져가면 배가 창고가 돼.
디야 - 다 버리면 배가 감옥이 되고.</x:v>
      </x:c>
      <x:c r="F24" s="990" t="str">
        <x:v>[2시간] 필수 물자와 이동 동선을 정리한다.</x:v>
      </x:c>
      <x:c r="G24" s="990" t="str">
        <x:v>시간 -2h / 대피 준비 진행 / D14 수용량 정보 갱신</x:v>
      </x:c>
      <x:c r="H24" s="990" t="str">
        <x:v>통로에는 색 테이프가 붙고, 물자에는 번호가 생겼다.
제이 - 빨간 선은 비상통로. 여긴 절대 막지 마.
미라 - 파란 선은?
디야 - 네가 따라다니면 안 되는 선.
미라 - 그럼 노란 선은?
샘 - …색 하나 더 줄일까?</x:v>
      </x:c>
      <x:c r="I24" s="990" t="str"/>
      <x:c r="J24" s="990" t="str"/>
      <x:c r="K24" s="990" t="str"/>
      <x:c r="L24" s="990" t="str"/>
      <x:c r="M24" s="990" t="str"/>
      <x:c r="N24" s="990" t="str">
        <x:v>준비가 조금 나아질수록 정착지는 조금씩 비어 보였다.</x:v>
      </x:c>
      <x:c r="O24" s="990" t="str">
        <x:v>EVAC_LOGISTICS_1</x:v>
      </x:c>
      <x:c r="P24" s="990" t="str">
        <x:v>확정원고 후보</x:v>
      </x:c>
      <x:c r="Q24" s="990" t="str">
        <x:v>D10 Mira 사건 직전 일상 노출.</x:v>
      </x:c>
      <x:c r="R24" s="990"/>
    </x:row>
    <x:row r="25" ht="30" hidden="0" customHeight="1">
      <x:c r="A25" s="998" t="str">
        <x:v>W2D10_02_03</x:v>
      </x:c>
      <x:c r="B25" s="998" t="n">
        <x:v>10</x:v>
      </x:c>
      <x:c r="C25" s="998" t="str">
        <x:v>모래폭풍 뒤 미라가 사라진다</x:v>
      </x:c>
      <x:c r="D25" s="998" t="str">
        <x:v>비인물+사람/Emergency</x:v>
      </x:c>
      <x:c r="E25" s="998" t="str">
        <x:v>짧은 모래폭풍이 정착지 외곽을 훑고 지나갔다.
사람들이 다시 밖으로 나왔을 때 가장 먼저 이상한 건, 발자국이 전부 사라졌다는 것이었다.
지나 - 미라?
대답이 없었다.
디야 - 아까 저쪽에서 놀고 있었어.
제이는 바람이 덮어버린 모래와 주변 물건의 위치를 번갈아 봤다.
제이 - 흔적이 없는 거지, 없어졌다는 뜻은 아니야.</x:v>
      </x:c>
      <x:c r="F25" s="998" t="str">
        <x:v>[기술/관찰 경로 / 2시간] 바람 뒤에 남은 작은 흔적을 따라 직접 수색한다.</x:v>
      </x:c>
      <x:c r="G25" s="998" t="str">
        <x:v>시간 -2h / 미라 발견 / 지나 호감도 +1 / 기술XP +1</x:v>
      </x:c>
      <x:c r="H25" s="998" t="str">
        <x:v>발자국은 없었지만 흔적이 전부 사라진 건 아니었다.
모래고래 장난감의 철사 한 조각, 바람을 등진 천 조각, 낮은 바위 뒤에 쌓인 새 모래.
제이는 하나씩 방향을 맞췄다.
바위 그늘 뒤에서 미라가 웅크린 채 발견됐다.
미라 - 길이 없어졌어.
제이 - 길이 없어진 게 아니라, 우리가 다시 찾은 거야.</x:v>
      </x:c>
      <x:c r="I25" s="998" t="str">
        <x:v>[3시간] 사람들을 나눠 구역별로 수색한다.</x:v>
      </x:c>
      <x:c r="J25" s="998" t="str">
        <x:v>시간 -3h / 미라 발견 / 지나 호감도 +1</x:v>
      </x:c>
      <x:c r="K25" s="998" t="str">
        <x:v>제이는 혼자 찾는 대신 대피 인원을 몇 조로 나눴다.
바람 방향과 마지막 목격 위치를 기준으로 구역을 좁혔다.
세 번째 구역에서 미라의 대답이 돌아왔다.
지나는 고맙다는 말 대신 아이를 오래 끌어안았다.</x:v>
      </x:c>
      <x:c r="L25" s="998" t="str">
        <x:v>수색을 시작한다.</x:v>
      </x:c>
      <x:c r="M25" s="998" t="str">
        <x:v>미라 수색은 필수 진행 / 구조 실패·지나 희생 Branch 없음</x:v>
      </x:c>
      <x:c r="N25" s="998" t="str">
        <x:v>제이는 다른 일을 미룬 채 수색에 합류했다.
이 사건에서 질문은 미라가 살아남는가가 아니라, 사라진 흔적 속에서 얼마나 빨리 사람을 찾고 다른 준비를 얼마나 미루는가다.</x:v>
      </x:c>
      <x:c r="O25" s="998" t="str">
        <x:v>폭풍이 지나간 모래에는 미라가 걸어간 자리가 남아 있지 않았다. 대신 사람들이 다시 만든 수색 표시가 남았다.</x:v>
      </x:c>
      <x:c r="P25" s="998" t="str">
        <x:v>MIRA_FOUND_BY_JAY</x:v>
      </x:c>
      <x:c r="Q25" s="998" t="str">
        <x:v>확정원고 후보</x:v>
      </x:c>
      <x:c r="R25" s="998" t="str">
        <x:v>Canon v3.1: 발자국 소실→실종→Jay 수색·발견. 모래지옥/희생 Fallback 폐기.</x:v>
      </x:c>
    </x:row>
    <x:row r="26" ht="156" hidden="0" customHeight="1">
      <x:c r="A26" s="990" t="str">
        <x:v>W2D10_04</x:v>
      </x:c>
      <x:c r="B26" s="990" t="n">
        <x:v>10</x:v>
      </x:c>
      <x:c r="C26" s="990" t="str">
        <x:v>지나 — 엄마인가, 대피 책임자인가</x:v>
      </x:c>
      <x:c r="D26" s="990" t="str">
        <x:v>사람/Pivot</x:v>
      </x:c>
      <x:c r="E26" s="990" t="str">
        <x:v>미라는 지나 옷을 놓지 않았다.
멀리서 누군가 소리쳤다.
정착민 - 지나! 서쪽 동선 확인 좀 해줘!
지나가 눈을 감았다가 일어섰다.
지나 - 가야 돼.
제이 - 지금?
지나 - 나 말고 아는 사람이 없어.</x:v>
      </x:c>
      <x:c r="F26" s="990" t="str">
        <x:v>[2시간] 「오늘은 미라 곁에 있어. 네 몫은 다른 사람들이 나눌 수 있어.」</x:v>
      </x:c>
      <x:c r="G26" s="990" t="str">
        <x:v>시간 -2h / 지나 호감도 +1</x:v>
      </x:c>
      <x:c r="H26" s="990" t="str">
        <x:v>제이 - 오늘은 미라 곁에 있어. 네 몫은 다른 사람들이 나눌 수 있어.
지나 - 지금 사람 부족한 거 알잖아.
제이 - 알아.
미라가 지나 손을 더 세게 잡았다.
지나는 한참 뒤 다시 앉았다.
지나 - 오늘만이다.</x:v>
      </x:c>
      <x:c r="I26" s="990" t="str">
        <x:v>「미라는 디야에게 맡기자. 지금 대피 동선을 아는 사람은 너뿐이야.」</x:v>
      </x:c>
      <x:c r="J26" s="990" t="str">
        <x:v>강인함XP +2 / 지나 호감도 -1 / 2h 절약</x:v>
      </x:c>
      <x:c r="K26" s="990" t="str">
        <x:v>제이 - 미라는 디야에게 맡기자. 지금 대피 동선을 아는 사람은 너뿐이야.
지나는 바로 일어났다.
지나 - 그래.
그리고 아주 작게 말했다.
지나 - 너도 결국 내가 필요한 쪽을 먼저 보는구나.</x:v>
      </x:c>
      <x:c r="L26" s="990" t="str"/>
      <x:c r="M26" s="990" t="str"/>
      <x:c r="N26" s="990" t="str"/>
      <x:c r="O26" s="990" t="str">
        <x:v>어느 쪽이든 미라는 살아 있었다.
문제는 이제 살아 있는 사람들이 서로를 어떻게 쓰고, 어떻게 지킬지였다.</x:v>
      </x:c>
      <x:c r="P26" s="990" t="str">
        <x:v>JINA_POST_MIRA_A/B</x:v>
      </x:c>
      <x:c r="Q26" s="990" t="str">
        <x:v>확정원고 후보</x:v>
      </x:c>
      <x:c r="R26" s="990" t="str">
        <x:v>B 후속은 D10~12 2h 회복 Event.</x:v>
      </x:c>
    </x:row>
    <x:row r="27" ht="144" hidden="0" customHeight="1">
      <x:c r="A27" s="990" t="str">
        <x:v>W2D10_08</x:v>
      </x:c>
      <x:c r="B27" s="990" t="n">
        <x:v>10</x:v>
      </x:c>
      <x:c r="C27" s="990" t="str">
        <x:v>벤자민 — 묘지에 마지막으로 손대는 일</x:v>
      </x:c>
      <x:c r="D27" s="990" t="str">
        <x:v>사람/Deepening</x:v>
      </x:c>
      <x:c r="E27" s="990" t="str">
        <x:v>벤자민은 묘지 표식의 이름을 다시 칠하고 있었다.
제이 - 이미 읽히는데.
벤자민 - 폭풍 오면 안 읽힐 수도 있으니까.
제이 - 폭풍 지나고 다시 하면 되잖아.
벤자민 - 지나고 남아 있으면.</x:v>
      </x:c>
      <x:c r="F27" s="990" t="str">
        <x:v>[2시간] 이름과 고정 장치를 함께 손본다.</x:v>
      </x:c>
      <x:c r="G27" s="990" t="str">
        <x:v>시간 -2h / 벤자민 호감도 +1 / 강인함XP +1</x:v>
      </x:c>
      <x:c r="H27" s="990" t="str">
        <x:v>제이는 이름을 다시 새기고 바닥 고정핀을 바꿨다.
벤자민 - 웃기지.
제이 - 뭐가?
벤자민 - 사람은 못 지켰는데 이름은 이렇게까지 지키고 있어.
제이 - 둘 중 하나라도 지키고 싶은 거겠지.
벤자민은 대답하지 않았다.</x:v>
      </x:c>
      <x:c r="I27" s="990" t="str">
        <x:v>「기록판만 챙겨도 되지 않을까?」</x:v>
      </x:c>
      <x:c r="J27" s="990" t="str">
        <x:v>기술XP +1 / 벤자민 호감도 -1</x:v>
      </x:c>
      <x:c r="K27" s="990" t="str">
        <x:v>제이 - 기록판만 챙겨도 되지 않을까?
벤자민 - 그럴 수도 있지.
벤자민은 붓을 내려놓지 않았다.
벤자민 - 아직 나는 아니고.</x:v>
      </x:c>
      <x:c r="L27" s="990" t="str"/>
      <x:c r="M27" s="990" t="str"/>
      <x:c r="N27" s="990" t="str"/>
      <x:c r="O27" s="990" t="str">
        <x:v>멀리 수송선 쪽에서 사람들이 짐을 옮기는 소리가 들렸다.
벤자민은 이번에는 그쪽을 조금 오래 봤다.</x:v>
      </x:c>
      <x:c r="P27" s="990" t="str">
        <x:v>BEN_MASTERY_DEEP</x:v>
      </x:c>
      <x:c r="Q27" s="990" t="str">
        <x:v>확정원고 후보</x:v>
      </x:c>
      <x:c r="R27" s="990" t="str">
        <x:v>D12 Living Ship과 대비.</x:v>
      </x:c>
    </x:row>
    <x:row r="28" ht="132" hidden="0" customHeight="1">
      <x:c r="A28" s="990" t="str">
        <x:v>W2D11_01</x:v>
      </x:c>
      <x:c r="B28" s="990" t="n">
        <x:v>11</x:v>
      </x:c>
      <x:c r="C28" s="990" t="str">
        <x:v>누가 먼저 배에 들어갈 것인가</x:v>
      </x:c>
      <x:c r="D28" s="990" t="str">
        <x:v>사람/Main</x:v>
      </x:c>
      <x:c r="E28" s="990" t="str">
        <x:v>샘 - 부상자 먼저.
디야 - 아이들이 먼저야.
샘 - 아이들은 걸을 수 있어.
디야 - 그래서 더 늦게 보내면 밖에 남아 있어.
제이 - 둘 다 맞아.
샘 - 그 말이 제일 도움 안 돼.</x:v>
      </x:c>
      <x:c r="F28" s="990" t="str">
        <x:v>[2시간] 주민 이동 순서와 물자 담당을 확정한다.</x:v>
      </x:c>
      <x:c r="G28" s="990" t="str">
        <x:v>시간 -2h / 대피 준비 진행</x:v>
      </x:c>
      <x:c r="H28" s="990" t="str">
        <x:v>순서는 결국 완벽하지 않았다.
대신 각자 누구를 데려가고 무엇을 들고 갈지는 정해졌다.
미라 - 나도 뭐 들면 돼?
디야 - 네 가방.
미라 - 그건 내 거잖아.
샘 - 그게 대피의 시작이야.</x:v>
      </x:c>
      <x:c r="I28" s="990" t="str"/>
      <x:c r="J28" s="990" t="str"/>
      <x:c r="K28" s="990" t="str"/>
      <x:c r="L28" s="990" t="str"/>
      <x:c r="M28" s="990" t="str"/>
      <x:c r="N28" s="990" t="str">
        <x:v>계획표에 이름이 하나씩 체크될 때마다 거주지의 시간이 줄어드는 느낌이 들었다.</x:v>
      </x:c>
      <x:c r="O28" s="990" t="str">
        <x:v>EVAC_ORDER_SET</x:v>
      </x:c>
      <x:c r="P28" s="990" t="str">
        <x:v>확정원고 후보</x:v>
      </x:c>
      <x:c r="Q28" s="990" t="str">
        <x:v>D14 Main의 준비.</x:v>
      </x:c>
      <x:c r="R28" s="990"/>
    </x:row>
    <x:row r="29" ht="168" hidden="0" customHeight="1">
      <x:c r="A29" s="990" t="str">
        <x:v>W2D11_02</x:v>
      </x:c>
      <x:c r="B29" s="990" t="n">
        <x:v>11</x:v>
      </x:c>
      <x:c r="C29" s="990" t="str">
        <x:v>폭풍 전 작은 축제</x:v>
      </x:c>
      <x:c r="D29" s="990" t="str">
        <x:v>사람/Side</x:v>
      </x:c>
      <x:c r="E29" s="990" t="str">
        <x:v>아이들이 천 조각을 묶어 긴 줄을 만들었다.
제이 - 이게 뭐야?
미라 - 축제.
제이 - 뭐 하는 축제인데?
미라 - 폭풍 오기 전에 하는 축제.
디야 - 방금 정했어.
사람들은 바빴지만, 이상하게도 그 말엔 아무도 반대하지 않았다.</x:v>
      </x:c>
      <x:c r="F29" s="990" t="str">
        <x:v>[2시간] 축제에 남는다.</x:v>
      </x:c>
      <x:c r="G29" s="990" t="str">
        <x:v>시간 -2h / 의지 +2(Max5) / 디야·미라 장면 오픈</x:v>
      </x:c>
      <x:c r="H29" s="990" t="str">
        <x:v>먹을 건 평소와 같았고 장식은 폐천이었다.
그래도 아이들은 뛰었고, 누군가는 오래된 노래를 흥얼거렸다.
페이는 박자를 맞춰 철판을 두드렸다.
벤자민도 멀리서 잠깐 보고 갔다.
제이는 이 사람들이 폭풍을 준비하는 이유가 단순히 죽지 않기 위해서만은 아니라는 걸 알았다.</x:v>
      </x:c>
      <x:c r="I29" s="990" t="str">
        <x:v>준비를 계속한다.</x:v>
      </x:c>
      <x:c r="J29" s="990" t="str">
        <x:v>축제 미참여 / 시간 소모 없음</x:v>
      </x:c>
      <x:c r="K29" s="990" t="str">
        <x:v>제이는 멀리서 아이들이 뛰는 소리만 들었다.
오늘 하지 못한 일은 내일 그대로 남는다.
그 사실도 틀린 말은 아니었다.</x:v>
      </x:c>
      <x:c r="L29" s="990" t="str"/>
      <x:c r="M29" s="990" t="str"/>
      <x:c r="N29" s="990" t="str"/>
      <x:c r="O29" s="990" t="str">
        <x:v>해 질 무렵 천 조각 하나가 바람에 풀려 사구 쪽으로 날아갔다.
아무도 쫓아가지 않았다.</x:v>
      </x:c>
      <x:c r="P29" s="990" t="str">
        <x:v>FESTIVAL_SEEN</x:v>
      </x:c>
      <x:c r="Q29" s="990" t="str">
        <x:v>확정원고 후보</x:v>
      </x:c>
      <x:c r="R29" s="990" t="str">
        <x:v>거주지 보존 조건 충족 시만 오픈.</x:v>
      </x:c>
    </x:row>
    <x:row r="30" ht="132" hidden="0" customHeight="1">
      <x:c r="A30" s="990" t="str">
        <x:v>W2D11_03</x:v>
      </x:c>
      <x:c r="B30" s="990" t="n">
        <x:v>11</x:v>
      </x:c>
      <x:c r="C30" s="990" t="str">
        <x:v>디야 — 아이들의 미래를 누가 정하는가</x:v>
      </x:c>
      <x:c r="D30" s="990" t="str">
        <x:v>사람/Route Fork</x:v>
      </x:c>
      <x:c r="E30" s="990" t="str">
        <x:v>축제가 끝난 뒤 아이들은 모래 위에 그대로 누워 있었다.
디야 - 배 안에선 저렇게 못 뛰어.
제이 - 알아.
디야 - 다시 떠나면 스무 해가 넘을 수도 있어. 애들은 냉동도 못 해.
디야 - 우린 항해한다고 부르겠지. 애들한텐 그냥 어린 시절 전부야.</x:v>
      </x:c>
      <x:c r="F30" s="990" t="str">
        <x:v>「그래도 이번에는 아이들에게 직접 물어보자. 우리 경험으로 아이들 몫까지 정하진 말자.」</x:v>
      </x:c>
      <x:c r="G30" s="990" t="str">
        <x:v>교감XP +2 / 디야 호감도 -1</x:v>
      </x:c>
      <x:c r="H30" s="990" t="str">
        <x:v>제이 - 그래도 이번에는 아이들에게 직접 물어보자. 우리가 겪은 걸 이유로 아이들 몫까지 정하진 말자.
디야 - 애들이 뭘 안다고.
제이 - 그래서 물어보는 거야.
디야는 바로 대답하지 않았다.
디야 - …그 말이 제일 무서워. 걔들이 나랑 다른 답을 할 수도 있으니까.</x:v>
      </x:c>
      <x:c r="I30" s="990" t="str">
        <x:v>「여길 정말 살 수 있는 곳으로 만들 수 있다면, 나도 아이들에게 또 배 안의 스무 해를 주고 싶진 않아.」</x:v>
      </x:c>
      <x:c r="J30" s="990" t="str">
        <x:v>디야 호감도 +1</x:v>
      </x:c>
      <x:c r="K30" s="990" t="str">
        <x:v>제이 - 여길 정말 살 수 있는 곳으로 만들 수 있다면, 나도 아이들에게 또 배 안의 스무 해를 주고 싶진 않아.
디야는 한참 아이들을 봤다.
디야 - 그래.
디야 - 적어도 너도 이걸 '쉬운 정착'이라고 생각하는 건 아니네.</x:v>
      </x:c>
      <x:c r="L30" s="990" t="str"/>
      <x:c r="M30" s="990" t="str"/>
      <x:c r="N30" s="990" t="str"/>
      <x:c r="O30" s="990" t="str">
        <x:v>아이들은 아무것도 모른 채 모래 위에 누워 하늘을 보고 있었다.</x:v>
      </x:c>
      <x:c r="P30" s="990" t="str">
        <x:v>TRUE_CHILD_CHOICE or HIDDEN_HOME_CHOICE</x:v>
      </x:c>
      <x:c r="Q30" s="990" t="str">
        <x:v>확정원고 후보</x:v>
      </x:c>
      <x:c r="R30" s="990" t="str">
        <x:v>Hover에 Route Flag 숨김.</x:v>
      </x:c>
    </x:row>
    <x:row r="31" ht="30" hidden="0" customHeight="1">
      <x:c r="A31" s="998" t="str">
        <x:v>W2D12_01</x:v>
      </x:c>
      <x:c r="B31" s="998" t="n">
        <x:v>12</x:v>
      </x:c>
      <x:c r="C31" s="998" t="str">
        <x:v>배 안에 모두를 넣을 수 있는가</x:v>
      </x:c>
      <x:c r="D31" s="998" t="str">
        <x:v>비인물+사람/Main</x:v>
      </x:c>
      <x:c r="E31" s="998" t="str">
        <x:v>거주구역 바닥에는 임시 침상 위치가 테이프로 표시되어 있었다.
산소 장치의 예상 인원 수는 그보다 적었다.
페이 - 침대는 늘릴 수 있어. 공기는 못 늘려.
벤자민 - 정확히는 늘릴 수 있는데, 시간이 없어.
샘 - 그 말 이제 지겹다.</x:v>
      </x:c>
      <x:c r="F31" s="998" t="str">
        <x:v>[2시간] 수용 인원과 생명유지 조건을 다시 맞춘다.</x:v>
      </x:c>
      <x:c r="G31" s="998" t="str">
        <x:v>시간 -2h / Shelter 준비 진행 / 산소·거주·전력 상태 재확인</x:v>
      </x:c>
      <x:c r="H31" s="998" t="str">
        <x:v>사람 수가 숫자가 되고, 숫자가 시설 내구도와 연결됐다.
누가 어디서 잘지보다 먼저 '이 방에 몇 명까지 숨쉴 수 있는가'를 정해야 했다.
제이 - 최소선은 나왔어.
샘 - 최소선만 계속 늘어나네.</x:v>
      </x:c>
      <x:c r="I31" s="998" t="str"/>
      <x:c r="J31" s="998" t="str"/>
      <x:c r="K31" s="998" t="str"/>
      <x:c r="L31" s="998" t="str"/>
      <x:c r="M31" s="998" t="str"/>
      <x:c r="N31" s="998" t="str">
        <x:v>수송선은 조금씩 피난처처럼 보이기 시작했다.
동시에 조금씩 더 좁아졌다.</x:v>
      </x:c>
      <x:c r="O31" s="998" t="str">
        <x:v>SHELTER_CAPACITY_CHECK</x:v>
      </x:c>
      <x:c r="P31" s="998" t="str">
        <x:v>확정원고 후보</x:v>
      </x:c>
      <x:c r="Q31" s="998" t="str">
        <x:v>D14 Shelter gate의 감각적 사전 공지.</x:v>
      </x:c>
      <x:c r="R31" s="998"/>
    </x:row>
    <x:row r="32" ht="168" hidden="0" customHeight="1">
      <x:c r="A32" s="990" t="str">
        <x:v>W2D12_02</x:v>
      </x:c>
      <x:c r="B32" s="990" t="n">
        <x:v>12</x:v>
      </x:c>
      <x:c r="C32" s="990" t="str">
        <x:v>지나 — 네가 없던 십 년</x:v>
      </x:c>
      <x:c r="D32" s="990" t="str">
        <x:v>사람/Deepening</x:v>
      </x:c>
      <x:c r="E32" s="990" t="str">
        <x:v>짐을 옮기다 지나가 오래된 금속 상자를 발견했다.
지나 - 이거 기억나?
제이 - 내 이름 있네.
지나 - 네가 정착 첫날 열어보자고 했던 상자.
제이 - 왜 안 열었어?
지나 - 네가 없어서.
지나는 아무렇지 않게 말했지만 상자 손잡이를 바로 놓지 않았다.</x:v>
      </x:c>
      <x:c r="F32" s="990" t="str">
        <x:v>[2시간] 상자를 열고 십 년 전 계획을 같이 본다.</x:v>
      </x:c>
      <x:c r="G32" s="990" t="str">
        <x:v>시간 -2h / 교감XP +1 / 지나 호감도 +1 / Jina Deepening</x:v>
      </x:c>
      <x:c r="H32" s="990" t="str">
        <x:v>안에는 지도, 작은 기념품, 아직 쓰지 않은 표식들이 있었다.
지나 - 우린 결국 네 계획 거의 안 썼어.
제이 - 화났어?
지나 - 예전엔.
제이 - 지금은?
지나 - 지금은 네 계획보다 우리가 실제로 한 게 더 중요해.</x:v>
      </x:c>
      <x:c r="I32" s="990" t="str">
        <x:v>「그냥 닫아두자.」</x:v>
      </x:c>
      <x:c r="J32" s="990" t="str">
        <x:v>변화 없음</x:v>
      </x:c>
      <x:c r="K32" s="990" t="str">
        <x:v>제이 - 그냥 닫아두자.
지나 - 그래도 돼.
지나는 상자를 다시 닫았다.
지나 - 과거가 꼭 지금 설명서일 필요는 없으니까.</x:v>
      </x:c>
      <x:c r="L32" s="990" t="str"/>
      <x:c r="M32" s="990" t="str"/>
      <x:c r="N32" s="990" t="str"/>
      <x:c r="O32" s="990" t="str">
        <x:v>상자는 다시 짐 사이로 들어갔다.
이번에는 제이가 어디에 놓였는지 알고 있었다.</x:v>
      </x:c>
      <x:c r="P32" s="990" t="str">
        <x:v>JINA_MASTERY_DEEP</x:v>
      </x:c>
      <x:c r="Q32" s="990" t="str">
        <x:v>확정원고 후보</x:v>
      </x:c>
      <x:c r="R32" s="990" t="str">
        <x:v>과거 제이 미화 금지. 현재의 지나가 더 중요.</x:v>
      </x:c>
    </x:row>
    <x:row r="33" ht="144" hidden="0" customHeight="1">
      <x:c r="A33" s="990" t="str">
        <x:v>W2D12_03</x:v>
      </x:c>
      <x:c r="B33" s="990" t="n">
        <x:v>12</x:v>
      </x:c>
      <x:c r="C33" s="990" t="str">
        <x:v>벤자민 — 묘지와 살아 있는 사람들의 배</x:v>
      </x:c>
      <x:c r="D33" s="990" t="str">
        <x:v>사람/Pivot</x:v>
      </x:c>
      <x:c r="E33" s="990" t="str">
        <x:v>수송선 안으로 침상과 식량이 들어오자 배 안의 소리가 달라졌다.
벤자민은 복도 한가운데서 한동안 그걸 보고 있었다.
제이 - 묘지 가려고?
벤자민 - 아직 할 게 남았어.
제이 - 배에도 남았고.
벤자민 - 알아.</x:v>
      </x:c>
      <x:c r="F33" s="990" t="str">
        <x:v>「묘지는 사라지지 않아. 지금은 돌아올 사람들이 탈 배를 같이 보자.」</x:v>
      </x:c>
      <x:c r="G33" s="990" t="str">
        <x:v>강인함XP +2 / 벤자민 호감도 -1 / Living Ship 장면 오픈</x:v>
      </x:c>
      <x:c r="H33" s="990" t="str">
        <x:v>제이 - 묘지는 사라지지 않아. 지금은 살아 있는 사람들이 돌아올 배를 같이 보자.
벤자민 - 그 말, 내 앞에서는 쉽게 하지 마.
제이 - 쉽게 한 거 아니야.
둘은 복도를 걸었다.
누가 고친 손잡이, 새로 붙인 침상, 아이 이름이 적힌 상자.
벤자민은 하나씩 말없이 봤다.</x:v>
      </x:c>
      <x:c r="I33" s="990" t="str">
        <x:v>「먼저 남겨질 이름부터 챙기자. 배 이야기는 그 다음에 해도 돼.」</x:v>
      </x:c>
      <x:c r="J33" s="990" t="str">
        <x:v>벤자민 호감도 +1</x:v>
      </x:c>
      <x:c r="K33" s="990" t="str">
        <x:v>제이 - 먼저 남겨질 이름부터 챙기자. 배 이야기는 그 다음에 해도 돼.
벤자민은 고개를 끄덕였다.
벤자민 - 지금은 그게 더 쉽다.
제이 - 쉬운 게 나쁜 건 아니잖아.
벤자민 - …그렇지.</x:v>
      </x:c>
      <x:c r="L33" s="990" t="str"/>
      <x:c r="M33" s="990" t="str"/>
      <x:c r="N33" s="990" t="str"/>
      <x:c r="O33" s="990" t="str">
        <x:v>수송선 복도에는 계속 사람이 지나갔다.
묘지 쪽은 멀리서 보이지 않았다.</x:v>
      </x:c>
      <x:c r="P33" s="990" t="str">
        <x:v>LIVING_SHIP_OPEN or STAY_MEMORY_REINFORCED</x:v>
      </x:c>
      <x:c r="Q33" s="990" t="str">
        <x:v>확정원고 후보</x:v>
      </x:c>
      <x:c r="R33" s="990" t="str">
        <x:v>W3 D19/D20 회수.</x:v>
      </x:c>
    </x:row>
    <x:row r="34" ht="30" hidden="0" customHeight="1">
      <x:c r="A34" s="998" t="str">
        <x:v>W2D12_04</x:v>
      </x:c>
      <x:c r="B34" s="998" t="n">
        <x:v>12</x:v>
      </x:c>
      <x:c r="C34" s="998" t="str">
        <x:v>온실 작물을 모래에 심어보다</x:v>
      </x:c>
      <x:c r="D34" s="998" t="str">
        <x:v>비인물+사람/Side</x:v>
      </x:c>
      <x:c r="E34" s="998" t="str">
        <x:v>시험밭은 거주지 바깥의 작은 네모였다.
온실에서 가져온 작물 몇 포기가 처리수와 행성 모래가 섞인 흙에 심겨 있었다.
디야 - 솔직히 좀 불쌍해 보여.
보리치 - 대조군도 불쌍해 보여야 실험이지.
디야 - 넌 말 예쁘게 하는 법을 연구해야겠다.</x:v>
      </x:c>
      <x:c r="F34" s="998" t="str">
        <x:v>[1.5시간] 시험재배를 돕는다.</x:v>
      </x:c>
      <x:c r="G34" s="998" t="str">
        <x:v>시간 -1.5h / 기술XP +1 / 조건 충족 시 디야 또는 보리치 Deepening / 농업 가능성 정보</x:v>
      </x:c>
      <x:c r="H34" s="998" t="str">
        <x:v>제이는 물 양과 토양 비율을 기록했다.
완전히 잘 자라는 건 아니었다.
그래도 몇 포기는 뿌리를 내렸다.
보리치 - '가능하다'고 쓰진 마.
제이 - 그럼?
보리치 - '즉시 죽지는 않았다.'
디야 - 진짜 낭만 없다.</x:v>
      </x:c>
      <x:c r="I34" s="998" t="str">
        <x:v>[교감 ≥ 4 / 1.5시간] 아이들과 함께 시험밭 표식을 만든다.</x:v>
      </x:c>
      <x:c r="J34" s="998" t="str">
        <x:v>시간 -1.5h / 디야 호감도 +1 / 농업 가능성 정보</x:v>
      </x:c>
      <x:c r="K34" s="998" t="str">
        <x:v>미라는 표식에 '먹는 풀'이라고 적었다.
디야 - 이름 좀 제대로 써.
미라 - 먹는 풀이잖아.
보리치 - 분류상 틀리진 않을 수도 있어.
디야 - 너까지 그러지 마.</x:v>
      </x:c>
      <x:c r="L34" s="998" t="str"/>
      <x:c r="M34" s="998" t="str"/>
      <x:c r="N34" s="998" t="str"/>
      <x:c r="O34" s="998" t="str">
        <x:v>온실은 여전히 지금 사람들을 먹여 살리는 핵심이었다.
하지만 행성의 모래가 아무것도 키울 수 없는 물질은 아니라는 것도 확인됐다.</x:v>
      </x:c>
      <x:c r="P34" s="998" t="str">
        <x:v>CROP_TEST_SEEN</x:v>
      </x:c>
      <x:c r="Q34" s="998" t="str">
        <x:v>확정원고 후보</x:v>
      </x:c>
      <x:c r="R34" s="998" t="str">
        <x:v>Sustainability 직접 상승 없음.</x:v>
      </x:c>
    </x:row>
    <x:row r="35" ht="132" hidden="0" customHeight="1">
      <x:c r="A35" s="990" t="str">
        <x:v>W2D12_08</x:v>
      </x:c>
      <x:c r="B35" s="990" t="n">
        <x:v>12</x:v>
      </x:c>
      <x:c r="C35" s="990" t="str">
        <x:v>야간조 — 마지막 평범한 밤</x:v>
      </x:c>
      <x:c r="D35" s="990" t="str">
        <x:v>사람/Side</x:v>
      </x:c>
      <x:c r="E35" s="990" t="str">
        <x:v>야간조 대표는 호출 장치를 흔들어 보였다.
야간조 대표 - 오늘은 잘 돼.
제이 - 그 말 불길한데.
야간조 대표 - 고장났을 때만 기억하니까 그렇지.
제이 - 최소 인원으로 돌린다며.
야간조 대표 - 낮에 사람을 더 빼야 하잖아. 지금은 다들 바빠.</x:v>
      </x:c>
      <x:c r="F35" s="990" t="str">
        <x:v>[1시간] 야간 근무표와 비상 호출을 다시 확인한다.</x:v>
      </x:c>
      <x:c r="G35" s="990" t="str">
        <x:v>시간 -1h / 야간조 기억 +1</x:v>
      </x:c>
      <x:c r="H35" s="990" t="str">
        <x:v>제이는 근무 인원과 위치를 다시 확인했다.
한 명이 비면 다른 사람이 메우고, 두 곳에서 동시에 문제가 생기면 샘에게 바로 연락한다.
야간조 대표 - 동시에 두 군데만 안 터지면 돼.
제이 - 그런 말 하지 마.
야간조 대표 - 알았어. 세 군데.</x:v>
      </x:c>
      <x:c r="I35" s="990" t="str"/>
      <x:c r="J35" s="990" t="str"/>
      <x:c r="K35" s="990" t="str"/>
      <x:c r="L35" s="990" t="str"/>
      <x:c r="M35" s="990" t="str"/>
      <x:c r="N35" s="990" t="str">
        <x:v>그는 웃고 다시 일하러 갔다.
다음 날 밤에도 같은 웃음을 볼 수 있을 거라고 생각하기 쉬운 장면이었다.</x:v>
      </x:c>
      <x:c r="O35" s="990" t="str">
        <x:v>NIGHT_SHIFT_SEEN_D12</x:v>
      </x:c>
      <x:c r="P35" s="990" t="str">
        <x:v>확정원고 후보</x:v>
      </x:c>
      <x:c r="Q35" s="990" t="str">
        <x:v>D13 비극 전 마지막 일상 노출.</x:v>
      </x:c>
      <x:c r="R35" s="990"/>
    </x:row>
    <x:row r="36" ht="30" hidden="0" customHeight="1">
      <x:c r="A36" s="998" t="str">
        <x:v>W2D13_01</x:v>
      </x:c>
      <x:c r="B36" s="998" t="n">
        <x:v>13</x:v>
      </x:c>
      <x:c r="C36" s="998" t="str">
        <x:v>밖에서 할 수 있는 일은 오늘까지</x:v>
      </x:c>
      <x:c r="D36" s="998" t="str">
        <x:v>사람/Main</x:v>
      </x:c>
      <x:c r="E36" s="998" t="str">
        <x:v>샘이 마지막 외부 작업 목록을 벽에 붙였다.
오아시스. 거주지. 묘지. 수송선 외부. 남은 물자.
샘 - 내일은 사람부터 안에 넣을 거야.
제이 - 그러면 밖은?
샘 - 폭풍 끝날 때까지 포기.
'포기'라는 단어 아래에 할 일이 너무 많이 남아 있었다.</x:v>
      </x:c>
      <x:c r="F36" s="998" t="str">
        <x:v>[2시간] 마지막 외부 작업 우선순위를 확정한다.</x:v>
      </x:c>
      <x:c r="G36" s="998" t="str">
        <x:v>시간 -2h / D14 마지막 작업 목록 표시 / 미완료 위험 공개</x:v>
      </x:c>
      <x:c r="H36" s="998" t="str">
        <x:v>오늘 할 수 있는 것과 내일 할 수 없는 것이 분리됐다.
플레이어가 건드리지 않은 장소도 목록에 그대로 남았다.
샘 - 다 못 해.
제이 - 알아.
샘 - 알아도 보기 싫네.</x:v>
      </x:c>
      <x:c r="I36" s="998" t="str"/>
      <x:c r="J36" s="998" t="str"/>
      <x:c r="K36" s="998" t="str"/>
      <x:c r="L36" s="998" t="str"/>
      <x:c r="M36" s="998" t="str"/>
      <x:c r="N36" s="998" t="str">
        <x:v>목록은 지워지지 않았다.
내일 문이 닫히면 그중 일부는 그대로 바깥에 남는다.</x:v>
      </x:c>
      <x:c r="O36" s="998" t="str">
        <x:v>LAST_OUTSIDE_LIST</x:v>
      </x:c>
      <x:c r="P36" s="998" t="str">
        <x:v>확정원고 후보</x:v>
      </x:c>
      <x:c r="Q36" s="998" t="str">
        <x:v>D13~14 선택압력 UI에 활용.</x:v>
      </x:c>
      <x:c r="R36" s="998"/>
    </x:row>
    <x:row r="37" ht="132" hidden="0" customHeight="1">
      <x:c r="A37" s="990" t="str">
        <x:v>W2D13_05</x:v>
      </x:c>
      <x:c r="B37" s="990" t="n">
        <x:v>13</x:v>
      </x:c>
      <x:c r="C37" s="990" t="str">
        <x:v>벤자민 — 묘지에서 돌아오는 길</x:v>
      </x:c>
      <x:c r="D37" s="990" t="str">
        <x:v>사람/Character</x:v>
      </x:c>
      <x:c r="E37" s="990" t="str">
        <x:v>벤자민은 묘지에서 마지막 천 조각을 묶고 있었다.
제이 - 끝났어?
벤자민 - 끝이라는 게 있나.
제이 - 오늘은 있지. 내일 문 닫잖아.
벤자민 - 그래서 더 싫어.</x:v>
      </x:c>
      <x:c r="F37" s="990" t="str">
        <x:v>[2시간] 마지막 표식과 기록을 같이 정리한다.</x:v>
      </x:c>
      <x:c r="G37" s="990" t="str">
        <x:v>시간 -2h / 벤자민 호감도 +1</x:v>
      </x:c>
      <x:c r="H37" s="990" t="str">
        <x:v>둘은 남은 표식을 확인하고 휴대용 기록판을 닦았다.
벤자민 - 폭풍 지나고 여기 없어지면 어떡하지.
제이 - 기억은 남잖아.
벤자민 - 그 말 예전엔 싫었는데.
제이 - 지금은?
벤자민 - 아직 싫어. 조금 덜.</x:v>
      </x:c>
      <x:c r="I37" s="990" t="str">
        <x:v>수송선으로 먼저 돌아간다.</x:v>
      </x:c>
      <x:c r="J37" s="990" t="str">
        <x:v>변화 없음</x:v>
      </x:c>
      <x:c r="K37" s="990" t="str">
        <x:v>제이 - 안 늦게 들어와.
벤자민 - 나도 죽어서 여기 자리 늘릴 생각 없어.
농담처럼 말했지만 둘 다 웃지 않았다.</x:v>
      </x:c>
      <x:c r="L37" s="990" t="str"/>
      <x:c r="M37" s="990" t="str"/>
      <x:c r="N37" s="990" t="str"/>
      <x:c r="O37" s="990" t="str">
        <x:v>묘지는 폭풍 전 마지막 햇빛을 받고 있었다.</x:v>
      </x:c>
      <x:c r="P37" s="990" t="str">
        <x:v>BEN_W2_CLOSURE</x:v>
      </x:c>
      <x:c r="Q37" s="990" t="str">
        <x:v>확정원고 후보</x:v>
      </x:c>
      <x:c r="R37" s="990" t="str">
        <x:v>D19 Crisis Final의 감정 기반.</x:v>
      </x:c>
    </x:row>
    <x:row r="38" ht="30" hidden="0" customHeight="1">
      <x:c r="A38" s="998" t="str">
        <x:v>W2D13_06</x:v>
      </x:c>
      <x:c r="B38" s="998" t="n">
        <x:v>13</x:v>
      </x:c>
      <x:c r="C38" s="998" t="str">
        <x:v>페이 — 다시 음악 회선을 남겨두다</x:v>
      </x:c>
      <x:c r="D38" s="998" t="str">
        <x:v>사람+비인물/Deepening</x:v>
      </x:c>
      <x:c r="E38" s="998" t="str">
        <x:v>페이는 함교 바닥에 케이블을 늘어놓고 있었다.
페이 - 선택해.
제이 - 뭘?
페이 - 이걸 다시 음악 쪽으로 돌릴지, 그냥 지금 상태로 둘지.
D9에 회선을 지켰다면 보강 작업, 부품을 전용했다면 복구 작업이 된다.</x:v>
      </x:c>
      <x:c r="F38" s="998" t="str">
        <x:v>[2시간] 음악용 회선과 장비를 살려둔다.</x:v>
      </x:c>
      <x:c r="G38" s="998" t="str">
        <x:v>시간 -2h / 음악 회선 유지·복구 / 페이 호감도 +1 / 기술XP +1 / Faye Full Route 준비</x:v>
      </x:c>
      <x:c r="H38" s="998" t="str">
        <x:v>둘은 엔진실과 함교 사이의 선을 다시 확인했다.
페이 - 이거 폭풍 중엔 절대 틀면 안 돼.
제이 - 그럼 왜 고쳐?
페이 - 폭풍이 끝날 수도 있으니까.
잠깐 뒤 페이가 작게 덧붙였다.
페이 - 끝나야 하고.</x:v>
      </x:c>
      <x:c r="I38" s="998" t="str">
        <x:v>그대로 둔다.</x:v>
      </x:c>
      <x:c r="J38" s="998" t="str">
        <x:v>시간 소모 없음 / 음악 회선 상태 유지</x:v>
      </x:c>
      <x:c r="K38" s="998" t="str">
        <x:v>제이 - 지금은 다른 데 쓰자.
페이 - 응.
페이는 아무 말 없이 케이블을 정리했다.
이번에는 화내지 않았다. 그게 오히려 더 조용했다.</x:v>
      </x:c>
      <x:c r="L38" s="998" t="str"/>
      <x:c r="M38" s="998" t="str"/>
      <x:c r="N38" s="998" t="str"/>
      <x:c r="O38" s="998" t="str">
        <x:v>함교 스피커는 경고음만 냈다.
하지만 회선을 살렸다면, 그 안에는 아직 다른 소리를 보낼 길이 남아 있었다.</x:v>
      </x:c>
      <x:c r="P38" s="998" t="str">
        <x:v>FAYE_AUDIO_LINK_READY</x:v>
      </x:c>
      <x:c r="Q38" s="998" t="str">
        <x:v>확정원고 후보</x:v>
      </x:c>
      <x:c r="R38" s="998" t="str">
        <x:v>True용 물리적 투자.</x:v>
      </x:c>
    </x:row>
    <x:row r="39" ht="132" hidden="0" customHeight="1">
      <x:c r="A39" s="990" t="str">
        <x:v>W2D13_07</x:v>
      </x:c>
      <x:c r="B39" s="990" t="n">
        <x:v>13</x:v>
      </x:c>
      <x:c r="C39" s="990" t="str">
        <x:v>샘 — 둘 다 살릴 수 없을 때</x:v>
      </x:c>
      <x:c r="D39" s="990" t="str">
        <x:v>사람/Pivot</x:v>
      </x:c>
      <x:c r="E39" s="990" t="str">
        <x:v>야간 인계표를 넘기던 샘이 손을 멈췄다.
샘 - 하나 물어봐도 돼?
제이 - 이미 물었는데.
샘 - 둘 다 못 살리는 상황이면 뭘 기준으로 잘라내야 해?
제이 - 갑자기 왜 그런 걸 묻는데?
샘 - 갑자기가 아니니까.</x:v>
      </x:c>
      <x:c r="F39" s="990" t="str">
        <x:v>[1.5시간] 「기준을 같이 적자. 네가 혼자 결정하는 게 아니야.」</x:v>
      </x:c>
      <x:c r="G39" s="990" t="str">
        <x:v>시간 -1.5h / 샘 호감도 +1 / 부담 -1</x:v>
      </x:c>
      <x:c r="H39" s="990" t="str">
        <x:v>제이 - 기준을 같이 적자. 네가 혼자 결정하는 게 아니야. 누가 판단해도 같은 기준이 나오게 만들자.
샘 - 선장인데 혼자가 아니어도 돼?
제이 - 혼자여야 한다는 규칙은 누가 만들었는데?
샘 - …아무도.
둘은 사람 수, 생명 유지, 대체 가능 여부를 적었다.</x:v>
      </x:c>
      <x:c r="I39" s="990" t="str">
        <x:v>「기준을 정했으면 망설이지 마. 모두를 살리려다 둘 다 잃지 마.」</x:v>
      </x:c>
      <x:c r="J39" s="990" t="str">
        <x:v>강인함XP +3 / 샘 호감도 -1 / 부담 +1 / 시간 소모 없음</x:v>
      </x:c>
      <x:c r="K39" s="990" t="str">
        <x:v>제이 - 기준을 정했으면 다음엔 망설이지 마. 모두를 살리려다 둘 다 잃는 것보다 하나를 확실히 지켜.
샘은 오래 제이를 봤다.
샘 - 맞는 말이네.
제이 - 싫으면 안 따라도 돼.
샘 - 맞는 말이라서 싫은 거야.</x:v>
      </x:c>
      <x:c r="L39" s="990" t="str"/>
      <x:c r="M39" s="990" t="str"/>
      <x:c r="N39" s="990" t="str"/>
      <x:c r="O39" s="990" t="str">
        <x:v>샘은 인계표를 접어 주머니에 넣었다.
그날 밤, 그 질문은 생각보다 빨리 현실이 된다.</x:v>
      </x:c>
      <x:c r="P39" s="990" t="str">
        <x:v>SAM_BURDEN_LOW/HIGH</x:v>
      </x:c>
      <x:c r="Q39" s="990" t="str">
        <x:v>확정원고 후보</x:v>
      </x:c>
      <x:c r="R39" s="990" t="str">
        <x:v>Overnight 원인 아님. 감정 Variant만 바꿈.</x:v>
      </x:c>
    </x:row>
    <x:row r="40" ht="132" hidden="0" customHeight="1">
      <x:c r="A40" s="990" t="str">
        <x:v>W2D13_09</x:v>
      </x:c>
      <x:c r="B40" s="990" t="n">
        <x:v>13</x:v>
      </x:c>
      <x:c r="C40" s="990" t="str">
        <x:v>Overnight — 온실과 외부 구조 요청</x:v>
      </x:c>
      <x:c r="D40" s="990" t="str">
        <x:v>서사 Event/강제</x:v>
      </x:c>
      <x:c r="E40" s="990" t="str">
        <x:v>새벽에 경보가 두 개 겹쳤다.
온실 순환장치가 멈췄다.
동시에 외부 야간조에서 구조 요청이 들어왔다.
샘은 가장 가까운 사람이었다.
온실에는 두 명이 이미 들어가 있었다. 장치를 살리려면 둘 다 남아야 했다.
외부에는 작업자 한 명이 고립돼 있었다.</x:v>
      </x:c>
      <x:c r="F40" s="990" t="str">
        <x:v>계속 읽는다.</x:v>
      </x:c>
      <x:c r="G40" s="990" t="str">
        <x:v>Greenhouse 5→3 / 야간조 작업자 1명 사망 / 샘 생존 / 야간조 대표 생존</x:v>
      </x:c>
      <x:c r="H40" s="990" t="str">
        <x:v>샘은 온실 인력을 빼지 않았다.
샘 - 둘 다 남아. 순환 먼저 살려.
그리고 혼자 밖으로 나갔다.
구조 신호가 끊긴 건 그가 현장에 도착하기 전이었다.
온실은 살아남았다.
사람 한 명은 돌아오지 못했다.</x:v>
      </x:c>
      <x:c r="I40" s="990" t="str"/>
      <x:c r="J40" s="990" t="str"/>
      <x:c r="K40" s="990" t="str"/>
      <x:c r="L40" s="990" t="str"/>
      <x:c r="M40" s="990" t="str"/>
      <x:c r="N40" s="990" t="str">
        <x:v>아침이 오기 전 샘은 젖은 모래를 털지도 않고 함교 벽에 기대 앉았다.
누군가 '네 판단은 맞았다'고 말했다.
샘은 대답하지 않았다.</x:v>
      </x:c>
      <x:c r="O40" s="990" t="str">
        <x:v>SAM_OVERNIGHT_TRAGEDY / GREENHOUSE=3</x:v>
      </x:c>
      <x:c r="P40" s="990" t="str">
        <x:v>확정원고 후보</x:v>
      </x:c>
      <x:c r="Q40" s="990" t="str">
        <x:v>플레이어 직접 선택 금지. D13 Pivot에 따라 샘 내부대사 Variant만 변경.</x:v>
      </x:c>
      <x:c r="R40" s="990"/>
    </x:row>
    <x:row r="41" ht="204" hidden="0" customHeight="1">
      <x:c r="A41" s="990" t="str">
        <x:v>W2D14_01</x:v>
      </x:c>
      <x:c r="B41" s="990" t="n">
        <x:v>14</x:v>
      </x:c>
      <x:c r="C41" s="990" t="str">
        <x:v>샘 — 맞았기 때문에 더 무서운 선택</x:v>
      </x:c>
      <x:c r="D41" s="990" t="str">
        <x:v>사람/필수 Character</x:v>
      </x:c>
      <x:c r="E41" s="990" t="str">
        <x:v>샘은 밤새 옷을 갈아입지 않았다.
제이 - 좀 잤어?
샘 - 아니.
제이 - 온실은 버텼어.
샘 - 알아.
제이 - 네 판단 덕분에.
샘 - 그것도 알아.
샘이 처음으로 제이를 봤다.
샘 - 그래서 더 무서워.</x:v>
      </x:c>
      <x:c r="F41" s="990" t="str">
        <x:v>「다음에도 혼자 결정하게 두진 않을게.」</x:v>
      </x:c>
      <x:c r="G41" s="990" t="str">
        <x:v>샘 호감도 +1 / 부담 -1</x:v>
      </x:c>
      <x:c r="H41" s="990" t="str">
        <x:v>제이 - 다음에도 혼자 결정하게 두진 않을게.
샘 - 다음에도 있겠지?
제이 - 아마.
샘 - 그게 싫어.
제이 - 나도.
샘은 그 대답에는 반박하지 않았다.</x:v>
      </x:c>
      <x:c r="I41" s="990" t="str">
        <x:v>「맞는 판단이었다는 건 바뀌지 않아.」</x:v>
      </x:c>
      <x:c r="J41" s="990" t="str">
        <x:v>강인함XP +1 / 샘 호감도 -1</x:v>
      </x:c>
      <x:c r="K41" s="990" t="str">
        <x:v>제이 - 맞는 판단이었다는 건 바뀌지 않아.
샘 - 알아.
샘 - 맞았으니까 다음에도 해야 하잖아.
샘은 웃지도 화내지도 않았다.
샘 - 틀렸으면 차라리 다시 안 하면 되는데.</x:v>
      </x:c>
      <x:c r="L41" s="990" t="str"/>
      <x:c r="M41" s="990" t="str"/>
      <x:c r="N41" s="990" t="str"/>
      <x:c r="O41" s="990" t="str">
        <x:v>샘 - 오늘 사람들 다 안으로 넣자.
제이 - 할 수 있겠어?
샘 - 해야지.
그 말은 어제와 같았지만 조금 다른 사람이 말했다.</x:v>
      </x:c>
      <x:c r="P41" s="990" t="str">
        <x:v>SAM_W2_CLIMAX</x:v>
      </x:c>
      <x:c r="Q41" s="990" t="str">
        <x:v>확정원고 후보</x:v>
      </x:c>
      <x:c r="R41" s="990" t="str">
        <x:v>W2 샘 아크 정점.</x:v>
      </x:c>
    </x:row>
    <x:row r="42" ht="30" hidden="0" customHeight="1">
      <x:c r="A42" s="998" t="str">
        <x:v>W2D14_02</x:v>
      </x:c>
      <x:c r="B42" s="998" t="n">
        <x:v>14</x:v>
      </x:c>
      <x:c r="C42" s="998" t="str">
        <x:v>거주지를 비운다</x:v>
      </x:c>
      <x:c r="D42" s="998" t="str">
        <x:v>사람+비인물/Main</x:v>
      </x:c>
      <x:c r="E42" s="998" t="str">
        <x:v>짐이 빠진 집은 생각보다 빨리 집이 아니게 됐다.
벽에 걸린 천, 아이들 낙서, 조리도구 몇 개가 끝까지 남았다.
디야 - 저건 두고 가.
제이 - 안 가져가?
디야 - 돌아올 수도 있잖아.</x:v>
      </x:c>
      <x:c r="F42" s="998" t="str">
        <x:v>[3시간] 주민과 필수 물자를 수송선으로 대피시킨다.</x:v>
      </x:c>
      <x:c r="G42" s="998" t="str">
        <x:v>시간 -3h / 전원 대피 진행 / 외부 생활 종료</x:v>
      </x:c>
      <x:c r="H42" s="998" t="str">
        <x:v>사람들은 줄을 지어 배로 들어갔다.
미라는 마지막까지 뒤를 돌아봤다.
미라 - 모래고래 두고 왔어.
디야 - 새로 만들면 돼.
미라 - 걔는 하나뿐인데.
디야는 대답하지 못했다.</x:v>
      </x:c>
      <x:c r="I42" s="998" t="str"/>
      <x:c r="J42" s="998" t="str"/>
      <x:c r="K42" s="998" t="str"/>
      <x:c r="L42" s="998" t="str"/>
      <x:c r="M42" s="998" t="str"/>
      <x:c r="N42" s="998" t="str">
        <x:v>정착지에는 바람 소리만 남았다.
사람이 없다고 바로 폐허가 되는 건 아니었다.
그래서 더 이상했다.</x:v>
      </x:c>
      <x:c r="O42" s="998" t="str">
        <x:v>EVAC_ALL_INSIDE</x:v>
      </x:c>
      <x:c r="P42" s="998" t="str">
        <x:v>확정원고 후보</x:v>
      </x:c>
      <x:c r="Q42" s="998" t="str">
        <x:v>D15 장소전환 정서.</x:v>
      </x:c>
      <x:c r="R42" s="998"/>
    </x:row>
    <x:row r="43" ht="30" hidden="0" customHeight="1">
      <x:c r="A43" s="998" t="str">
        <x:v>W2D14_03</x:v>
      </x:c>
      <x:c r="B43" s="998" t="n">
        <x:v>14</x:v>
      </x:c>
      <x:c r="C43" s="998" t="str">
        <x:v>문을 닫는다</x:v>
      </x:c>
      <x:c r="D43" s="998" t="str">
        <x:v>비인물+사람/Main</x:v>
      </x:c>
      <x:c r="E43" s="998" t="str">
        <x:v>마지막 출입구는 세 번 확인했다.
페이 - 잠금 정상.
벤자민 - 외부 압력 정상.
샘 - 밖에 사람 없어?
아무도 바로 대답하지 않았다.
샘 - 다시 확인해.</x:v>
      </x:c>
      <x:c r="F43" s="998" t="str">
        <x:v>[1시간] 외부 인원 확인 후 출입구를 최종 봉쇄한다.</x:v>
      </x:c>
      <x:c r="G43" s="998" t="str">
        <x:v>시간 -1h / W2 종료 / 외부 자유행동 잠금</x:v>
      </x:c>
      <x:c r="H43" s="998" t="str">
        <x:v>명단을 한 번 더 읽었다.
모두 안에 있었다.
제이가 레버를 내리자 두꺼운 문이 천천히 닫혔다.
모래빛이 가느다란 선이 됐다가 사라졌다.
잠금음이 울렸다.</x:v>
      </x:c>
      <x:c r="I43" s="998" t="str"/>
      <x:c r="J43" s="998" t="str"/>
      <x:c r="K43" s="998" t="str"/>
      <x:c r="L43" s="998" t="str"/>
      <x:c r="M43" s="998" t="str"/>
      <x:c r="N43" s="998" t="str">
        <x:v>이제 폭풍이 끝날 때까지 바깥은 선택지가 아니었다.</x:v>
      </x:c>
      <x:c r="O43" s="998" t="str">
        <x:v>W2_SEALED</x:v>
      </x:c>
      <x:c r="P43" s="998" t="str">
        <x:v>확정원고 후보</x:v>
      </x:c>
      <x:c r="Q43" s="998" t="str">
        <x:v>W3 공간전환의 물리적 순간.</x:v>
      </x:c>
      <x:c r="R43" s="998"/>
    </x:row>
    <x:row r="44" ht="132" hidden="0" customHeight="1">
      <x:c r="A44" s="990" t="str">
        <x:v>W2D14_07</x:v>
      </x:c>
      <x:c r="B44" s="990" t="n">
        <x:v>14</x:v>
      </x:c>
      <x:c r="C44" s="990" t="str">
        <x:v>묘지에 마지막 인사를 남긴다</x:v>
      </x:c>
      <x:c r="D44" s="990" t="str">
        <x:v>비인물+사람/Optional</x:v>
      </x:c>
      <x:c r="E44" s="990" t="str">
        <x:v>사람들이 거의 다 들어간 뒤 묘지는 유난히 조용했다.
벤자민은 오지 않았다면 제이 혼자 갈 수 있고, 관계가 충분하면 함께 올 수 있다.
바람은 이미 세졌다.</x:v>
      </x:c>
      <x:c r="F44" s="990" t="str">
        <x:v>[3시간] 표식과 기록을 마지막으로 점검한다.</x:v>
      </x:c>
      <x:c r="G44" s="990" t="str">
        <x:v>시간 -3h / 묘지 보존 +1 / 조건 충족 시 벤자민 호감도 +1</x:v>
      </x:c>
      <x:c r="H44" s="990" t="str">
        <x:v>제이는 느슨한 천을 묶고 쓰러질 것 같은 돌을 받쳤다.
벤자민 - 폭풍한테 이기려고 하는 거 아니야.
제이 - 알아.
벤자민 - 그냥 할 수 있는 데까지 하는 거지.
제이 - 그것도 알아.
벤자민 - 이제 말 좀 통하네.</x:v>
      </x:c>
      <x:c r="I44" s="990" t="str">
        <x:v>그대로 돌아간다.</x:v>
      </x:c>
      <x:c r="J44" s="990" t="str">
        <x:v>변화 없음</x:v>
      </x:c>
      <x:c r="K44" s="990" t="str">
        <x:v>제이는 이름들을 한 번 보고 돌아섰다.
문이 닫히면 당분간 다시 올 수 없다.</x:v>
      </x:c>
      <x:c r="L44" s="990" t="str"/>
      <x:c r="M44" s="990" t="str"/>
      <x:c r="N44" s="990" t="str"/>
      <x:c r="O44" s="990" t="str">
        <x:v>묘지는 Sustainability를 올리지 않는다.
다만 누군가에게는 이 행성에 남아 있는 이유의 무게를 바꾼다.</x:v>
      </x:c>
      <x:c r="P44" s="990" t="str">
        <x:v>GRAVE_LAST_GOODBYE</x:v>
      </x:c>
      <x:c r="Q44" s="990" t="str">
        <x:v>확정원고 후보</x:v>
      </x:c>
      <x:c r="R44" s="990" t="str">
        <x:v>내부 기획문구는 플레이어 본문에 직접 출력하지 않음.</x:v>
      </x:c>
    </x:row>
    <x:row r="45" ht="30" hidden="0" customHeight="1">
      <x:c r="A45" s="998" t="str">
        <x:v>W2D14_08</x:v>
      </x:c>
      <x:c r="B45" s="998" t="n">
        <x:v>14</x:v>
      </x:c>
      <x:c r="C45" s="998" t="str">
        <x:v>문이 닫히기 전 마지막 한 사람</x:v>
      </x:c>
      <x:c r="D45" s="998" t="str">
        <x:v>사람/Character 선택</x:v>
      </x:c>
      <x:c r="E45" s="998" t="str">
        <x:v>사람들은 거의 다 배 안으로 들어갔다.
밖에서 누군가와 길게 말할 수 있는 시간은 이제 한 번 정도 남았다.
퀘스트를 따라온 인물에 따라 선택지가 달라진다.</x:v>
      </x:c>
      <x:c r="F45" s="998" t="str">
        <x:v>[2시간] 한 사람과 마지막 외부 대화를 한다.</x:v>
      </x:c>
      <x:c r="G45" s="998" t="str">
        <x:v>시간 -2h / 선택 인물 호감도 +1 / 해당 W2 미완료 감정 후속 1회</x:v>
      </x:c>
      <x:c r="H45" s="998" t="str">
        <x:v>제이는 일을 하나 더 끝내는 대신 사람 한 명을 따라갔다.
무슨 말을 했는지는 그동안 어떤 관계를 만들었는지에 따라 달랐다.
중요한 건, 그 사람이 문이 닫히기 전 마지막으로 본 바깥 풍경에 제이가 함께 있었다는 점이다.</x:v>
      </x:c>
      <x:c r="I45" s="998" t="str">
        <x:v>바로 수송선으로 들어간다.</x:v>
      </x:c>
      <x:c r="J45" s="998" t="str">
        <x:v>시간 소모 없음</x:v>
      </x:c>
      <x:c r="K45" s="998" t="str">
        <x:v>제이는 뒤를 돌아보지 않고 수송선으로 향했다.
남은 일은 이제 안에서 해야 한다.</x:v>
      </x:c>
      <x:c r="L45" s="998" t="str"/>
      <x:c r="M45" s="998" t="str"/>
      <x:c r="N45" s="998" t="str"/>
      <x:c r="O45" s="998" t="str">
        <x:v>이 장면은 새 Mastery를 열지 않는다.
기존 갈등 회복이나 정서 마무리만 담당한다.</x:v>
      </x:c>
      <x:c r="P45" s="998" t="str">
        <x:v>LAST_OUTSIDE_CHARACTER</x:v>
      </x:c>
      <x:c r="Q45" s="998" t="str">
        <x:v>확정원고 후보</x:v>
      </x:c>
      <x:c r="R45" s="998" t="str">
        <x:v>캐릭터별 Variant는 W3 Final 작성 때 함께 세분화 가능.</x:v>
      </x:c>
    </x:row>
    <x:row r="46" ht="15" hidden="0" customHeight="1">
      <x:c r="A46" s="990"/>
      <x:c r="B46" s="990"/>
      <x:c r="C46" s="990"/>
      <x:c r="D46" s="990"/>
      <x:c r="E46" s="990"/>
      <x:c r="F46" s="990"/>
      <x:c r="G46" s="990"/>
      <x:c r="H46" s="990"/>
      <x:c r="I46" s="990"/>
      <x:c r="J46" s="990"/>
      <x:c r="K46" s="990"/>
      <x:c r="L46" s="990"/>
      <x:c r="M46" s="990"/>
      <x:c r="N46" s="990"/>
      <x:c r="O46" s="990"/>
      <x:c r="P46" s="990"/>
      <x:c r="Q46" s="990"/>
      <x:c r="R46" s="990"/>
    </x:row>
    <x:row r="47" ht="26" hidden="0" customHeight="1">
      <x:c r="A47" s="1007" t="str">
        <x:v>3. 반복 Interaction 공통 원고 — Repair / Preserve</x:v>
      </x:c>
      <x:c r="B47" s="1007"/>
      <x:c r="C47" s="1007"/>
      <x:c r="D47" s="1007"/>
      <x:c r="E47" s="1007"/>
      <x:c r="F47" s="1007"/>
      <x:c r="G47" s="1007"/>
      <x:c r="H47" s="1007"/>
      <x:c r="I47" s="1007"/>
      <x:c r="J47" s="1007"/>
      <x:c r="K47" s="1007"/>
      <x:c r="L47" s="1007"/>
      <x:c r="M47" s="1007"/>
      <x:c r="N47" s="1007"/>
      <x:c r="O47" s="1007"/>
      <x:c r="P47" s="1007"/>
      <x:c r="Q47" s="1007"/>
      <x:c r="R47" s="1007"/>
    </x:row>
    <x:row r="48" ht="30" hidden="0" customHeight="1">
      <x:c r="A48" s="1012" t="str">
        <x:v>Template</x:v>
      </x:c>
      <x:c r="B48" s="1012" t="str">
        <x:v>대상</x:v>
      </x:c>
      <x:c r="C48" s="1012" t="str">
        <x:v>도입 서술</x:v>
      </x:c>
      <x:c r="D48" s="1012" t="str">
        <x:v>선택 표시</x:v>
      </x:c>
      <x:c r="E48" s="1012" t="str">
        <x:v>Hover</x:v>
      </x:c>
      <x:c r="F48" s="1012" t="str">
        <x:v>결과 서술</x:v>
      </x:c>
      <x:c r="G48" s="1012" t="str">
        <x:v>Variant 한 줄</x:v>
      </x:c>
      <x:c r="H48" s="1012" t="str">
        <x:v>상태</x:v>
      </x:c>
      <x:c r="I48" s="1012"/>
      <x:c r="J48" s="1012"/>
      <x:c r="K48" s="1012"/>
      <x:c r="L48" s="1012"/>
      <x:c r="M48" s="1012"/>
      <x:c r="N48" s="1012"/>
      <x:c r="O48" s="1012"/>
      <x:c r="P48" s="1012"/>
      <x:c r="Q48" s="1012"/>
      <x:c r="R48" s="1012"/>
    </x:row>
    <x:row r="49" ht="30" hidden="0" customHeight="1">
      <x:c r="A49" s="998" t="str">
        <x:v>REPAIR_GENERIC</x:v>
      </x:c>
      <x:c r="B49" s="998" t="str">
        <x:v>함교/엔진/산소/연구/거주</x:v>
      </x:c>
      <x:c r="C49" s="998" t="str">
        <x:v>고장난 곳은 매번 다르지만 수리의 시작은 비슷하다.
패널을 열고, 살아 있는 선과 죽은 선을 구분하고, 지금 꼭 필요한 기능 하나를 정한다.</x:v>
      </x:c>
      <x:c r="D49" s="998" t="str">
        <x:v>[2시간] 이 시설을 복구한다.</x:v>
      </x:c>
      <x:c r="E49" s="998" t="str">
        <x:v>시간 -2h / 해당 시설 내구도 +1</x:v>
      </x:c>
      <x:c r="F49" s="998" t="str">
        <x:v>완전히 새것이 되지는 않는다.
대신 방금 전보다 한 가지 기능은 더 믿을 수 있게 됐다.</x:v>
      </x:c>
      <x:c r="G49" s="998" t="str">
        <x:v>시설별로 현재 손상 원인 1문장 + 복구된 기능 1문장 추가.</x:v>
      </x:c>
      <x:c r="H49" s="998" t="str">
        <x:v>공통 템플릿</x:v>
      </x:c>
      <x:c r="I49" s="998"/>
      <x:c r="J49" s="998"/>
      <x:c r="K49" s="998"/>
      <x:c r="L49" s="998"/>
      <x:c r="M49" s="998"/>
      <x:c r="N49" s="998"/>
      <x:c r="O49" s="998"/>
      <x:c r="P49" s="998"/>
      <x:c r="Q49" s="998"/>
      <x:c r="R49" s="998"/>
    </x:row>
    <x:row r="50" ht="30" hidden="0" customHeight="1">
      <x:c r="A50" s="998" t="str">
        <x:v>PRESERVE_OASIS</x:v>
      </x:c>
      <x:c r="B50" s="998" t="str">
        <x:v>오아시스</x:v>
      </x:c>
      <x:c r="C50" s="998" t="str">
        <x:v>폭풍이 지나가면 물길도 지금과 같을 거라는 보장은 없다.
노출된 측정기와 임시 수로, 표식 중 무엇을 남길지 골라야 한다.</x:v>
      </x:c>
      <x:c r="D50" s="998" t="str">
        <x:v>[3시간] 오아시스 설비와 기록을 보존한다.</x:v>
      </x:c>
      <x:c r="E50" s="998" t="str">
        <x:v>시간 -3h / 오아시스 보존 +1</x:v>
      </x:c>
      <x:c r="F50" s="998" t="str">
        <x:v>제이는 측정기와 표식을 낮게 묻고 고정했다.
폭풍 뒤에 다시 찾을 수 있도록 좌표도 남겼다.</x:v>
      </x:c>
      <x:c r="G50" s="998" t="str">
        <x:v>보존 횟수에 따라 '기록만 남음' → '장비 일부 생존' → '재사용 가능한 상태'로 문장 변화.</x:v>
      </x:c>
      <x:c r="H50" s="998" t="str">
        <x:v>공통 템플릿</x:v>
      </x:c>
      <x:c r="I50" s="998"/>
      <x:c r="J50" s="998"/>
      <x:c r="K50" s="998"/>
      <x:c r="L50" s="998"/>
      <x:c r="M50" s="998"/>
      <x:c r="N50" s="998"/>
      <x:c r="O50" s="998"/>
      <x:c r="P50" s="998"/>
      <x:c r="Q50" s="998"/>
      <x:c r="R50" s="998"/>
    </x:row>
    <x:row r="51" ht="60" hidden="0" customHeight="1">
      <x:c r="A51" s="990" t="str">
        <x:v>PRESERVE_SETTLEMENT</x:v>
      </x:c>
      <x:c r="B51" s="990" t="str">
        <x:v>거주지</x:v>
      </x:c>
      <x:c r="C51" s="990" t="str">
        <x:v>사람이 빠져나간 집은 폭풍에 약하다.
문을 막고, 천을 내리고, 날아갈 물건을 묶는다.</x:v>
      </x:c>
      <x:c r="D51" s="990" t="str">
        <x:v>[3시간] 거주지의 생활 흔적을 보존한다.</x:v>
      </x:c>
      <x:c r="E51" s="990" t="str">
        <x:v>시간 -3h / 거주지 보존 +1</x:v>
      </x:c>
      <x:c r="F51" s="990" t="str">
        <x:v>창문을 막고 공동공간의 천막을 낮췄다.
사람이 돌아올 수 있다는 전제로 하는 작업은 이상하게 손이 많이 갔다.</x:v>
      </x:c>
      <x:c r="G51" s="990" t="str">
        <x:v>보존 횟수에 따라 축제/시험밭/공동공간이 살아남는 정도 변경.</x:v>
      </x:c>
      <x:c r="H51" s="990" t="str">
        <x:v>공통 템플릿</x:v>
      </x:c>
      <x:c r="I51" s="990"/>
      <x:c r="J51" s="990"/>
      <x:c r="K51" s="990"/>
      <x:c r="L51" s="990"/>
      <x:c r="M51" s="990"/>
      <x:c r="N51" s="990"/>
      <x:c r="O51" s="990"/>
      <x:c r="P51" s="990"/>
      <x:c r="Q51" s="990"/>
      <x:c r="R51" s="990"/>
    </x:row>
    <x:row r="52" ht="60" hidden="0" customHeight="1">
      <x:c r="A52" s="990" t="str">
        <x:v>PRESERVE_GRAVE</x:v>
      </x:c>
      <x:c r="B52" s="990" t="str">
        <x:v>묘지</x:v>
      </x:c>
      <x:c r="C52" s="990" t="str">
        <x:v>표식은 사람보다 가볍고 폭풍보다 약하다.
모두 지킬 수는 없어도 이름이 사라지지 않게 할 방법은 있다.</x:v>
      </x:c>
      <x:c r="D52" s="990" t="str">
        <x:v>[3시간] 묘지 표식과 기록을 보존한다.</x:v>
      </x:c>
      <x:c r="E52" s="990" t="str">
        <x:v>시간 -3h / 묘지 보존 +1 / 조건부 벤자민 반응</x:v>
      </x:c>
      <x:c r="F52" s="990" t="str">
        <x:v>돌을 더 깊게 박고 이름을 별도 기록판에도 남겼다.
폭풍이 무엇을 가져갈지는 알 수 없지만, 아무것도 하지 않은 건 아니다.</x:v>
      </x:c>
      <x:c r="G52" s="990" t="str">
        <x:v>Sustainability에는 직접 반영하지 않음.</x:v>
      </x:c>
      <x:c r="H52" s="990" t="str">
        <x:v>공통 템플릿</x:v>
      </x:c>
      <x:c r="I52" s="990"/>
      <x:c r="J52" s="990"/>
      <x:c r="K52" s="990"/>
      <x:c r="L52" s="990"/>
      <x:c r="M52" s="990"/>
      <x:c r="N52" s="990"/>
      <x:c r="O52" s="990"/>
      <x:c r="P52" s="990"/>
      <x:c r="Q52" s="990"/>
      <x:c r="R52" s="990"/>
    </x:row>
    <x:row r="53" ht="15" hidden="0" customHeight="1">
      <x:c r="A53" s="990"/>
      <x:c r="B53" s="990"/>
      <x:c r="C53" s="990"/>
      <x:c r="D53" s="990"/>
      <x:c r="E53" s="990"/>
      <x:c r="F53" s="990"/>
      <x:c r="G53" s="990"/>
      <x:c r="H53" s="990"/>
      <x:c r="I53" s="990"/>
      <x:c r="J53" s="990"/>
      <x:c r="K53" s="990"/>
      <x:c r="L53" s="990"/>
      <x:c r="M53" s="990"/>
      <x:c r="N53" s="990"/>
      <x:c r="O53" s="990"/>
      <x:c r="P53" s="990"/>
      <x:c r="Q53" s="990"/>
      <x:c r="R53" s="990"/>
    </x:row>
    <x:row r="54" ht="26" hidden="0" customHeight="1">
      <x:c r="A54" s="1007" t="str">
        <x:v>4. W2 Authoring 구조 확인</x:v>
      </x:c>
      <x:c r="B54" s="1007"/>
      <x:c r="C54" s="1007"/>
      <x:c r="D54" s="1007"/>
      <x:c r="E54" s="1007"/>
      <x:c r="F54" s="1007"/>
      <x:c r="G54" s="1007"/>
      <x:c r="H54" s="1007"/>
      <x:c r="I54" s="1007"/>
      <x:c r="J54" s="1007"/>
      <x:c r="K54" s="1007"/>
      <x:c r="L54" s="1007"/>
      <x:c r="M54" s="1007"/>
      <x:c r="N54" s="1007"/>
      <x:c r="O54" s="1007"/>
      <x:c r="P54" s="1007"/>
      <x:c r="Q54" s="1007"/>
      <x:c r="R54" s="1007"/>
    </x:row>
    <x:row r="55" ht="30" hidden="0" customHeight="1">
      <x:c r="A55" s="1012" t="str">
        <x:v>Day</x:v>
      </x:c>
      <x:c r="B55" s="1012" t="str">
        <x:v>읽기 감각</x:v>
      </x:c>
      <x:c r="C55" s="1012" t="str">
        <x:v>핵심 회수</x:v>
      </x:c>
      <x:c r="D55" s="1012"/>
      <x:c r="E55" s="1012"/>
      <x:c r="F55" s="1012"/>
      <x:c r="G55" s="1012"/>
      <x:c r="H55" s="1012"/>
      <x:c r="I55" s="1012"/>
      <x:c r="J55" s="1012"/>
      <x:c r="K55" s="1012"/>
      <x:c r="L55" s="1012"/>
      <x:c r="M55" s="1012"/>
      <x:c r="N55" s="1012"/>
      <x:c r="O55" s="1012"/>
      <x:c r="P55" s="1012"/>
      <x:c r="Q55" s="1012"/>
      <x:c r="R55" s="1012"/>
    </x:row>
    <x:row r="56" ht="24" hidden="0" customHeight="1">
      <x:c r="A56" s="990" t="n">
        <x:v>8</x:v>
      </x:c>
      <x:c r="B56" s="990" t="str">
        <x:v>갑자기 모든 우선순위가 바뀜. 샌드웜은 적이 아니라 경고.</x:v>
      </x:c>
      <x:c r="C56" s="990" t="str">
        <x:v>보리치 과거/폭풍</x:v>
      </x:c>
      <x:c r="D56" s="990"/>
      <x:c r="E56" s="990"/>
      <x:c r="F56" s="990"/>
      <x:c r="G56" s="990"/>
      <x:c r="H56" s="990"/>
      <x:c r="I56" s="990"/>
      <x:c r="J56" s="990"/>
      <x:c r="K56" s="990"/>
      <x:c r="L56" s="990"/>
      <x:c r="M56" s="990"/>
      <x:c r="N56" s="990"/>
      <x:c r="O56" s="990"/>
      <x:c r="P56" s="990"/>
      <x:c r="Q56" s="990"/>
      <x:c r="R56" s="990"/>
    </x:row>
    <x:row r="57" ht="24" hidden="0" customHeight="1">
      <x:c r="A57" s="990" t="n">
        <x:v>9</x:v>
      </x:c>
      <x:c r="B57" s="990" t="str">
        <x:v>배가 '떠나는 물건'에서 '오늘 살아남을 피난처'로 의미 전환.</x:v>
      </x:c>
      <x:c r="C57" s="990" t="str">
        <x:v>Faye AUDIO_LINK / Sam 부담</x:v>
      </x:c>
      <x:c r="D57" s="990"/>
      <x:c r="E57" s="990"/>
      <x:c r="F57" s="990"/>
      <x:c r="G57" s="990"/>
      <x:c r="H57" s="990"/>
      <x:c r="I57" s="990"/>
      <x:c r="J57" s="990"/>
      <x:c r="K57" s="990"/>
      <x:c r="L57" s="990"/>
      <x:c r="M57" s="990"/>
      <x:c r="N57" s="990"/>
      <x:c r="O57" s="990"/>
      <x:c r="P57" s="990"/>
      <x:c r="Q57" s="990"/>
      <x:c r="R57" s="990"/>
    </x:row>
    <x:row r="58" ht="24" hidden="0" customHeight="1">
      <x:c r="A58" s="990" t="n">
        <x:v>10</x:v>
      </x:c>
      <x:c r="B58" s="990" t="str">
        <x:v>준비 계획 속에 실제 사람 한 명의 위험이 끼어듦.</x:v>
      </x:c>
      <x:c r="C58" s="990" t="str">
        <x:v>Mira/Jina</x:v>
      </x:c>
      <x:c r="D58" s="990"/>
      <x:c r="E58" s="990"/>
      <x:c r="F58" s="990"/>
      <x:c r="G58" s="990"/>
      <x:c r="H58" s="990"/>
      <x:c r="I58" s="990"/>
      <x:c r="J58" s="990"/>
      <x:c r="K58" s="990"/>
      <x:c r="L58" s="990"/>
      <x:c r="M58" s="990"/>
      <x:c r="N58" s="990"/>
      <x:c r="O58" s="990"/>
      <x:c r="P58" s="990"/>
      <x:c r="Q58" s="990"/>
      <x:c r="R58" s="990"/>
    </x:row>
    <x:row r="59" ht="24" hidden="0" customHeight="1">
      <x:c r="A59" s="990" t="n">
        <x:v>11</x:v>
      </x:c>
      <x:c r="B59" s="990" t="str">
        <x:v>폭풍 전 잠깐의 삶. 준비만 하다 끝나지 않게 함.</x:v>
      </x:c>
      <x:c r="C59" s="990" t="str">
        <x:v>Diya True/Hidden Fork</x:v>
      </x:c>
      <x:c r="D59" s="990"/>
      <x:c r="E59" s="990"/>
      <x:c r="F59" s="990"/>
      <x:c r="G59" s="990"/>
      <x:c r="H59" s="990"/>
      <x:c r="I59" s="990"/>
      <x:c r="J59" s="990"/>
      <x:c r="K59" s="990"/>
      <x:c r="L59" s="990"/>
      <x:c r="M59" s="990"/>
      <x:c r="N59" s="990"/>
      <x:c r="O59" s="990"/>
      <x:c r="P59" s="990"/>
      <x:c r="Q59" s="990"/>
      <x:c r="R59" s="990"/>
    </x:row>
    <x:row r="60" ht="24" hidden="0" customHeight="1">
      <x:c r="A60" s="990" t="n">
        <x:v>12</x:v>
      </x:c>
      <x:c r="B60" s="990" t="str">
        <x:v>배와 행성 양쪽의 미래 가능성을 동시에 심음.</x:v>
      </x:c>
      <x:c r="C60" s="990" t="str">
        <x:v>Jina/Ben/Crop Test</x:v>
      </x:c>
      <x:c r="D60" s="990"/>
      <x:c r="E60" s="990"/>
      <x:c r="F60" s="990"/>
      <x:c r="G60" s="990"/>
      <x:c r="H60" s="990"/>
      <x:c r="I60" s="990"/>
      <x:c r="J60" s="990"/>
      <x:c r="K60" s="990"/>
      <x:c r="L60" s="990"/>
      <x:c r="M60" s="990"/>
      <x:c r="N60" s="990"/>
      <x:c r="O60" s="990"/>
      <x:c r="P60" s="990"/>
      <x:c r="Q60" s="990"/>
      <x:c r="R60" s="990"/>
    </x:row>
    <x:row r="61" ht="24" hidden="0" customHeight="1">
      <x:c r="A61" s="990" t="n">
        <x:v>13</x:v>
      </x:c>
      <x:c r="B61" s="990" t="str">
        <x:v>마지막 선택 압력 + 음악/샘 Route 심화 → 밤의 비극.</x:v>
      </x:c>
      <x:c r="C61" s="990" t="str">
        <x:v>Sam tragedy</x:v>
      </x:c>
      <x:c r="D61" s="990"/>
      <x:c r="E61" s="990"/>
      <x:c r="F61" s="990"/>
      <x:c r="G61" s="990"/>
      <x:c r="H61" s="990"/>
      <x:c r="I61" s="990"/>
      <x:c r="J61" s="990"/>
      <x:c r="K61" s="990"/>
      <x:c r="L61" s="990"/>
      <x:c r="M61" s="990"/>
      <x:c r="N61" s="990"/>
      <x:c r="O61" s="990"/>
      <x:c r="P61" s="990"/>
      <x:c r="Q61" s="990"/>
      <x:c r="R61" s="990"/>
    </x:row>
    <x:row r="62" ht="24" hidden="0" customHeight="1">
      <x:c r="A62" s="990" t="n">
        <x:v>14</x:v>
      </x:c>
      <x:c r="B62" s="990" t="str">
        <x:v>새 선택보다 결산과 작별. 밖을 포기하고 문을 닫음.</x:v>
      </x:c>
      <x:c r="C62" s="990" t="str">
        <x:v>W3 전환</x:v>
      </x:c>
      <x:c r="D62" s="990"/>
      <x:c r="E62" s="990"/>
      <x:c r="F62" s="990"/>
      <x:c r="G62" s="990"/>
      <x:c r="H62" s="990"/>
      <x:c r="I62" s="990"/>
      <x:c r="J62" s="990"/>
      <x:c r="K62" s="990"/>
      <x:c r="L62" s="990"/>
      <x:c r="M62" s="990"/>
      <x:c r="N62" s="990"/>
      <x:c r="O62" s="990"/>
      <x:c r="P62" s="990"/>
      <x:c r="Q62" s="990"/>
      <x:c r="R62" s="990"/>
    </x:row>
  </x:sheetData>
  <x:mergeCells>
    <x:mergeCell ref="A1:R1"/>
    <x:mergeCell ref="A2:R2"/>
    <x:mergeCell ref="A4:R4"/>
    <x:mergeCell ref="A13:R13"/>
    <x:mergeCell ref="A47:R47"/>
    <x:mergeCell ref="A54:R54"/>
  </x:mergeCells>
  <x:conditionalFormatting sqref="H49:H62">
    <x:cfRule type="expression" dxfId="328" priority="1">
      <x:formula>OR(H49="완료",H49="확정",H49="확정방향",H49="방향 확정",LEFT(H49,2)="확정")</x:formula>
    </x:cfRule>
    <x:cfRule type="expression" dxfId="329" priority="2">
      <x:formula>OR(H49="TBD",H49="대기",ISNUMBER(SEARCH("TEMP",H49)))</x:formula>
    </x:cfRule>
    <x:cfRule type="expression" dxfId="330" priority="3">
      <x:formula>OR(H49="폐기",H49="HISTORICAL",ISNUMBER(SEARCH("폐기",H49)))</x:formula>
    </x:cfRule>
    <x:cfRule type="expression" dxfId="331" priority="4">
      <x:formula>OR(H49="NEXT",H49="진행")</x:formula>
    </x:cfRule>
  </x:conditionalFormatting>
  <x:conditionalFormatting sqref="Q15:Q62">
    <x:cfRule type="expression" dxfId="332" priority="5">
      <x:formula>OR(Q15="완료",Q15="확정",Q15="확정방향",Q15="방향 확정",LEFT(Q15,2)="확정")</x:formula>
    </x:cfRule>
    <x:cfRule type="expression" dxfId="333" priority="6">
      <x:formula>OR(Q15="TBD",Q15="대기",ISNUMBER(SEARCH("TEMP",Q15)))</x:formula>
    </x:cfRule>
    <x:cfRule type="expression" dxfId="334" priority="7">
      <x:formula>OR(Q15="폐기",Q15="HISTORICAL",ISNUMBER(SEARCH("폐기",Q15)))</x:formula>
    </x:cfRule>
    <x:cfRule type="expression" dxfId="335" priority="8">
      <x:formula>OR(Q15="NEXT",Q15="진행")</x:formula>
    </x:cfRule>
  </x:conditionalFormatting>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26" hidden="0" customWidth="1"/>
    <x:col min="3" max="3" width="32" hidden="0" customWidth="1"/>
    <x:col min="4" max="4" width="24" hidden="0" customWidth="1"/>
    <x:col min="5" max="5" width="44" hidden="0" customWidth="1"/>
    <x:col min="6" max="6" width="26" hidden="0" customWidth="1"/>
    <x:col min="7" max="7" width="30" hidden="0" customWidth="1"/>
    <x:col min="8" max="8" width="44" hidden="0" customWidth="1"/>
    <x:col min="9" max="9" width="26" hidden="0" customWidth="1"/>
    <x:col min="10" max="10" width="30" hidden="0" customWidth="1"/>
    <x:col min="11" max="11" width="44" hidden="0" customWidth="1"/>
    <x:col min="12" max="12" width="26" hidden="0" customWidth="1"/>
    <x:col min="13" max="13" width="28" hidden="0" customWidth="1"/>
    <x:col min="14" max="14" width="44" hidden="0" customWidth="1"/>
    <x:col min="15" max="15" width="38" hidden="0" customWidth="1"/>
    <x:col min="16" max="16" width="28" hidden="0" customWidth="1"/>
    <x:col min="17" max="17" width="18" hidden="0" customWidth="1"/>
    <x:col min="18" max="18" width="34" hidden="0" customWidth="1"/>
  </x:cols>
  <x:sheetData>
    <x:row r="1" ht="30" hidden="0" customHeight="1">
      <x:c r="A1" s="1001" t="str">
        <x:v>W3 Narrative Authoring v0.1 — D15~21 Crisis / Finals / Future Decision</x:v>
      </x:c>
      <x:c r="B1" s="1001"/>
      <x:c r="C1" s="1001"/>
      <x:c r="D1" s="1001"/>
      <x:c r="E1" s="1001"/>
      <x:c r="F1" s="1001"/>
      <x:c r="G1" s="1001"/>
      <x:c r="H1" s="1001"/>
      <x:c r="I1" s="1001"/>
      <x:c r="J1" s="1001"/>
      <x:c r="K1" s="1001"/>
      <x:c r="L1" s="1001"/>
      <x:c r="M1" s="1001"/>
      <x:c r="N1" s="1001"/>
      <x:c r="O1" s="1001"/>
      <x:c r="P1" s="1001"/>
      <x:c r="Q1" s="1001"/>
      <x:c r="R1" s="1001"/>
    </x:row>
    <x:row r="2" ht="42" hidden="0" customHeight="1">
      <x:c r="A2" s="1004" t="str">
        <x:v>W3는 대화를 읽다가 위기 대응 UI가 끼어드는 구간이다. Character Final은 실제 수리·피해 사이에서 진행하고, Emergency는 공통 문법 + 시설별 짧은 Variant로 처리한다. 버튼에는 조건/소모, Hover에는 즉시 결과를 공개하고 미래 Ending 의미는 숨긴다.</x:v>
      </x:c>
      <x:c r="B2" s="1004"/>
      <x:c r="C2" s="1004"/>
      <x:c r="D2" s="1004"/>
      <x:c r="E2" s="1004"/>
      <x:c r="F2" s="1004"/>
      <x:c r="G2" s="1004"/>
      <x:c r="H2" s="1004"/>
      <x:c r="I2" s="1004"/>
      <x:c r="J2" s="1004"/>
      <x:c r="K2" s="1004"/>
      <x:c r="L2" s="1004"/>
      <x:c r="M2" s="1004"/>
      <x:c r="N2" s="1004"/>
      <x:c r="O2" s="1004"/>
      <x:c r="P2" s="1004"/>
      <x:c r="Q2" s="1004"/>
      <x:c r="R2" s="1004"/>
    </x:row>
    <x:row r="3" ht="15" hidden="0" customHeight="1">
      <x:c r="A3" s="990"/>
      <x:c r="B3" s="990"/>
      <x:c r="C3" s="990"/>
      <x:c r="D3" s="990"/>
      <x:c r="E3" s="990"/>
      <x:c r="F3" s="990"/>
      <x:c r="G3" s="990"/>
      <x:c r="H3" s="990"/>
      <x:c r="I3" s="990"/>
      <x:c r="J3" s="990"/>
      <x:c r="K3" s="990"/>
      <x:c r="L3" s="990"/>
      <x:c r="M3" s="990"/>
      <x:c r="N3" s="990"/>
      <x:c r="O3" s="990"/>
      <x:c r="P3" s="990"/>
      <x:c r="Q3" s="990"/>
      <x:c r="R3" s="990"/>
    </x:row>
    <x:row r="4" ht="26" hidden="0" customHeight="1">
      <x:c r="A4" s="1007" t="str">
        <x:v>1. W3 Authoring 원칙</x:v>
      </x:c>
      <x:c r="B4" s="1007"/>
      <x:c r="C4" s="1007"/>
      <x:c r="D4" s="1007"/>
      <x:c r="E4" s="1007"/>
      <x:c r="F4" s="1007"/>
      <x:c r="G4" s="1007"/>
      <x:c r="H4" s="1007"/>
      <x:c r="I4" s="1007"/>
      <x:c r="J4" s="1007"/>
      <x:c r="K4" s="1007"/>
      <x:c r="L4" s="1007"/>
      <x:c r="M4" s="1007"/>
      <x:c r="N4" s="1007"/>
      <x:c r="O4" s="1007"/>
      <x:c r="P4" s="1007"/>
      <x:c r="Q4" s="1007"/>
      <x:c r="R4" s="1007"/>
    </x:row>
    <x:row r="5" ht="30" hidden="0" customHeight="1">
      <x:c r="A5" s="1012" t="str">
        <x:v>항목</x:v>
      </x:c>
      <x:c r="B5" s="1012" t="str">
        <x:v>규칙</x:v>
      </x:c>
      <x:c r="C5" s="1012"/>
      <x:c r="D5" s="1012"/>
      <x:c r="E5" s="1012"/>
      <x:c r="F5" s="1012"/>
      <x:c r="G5" s="1012"/>
      <x:c r="H5" s="1012"/>
      <x:c r="I5" s="1012"/>
      <x:c r="J5" s="1012"/>
      <x:c r="K5" s="1012"/>
      <x:c r="L5" s="1012"/>
      <x:c r="M5" s="1012"/>
      <x:c r="N5" s="1012"/>
      <x:c r="O5" s="1012"/>
      <x:c r="P5" s="1012"/>
      <x:c r="Q5" s="1012"/>
      <x:c r="R5" s="1012"/>
    </x:row>
    <x:row r="6" ht="36" hidden="0" customHeight="1">
      <x:c r="A6" s="990" t="str">
        <x:v>Emergency</x:v>
      </x:c>
      <x:c r="B6" s="990" t="str">
        <x:v>본문 2~4문장 → Target/첫 Tick까지 시간 → 해결 선택지. 방치도 정상적인 Triage 선택으로 작성.</x:v>
      </x:c>
      <x:c r="C6" s="990"/>
      <x:c r="D6" s="990"/>
      <x:c r="E6" s="990"/>
      <x:c r="F6" s="990"/>
      <x:c r="G6" s="990"/>
      <x:c r="H6" s="990"/>
      <x:c r="I6" s="990"/>
      <x:c r="J6" s="990"/>
      <x:c r="K6" s="990"/>
      <x:c r="L6" s="990"/>
      <x:c r="M6" s="990"/>
      <x:c r="N6" s="990"/>
      <x:c r="O6" s="990"/>
      <x:c r="P6" s="990"/>
      <x:c r="Q6" s="990"/>
      <x:c r="R6" s="990"/>
    </x:row>
    <x:row r="7" ht="24" hidden="0" customHeight="1">
      <x:c r="A7" s="990" t="str">
        <x:v>NPC 이동</x:v>
      </x:c>
      <x:c r="B7" s="990" t="str">
        <x:v>버튼에 Affinity/Will 요구, Hover에 도착시각·역할·완료예상시각 표시.</x:v>
      </x:c>
      <x:c r="C7" s="990"/>
      <x:c r="D7" s="990"/>
      <x:c r="E7" s="990"/>
      <x:c r="F7" s="990"/>
      <x:c r="G7" s="990"/>
      <x:c r="H7" s="990"/>
      <x:c r="I7" s="990"/>
      <x:c r="J7" s="990"/>
      <x:c r="K7" s="990"/>
      <x:c r="L7" s="990"/>
      <x:c r="M7" s="990"/>
      <x:c r="N7" s="990"/>
      <x:c r="O7" s="990"/>
      <x:c r="P7" s="990"/>
      <x:c r="Q7" s="990"/>
      <x:c r="R7" s="990"/>
    </x:row>
    <x:row r="8" ht="36" hidden="0" customHeight="1">
      <x:c r="A8" s="990" t="str">
        <x:v>Final 보상</x:v>
      </x:c>
      <x:c r="B8" s="990" t="str">
        <x:v>현재 충족된 Will/XP/Stance 변화는 Hover 공개. True/Hidden이라는 미래 의미만 숨김.</x:v>
      </x:c>
      <x:c r="C8" s="990"/>
      <x:c r="D8" s="990"/>
      <x:c r="E8" s="990"/>
      <x:c r="F8" s="990"/>
      <x:c r="G8" s="990"/>
      <x:c r="H8" s="990"/>
      <x:c r="I8" s="990"/>
      <x:c r="J8" s="990"/>
      <x:c r="K8" s="990"/>
      <x:c r="L8" s="990"/>
      <x:c r="M8" s="990"/>
      <x:c r="N8" s="990"/>
      <x:c r="O8" s="990"/>
      <x:c r="P8" s="990"/>
      <x:c r="Q8" s="990"/>
      <x:c r="R8" s="990"/>
    </x:row>
    <x:row r="9" ht="36" hidden="0" customHeight="1">
      <x:c r="A9" s="990" t="str">
        <x:v>D19</x:v>
      </x:c>
      <x:c r="B9" s="990" t="str">
        <x:v>10:00~16:00은 Encounter Window. 실제 시간은 대응·이동·Benjamin Final에서만 흐름.</x:v>
      </x:c>
      <x:c r="C9" s="990"/>
      <x:c r="D9" s="990"/>
      <x:c r="E9" s="990"/>
      <x:c r="F9" s="990"/>
      <x:c r="G9" s="990"/>
      <x:c r="H9" s="990"/>
      <x:c r="I9" s="990"/>
      <x:c r="J9" s="990"/>
      <x:c r="K9" s="990"/>
      <x:c r="L9" s="990"/>
      <x:c r="M9" s="990"/>
      <x:c r="N9" s="990"/>
      <x:c r="O9" s="990"/>
      <x:c r="P9" s="990"/>
      <x:c r="Q9" s="990"/>
      <x:c r="R9" s="990"/>
    </x:row>
    <x:row r="10" ht="36" hidden="0" customHeight="1">
      <x:c r="A10" s="990" t="str">
        <x:v>D20</x:v>
      </x:c>
      <x:c r="B10" s="990" t="str">
        <x:v>Boss 뒤 새 Mastery를 추가하지 않고 D19 결과와 인물의 결론을 정리.</x:v>
      </x:c>
      <x:c r="C10" s="990"/>
      <x:c r="D10" s="990"/>
      <x:c r="E10" s="990"/>
      <x:c r="F10" s="990"/>
      <x:c r="G10" s="990"/>
      <x:c r="H10" s="990"/>
      <x:c r="I10" s="990"/>
      <x:c r="J10" s="990"/>
      <x:c r="K10" s="990"/>
      <x:c r="L10" s="990"/>
      <x:c r="M10" s="990"/>
      <x:c r="N10" s="990"/>
      <x:c r="O10" s="990"/>
      <x:c r="P10" s="990"/>
      <x:c r="Q10" s="990"/>
      <x:c r="R10" s="990"/>
    </x:row>
    <x:row r="11" ht="36" hidden="0" customHeight="1">
      <x:c r="A11" s="990" t="str">
        <x:v>D21</x:v>
      </x:c>
      <x:c r="B11" s="990" t="str">
        <x:v>마지막 버튼 하나로 과거를 덮어쓰지 않음. 상태를 잠근 뒤 Ending Evaluator가 자동 판정.</x:v>
      </x:c>
      <x:c r="C11" s="990"/>
      <x:c r="D11" s="990"/>
      <x:c r="E11" s="990"/>
      <x:c r="F11" s="990"/>
      <x:c r="G11" s="990"/>
      <x:c r="H11" s="990"/>
      <x:c r="I11" s="990"/>
      <x:c r="J11" s="990"/>
      <x:c r="K11" s="990"/>
      <x:c r="L11" s="990"/>
      <x:c r="M11" s="990"/>
      <x:c r="N11" s="990"/>
      <x:c r="O11" s="990"/>
      <x:c r="P11" s="990"/>
      <x:c r="Q11" s="990"/>
      <x:c r="R11" s="990"/>
    </x:row>
    <x:row r="12" ht="15" hidden="0" customHeight="1">
      <x:c r="A12" s="990"/>
      <x:c r="B12" s="990"/>
      <x:c r="C12" s="990"/>
      <x:c r="D12" s="990"/>
      <x:c r="E12" s="990"/>
      <x:c r="F12" s="990"/>
      <x:c r="G12" s="990"/>
      <x:c r="H12" s="990"/>
      <x:c r="I12" s="990"/>
      <x:c r="J12" s="990"/>
      <x:c r="K12" s="990"/>
      <x:c r="L12" s="990"/>
      <x:c r="M12" s="990"/>
      <x:c r="N12" s="990"/>
      <x:c r="O12" s="990"/>
      <x:c r="P12" s="990"/>
      <x:c r="Q12" s="990"/>
      <x:c r="R12" s="990"/>
    </x:row>
    <x:row r="13" ht="26" hidden="0" customHeight="1">
      <x:c r="A13" s="1007" t="str">
        <x:v>2. D15~21 실제 로그 원고</x:v>
      </x:c>
      <x:c r="B13" s="1007"/>
      <x:c r="C13" s="1007"/>
      <x:c r="D13" s="1007"/>
      <x:c r="E13" s="1007"/>
      <x:c r="F13" s="1007"/>
      <x:c r="G13" s="1007"/>
      <x:c r="H13" s="1007"/>
      <x:c r="I13" s="1007"/>
      <x:c r="J13" s="1007"/>
      <x:c r="K13" s="1007"/>
      <x:c r="L13" s="1007"/>
      <x:c r="M13" s="1007"/>
      <x:c r="N13" s="1007"/>
      <x:c r="O13" s="1007"/>
      <x:c r="P13" s="1007"/>
      <x:c r="Q13" s="1007"/>
      <x:c r="R13" s="1007"/>
    </x:row>
    <x:row r="14" ht="30" hidden="0" customHeight="1">
      <x:c r="A14" s="1012" t="str">
        <x:v>ActionID</x:v>
      </x:c>
      <x:c r="B14" s="1012" t="str">
        <x:v>Day</x:v>
      </x:c>
      <x:c r="C14" s="1012" t="str">
        <x:v>Scene</x:v>
      </x:c>
      <x:c r="D14" s="1012" t="str">
        <x:v>형식</x:v>
      </x:c>
      <x:c r="E14" s="1012" t="str">
        <x:v>도입 본문/대화</x:v>
      </x:c>
      <x:c r="F14" s="1012" t="str">
        <x:v>선택 A — 표시</x:v>
      </x:c>
      <x:c r="G14" s="1012" t="str">
        <x:v>Hover A</x:v>
      </x:c>
      <x:c r="H14" s="1012" t="str">
        <x:v>선택 후 A 본문</x:v>
      </x:c>
      <x:c r="I14" s="1012" t="str">
        <x:v>선택 B — 표시</x:v>
      </x:c>
      <x:c r="J14" s="1012" t="str">
        <x:v>Hover B</x:v>
      </x:c>
      <x:c r="K14" s="1012" t="str">
        <x:v>선택 후 B 본문</x:v>
      </x:c>
      <x:c r="L14" s="1012" t="str">
        <x:v>선택 C/기타</x:v>
      </x:c>
      <x:c r="M14" s="1012" t="str">
        <x:v>Hover C</x:v>
      </x:c>
      <x:c r="N14" s="1012" t="str">
        <x:v>선택 후 C 본문</x:v>
      </x:c>
      <x:c r="O14" s="1012" t="str">
        <x:v>공통 결말</x:v>
      </x:c>
      <x:c r="P14" s="1012" t="str">
        <x:v>내부 Flag/기억</x:v>
      </x:c>
      <x:c r="Q14" s="1012" t="str">
        <x:v>상태</x:v>
      </x:c>
      <x:c r="R14" s="1012" t="str">
        <x:v>메모</x:v>
      </x:c>
    </x:row>
    <x:row r="15" ht="30" hidden="0" customHeight="1">
      <x:c r="A15" s="998" t="str">
        <x:v>W3D15_01</x:v>
      </x:c>
      <x:c r="B15" s="998" t="n">
        <x:v>15</x:v>
      </x:c>
      <x:c r="C15" s="998" t="str">
        <x:v>문이 닫힌 뒤의 배</x:v>
      </x:c>
      <x:c r="D15" s="998" t="str">
        <x:v>비인물+사람/Main</x:v>
      </x:c>
      <x:c r="E15" s="998" t="str">
        <x:v>문이 닫힌 다음 날, 수송선은 전보다 작아 보였다.
함교. 공학 구역. 연구 구역. 거주 구역.
사람은 네 구역 사이를 오가고, 고장은 여덟 개의 숫자로 남았다.
샘 - 밖으로 도망갈 곳 없어.
페이 - 안에서도 도망갈 곳 없고.
벤자민 - 그러니까 고치는 거지.</x:v>
      </x:c>
      <x:c r="F15" s="998" t="str">
        <x:v>[1.5시간] 네 구역과 현재 시설 상태를 다시 확인한다.</x:v>
      </x:c>
      <x:c r="G15" s="998" t="str">
        <x:v>시간 -1.5h / W3 시설·NPC 위치 UI 해금 / 현재 Integrity 전부 표시</x:v>
      </x:c>
      <x:c r="H15" s="998" t="str">
        <x:v>제이는 배 안을 한 바퀴 돌았다.
W1에 고쳤던 문과 W2에 억지로 살려둔 장치가 그대로 남아 있었다.
새 관리게임이 생긴 게 아니다. 지금까지 손댄 것들이 한꺼번에 고장날 수 있게 된 것뿐이었다.</x:v>
      </x:c>
      <x:c r="I15" s="998" t="str"/>
      <x:c r="J15" s="998" t="str"/>
      <x:c r="K15" s="998" t="str"/>
      <x:c r="L15" s="998" t="str"/>
      <x:c r="M15" s="998" t="str"/>
      <x:c r="N15" s="998" t="str"/>
      <x:c r="O15" s="998" t="str">
        <x:v>멀리서 금속이 길게 울었다.
첫 번째 큰 충격이 오고 있었다.</x:v>
      </x:c>
      <x:c r="P15" s="998" t="str">
        <x:v>W3_LAYOUT_OPEN</x:v>
      </x:c>
      <x:c r="Q15" s="998" t="str">
        <x:v>확정원고 후보</x:v>
      </x:c>
      <x:c r="R15" s="998" t="str">
        <x:v>W1~2의 시설 경험을 W3 관리와 연결.</x:v>
      </x:c>
    </x:row>
    <x:row r="16" ht="30" hidden="0" customHeight="1">
      <x:c r="A16" s="998" t="str">
        <x:v>W3D15_02</x:v>
      </x:c>
      <x:c r="B16" s="998" t="n">
        <x:v>15</x:v>
      </x:c>
      <x:c r="C16" s="998" t="str">
        <x:v>첫 번째 동시 경보</x:v>
      </x:c>
      <x:c r="D16" s="998" t="str">
        <x:v>Emergency/Main</x:v>
      </x:c>
      <x:c r="E16" s="998" t="str">
        <x:v>경보가 하나 울리고, 반 박자 뒤 다른 경보가 겹쳤다.
서로 다른 두 구역이었다.
샘 - 둘 다 동시에야.
제이 - 첫 손상까지?
샘 - 네 시간.
한 곳에 네 시간을 쓰면 다른 한 곳은 한 번 맞는다.</x:v>
      </x:c>
      <x:c r="F16" s="998" t="str">
        <x:v>대응할 첫 Crisis를 선택한다.</x:v>
      </x:c>
      <x:c r="G16" s="998" t="str">
        <x:v>선택한 Crisis 상세 선택지 오픈 / 다른 Crisis 타이머 계속</x:v>
      </x:c>
      <x:c r="H16" s="998" t="str">
        <x:v>제이가 한쪽 경보를 열자 화면 한편의 다른 시간은 계속 줄었다.</x:v>
      </x:c>
      <x:c r="I16" s="998" t="str">
        <x:v>NPC에게 다른 Crisis를 맡긴다.</x:v>
      </x:c>
      <x:c r="J16" s="998" t="str">
        <x:v>Affinity/Will 요구 / 이동·작업시간 / 완료예상시각 표시</x:v>
      </x:c>
      <x:c r="K16" s="998" t="str">
        <x:v>제이 - 네가 맡아줄 수 있어?
대답은 사람과 관계, 지금 위치에 따라 달랐다.</x:v>
      </x:c>
      <x:c r="L16" s="998" t="str">
        <x:v>한 Crisis의 첫 Tick을 감수한다.</x:v>
      </x:c>
      <x:c r="M16" s="998" t="str">
        <x:v>4h 뒤 해당 시설 피해 / Crisis 지속</x:v>
      </x:c>
      <x:c r="N16" s="998" t="str">
        <x:v>손대지 않은 경보는 끄지 않았다.
못 들은 척하는 것과, 한 번 맞을 걸 알고 남겨두는 건 달랐다.</x:v>
      </x:c>
      <x:c r="O16" s="998" t="str">
        <x:v>첫 Wave가 끝났을 때 배는 멀쩡할 수도, 한두 군데 더 망가져 있을 수도 있었다.
어느 쪽이든 플레이어가 만든 결과였다.</x:v>
      </x:c>
      <x:c r="P16" s="998" t="str">
        <x:v>WAVE1_RESOLVED</x:v>
      </x:c>
      <x:c r="Q16" s="998" t="str">
        <x:v>확정원고 후보</x:v>
      </x:c>
      <x:c r="R16" s="998" t="str"/>
    </x:row>
    <x:row r="17" ht="30" hidden="0" customHeight="1">
      <x:c r="A17" s="998" t="str">
        <x:v>W3D15_05</x:v>
      </x:c>
      <x:c r="B17" s="998" t="n">
        <x:v>15</x:v>
      </x:c>
      <x:c r="C17" s="998" t="str">
        <x:v>첫날이 끝나기 전 — 한 사람을 본다</x:v>
      </x:c>
      <x:c r="D17" s="998" t="str">
        <x:v>사람/Character 선택</x:v>
      </x:c>
      <x:c r="E17" s="998" t="str">
        <x:v>경보가 잠잠해진 뒤에도 사람들은 자기 자리에서 쉽게 움직이지 않았다.
오늘 한 명에게는 말을 걸 수 있다.</x:v>
      </x:c>
      <x:c r="F17" s="998" t="str">
        <x:v>[2시간] 상태가 신경 쓰이는 사람을 찾아간다.</x:v>
      </x:c>
      <x:c r="G17" s="998" t="str">
        <x:v>시간 -2h / 선택 인물 호감도 +1 후보 / 해당 Final Seed 강화</x:v>
      </x:c>
      <x:c r="H17" s="998" t="str">
        <x:v>샘은 경보 시간을 적고, 지나는 아이들이 자는 곳을 보고, 페이는 끊긴 선을 정리한다.
벤자민은 공구를 세고, 보리치는 센서를 보고, 디야는 물통 숫자를 센다.
폭풍 첫날의 사람들은 아직 자기 방식으로 버티고 있었다.</x:v>
      </x:c>
      <x:c r="I17" s="998" t="str">
        <x:v>시설을 더 본다.</x:v>
      </x:c>
      <x:c r="J17" s="998" t="str">
        <x:v>시간 소모 없음</x:v>
      </x:c>
      <x:c r="K17" s="998" t="str">
        <x:v>제이는 사람 대신 패널을 확인했다.
오늘은 그것도 틀린 선택이 아니었다.</x:v>
      </x:c>
      <x:c r="L17" s="998" t="str"/>
      <x:c r="M17" s="998" t="str"/>
      <x:c r="N17" s="998" t="str"/>
      <x:c r="O17" s="998" t="str">
        <x:v>밤이 가까워질수록 배의 소리는 조금씩 익숙해졌다.</x:v>
      </x:c>
      <x:c r="P17" s="998" t="str">
        <x:v>D15_CHARACTER_CHECK</x:v>
      </x:c>
      <x:c r="Q17" s="998" t="str">
        <x:v>확정원고 후보</x:v>
      </x:c>
      <x:c r="R17" s="998" t="str">
        <x:v>캐릭터별 짧은 Variant는 하단 표.</x:v>
      </x:c>
    </x:row>
    <x:row r="18" ht="132" hidden="0" customHeight="1">
      <x:c r="A18" s="990" t="str">
        <x:v>W3D15_07</x:v>
      </x:c>
      <x:c r="B18" s="990" t="str">
        <x:v>15 종료</x:v>
      </x:c>
      <x:c r="C18" s="990" t="str">
        <x:v>폭풍 뒤의 미래를 말한다</x:v>
      </x:c>
      <x:c r="D18" s="990" t="str">
        <x:v>사람/Event</x:v>
      </x:c>
      <x:c r="E18" s="990" t="str">
        <x:v>하루 정산이 끝난 뒤 보리치가 먼저 입을 열었다.
보리치 - 이 규모가 또 오면 못 버텨.
페이 - 지금 것도 안 끝났는데 벌써 다음 거 얘기해?
보리치 - 그래서 지금 얘기하는 거야.
샘은 오래 말이 없었다.
샘 - 어젯밤에도 하나를 골랐고, 오늘도 계속 골랐어.
샘 - 이걸 끝내고 아무 말 없이 다음 항해를 시작하면… 그것도 내가 대신 고르는 거야.</x:v>
      </x:c>
      <x:c r="F18" s="990" t="str">
        <x:v>계속 듣는다.</x:v>
      </x:c>
      <x:c r="G18" s="990" t="str">
        <x:v>미래 관련 Character Beat 오픈</x:v>
      </x:c>
      <x:c r="H18" s="990" t="str">
        <x:v>샘 - 폭풍이 끝나면 정하자.
샘 - 떠날지. 여기 남을지.
디야 - 누가?
샘 - 우리 모두가.
샘 - 내가 결정할 건, 그때까지 선택할 수 있게 살려두는 거야.</x:v>
      </x:c>
      <x:c r="I18" s="990" t="str"/>
      <x:c r="J18" s="990" t="str"/>
      <x:c r="K18" s="990" t="str"/>
      <x:c r="L18" s="990" t="str"/>
      <x:c r="M18" s="990" t="str"/>
      <x:c r="N18" s="990" t="str"/>
      <x:c r="O18" s="990" t="str">
        <x:v>아무도 바로 찬성하지 않았다.
하지만 아무도 그 말을 없던 일로 만들지도 않았다.</x:v>
      </x:c>
      <x:c r="P18" s="990" t="str">
        <x:v>FUTURE_DECLARATION_DONE</x:v>
      </x:c>
      <x:c r="Q18" s="990" t="str">
        <x:v>확정원고 후보</x:v>
      </x:c>
      <x:c r="R18" s="990" t="str"/>
    </x:row>
    <x:row r="19" ht="30" hidden="0" customHeight="1">
      <x:c r="A19" s="998" t="str">
        <x:v>W3D16_01</x:v>
      </x:c>
      <x:c r="B19" s="998" t="n">
        <x:v>16</x:v>
      </x:c>
      <x:c r="C19" s="998" t="str">
        <x:v>밤사이 남은 것</x:v>
      </x:c>
      <x:c r="D19" s="998" t="str">
        <x:v>비인물+사람/Main</x:v>
      </x:c>
      <x:c r="E19" s="998" t="str">
        <x:v>아침 보고에는 세 종류의 숫자가 있었다.
어제 고친 것.
어제 망가진 것.
밤새 그대로 버틴 것.
샘 - 신규 경보는 없어.
제이 - 오늘은 조용하네.
샘 - 그런 말 하지 마.</x:v>
      </x:c>
      <x:c r="F19" s="998" t="str">
        <x:v>[1시간] 밤사이 시설·Recovery·NPC 상태를 확인한다.</x:v>
      </x:c>
      <x:c r="G19" s="998" t="str">
        <x:v>시간 -1h / 현재 피해·Deadline·NPC 위치 갱신</x:v>
      </x:c>
      <x:c r="H19" s="998" t="str">
        <x:v>숫자를 읽는 데 한 시간이 걸렸다.
오늘은 경보가 없는 날이었다.
그래서 사람을 만나거나, 내일 터질 곳을 고칠 수 있었다.</x:v>
      </x:c>
      <x:c r="I19" s="998" t="str"/>
      <x:c r="J19" s="998" t="str"/>
      <x:c r="K19" s="998" t="str"/>
      <x:c r="L19" s="998" t="str"/>
      <x:c r="M19" s="998" t="str"/>
      <x:c r="N19" s="998" t="str"/>
      <x:c r="O19" s="998" t="str">
        <x:v>D17에는 다시 경보가 온다.
오늘 쓴 두 시간이 내일 네 시간을 벌 수도 있다.</x:v>
      </x:c>
      <x:c r="P19" s="998" t="str">
        <x:v>D16_REPORT_DONE</x:v>
      </x:c>
      <x:c r="Q19" s="998" t="str">
        <x:v>확정원고 후보</x:v>
      </x:c>
      <x:c r="R19" s="998" t="str"/>
    </x:row>
    <x:row r="20" ht="120" hidden="0" customHeight="1">
      <x:c r="A20" s="990" t="str">
        <x:v>W3D16_02</x:v>
      </x:c>
      <x:c r="B20" s="990" t="n">
        <x:v>16</x:v>
      </x:c>
      <x:c r="C20" s="990" t="str">
        <x:v>샘 Final — 대신 선택하지 않는 선장</x:v>
      </x:c>
      <x:c r="D20" s="990" t="str">
        <x:v>사람/Final</x:v>
      </x:c>
      <x:c r="E20" s="990" t="str">
        <x:v>샘은 함교 벽의 대피표를 떼고 있었다.
제이 - 왜 떼?
샘 - 이제 필요 없잖아. 다 안에 있으니까.
제이 - 그럼 다음 표는?
샘 - 떠나는 사람. 남는 사람.
제이 - 벌써 만들게?
샘 - 아니.
샘은 빈 종이를 그대로 내려놨다.</x:v>
      </x:c>
      <x:c r="F20" s="990" t="str">
        <x:v>[2시간] 「네가 답을 정하는 게 아니라, 모두가 답할 때까지 배를 살려.」</x:v>
      </x:c>
      <x:c r="G20" s="990" t="str">
        <x:v>시간 -2h / Will +2(Max5) / 샘 LEAVE 유지 / Full Route면 강인함XP +6</x:v>
      </x:c>
      <x:c r="H20" s="990" t="str">
        <x:v>제이 - 네가 답을 정하는 게 아니라, 모두가 답할 때까지 배를 살려.
샘 - 선장이 그래도 돼?
제이 - 항로는 정해도 사람 인생까지 정하진 않잖아.
샘은 빈 종이를 접었다.
샘 - 내가 정할 건 배가 갈 수 있느냐까지. 어디로 갈지는 각자 말하게 할게.</x:v>
      </x:c>
      <x:c r="I20" s="990" t="str">
        <x:v>Final을 미룬다.</x:v>
      </x:c>
      <x:c r="J20" s="990" t="str">
        <x:v>변화 없음</x:v>
      </x:c>
      <x:c r="K20" s="990" t="str">
        <x:v>제이 - 지금은 배부터 보자.
샘 - 그래.
빈 종이는 함교 한쪽에 남았다.</x:v>
      </x:c>
      <x:c r="L20" s="990" t="str"/>
      <x:c r="M20" s="990" t="str"/>
      <x:c r="N20" s="990" t="str"/>
      <x:c r="O20" s="990" t="str">
        <x:v>샘은 여전히 떠나고 싶어 했다.
다만 그 의견을 명령으로 만들지 않기로 했다.</x:v>
      </x:c>
      <x:c r="P20" s="990" t="str">
        <x:v>SAM_FINAL_DONE</x:v>
      </x:c>
      <x:c r="Q20" s="990" t="str">
        <x:v>확정원고 후보</x:v>
      </x:c>
      <x:c r="R20" s="990" t="str"/>
    </x:row>
    <x:row r="21" ht="84" hidden="0" customHeight="1">
      <x:c r="A21" s="990" t="str">
        <x:v>W3D16_03</x:v>
      </x:c>
      <x:c r="B21" s="990" t="n">
        <x:v>16</x:v>
      </x:c>
      <x:c r="C21" s="990" t="str">
        <x:v>샘의 부담을 다시 나눈다</x:v>
      </x:c>
      <x:c r="D21" s="990" t="str">
        <x:v>사람/Recovery</x:v>
      </x:c>
      <x:c r="E21" s="990" t="str">
        <x:v>샘은 아무 일도 없는 화면을 너무 오래 보고 있었다.
제이 - 지금 경보 없어.
샘 - 알아.
제이 - 그럼 좀 놔.
샘 - 놓으면 터질 것 같아.</x:v>
      </x:c>
      <x:c r="F21" s="990" t="str">
        <x:v>[2시간 / 의지 -1] 샘의 다음 교대 일부를 대신한다.</x:v>
      </x:c>
      <x:c r="G21" s="990" t="str">
        <x:v>시간 -2h / 의지 -1 / 샘 호감도 +1 / 부담 -1</x:v>
      </x:c>
      <x:c r="H21" s="990" t="str">
        <x:v>제이는 함교에 남아 보고를 대신 받았다.
샘은 처음엔 옆에 서 있었고, 나중에는 의자에 앉았고, 마지막에는 눈을 감았다.
잠든 건 아니었다. 그래도 두 시간 동안 혼자 보고 있지는 않았다.</x:v>
      </x:c>
      <x:c r="I21" s="990" t="str">
        <x:v>그대로 둔다.</x:v>
      </x:c>
      <x:c r="J21" s="990" t="str">
        <x:v>변화 없음</x:v>
      </x:c>
      <x:c r="K21" s="990" t="str">
        <x:v>제이 - 무리하지 마.
샘 - 응.
샘은 화면에서 눈을 떼지 않았다.</x:v>
      </x:c>
      <x:c r="L21" s="990" t="str"/>
      <x:c r="M21" s="990" t="str"/>
      <x:c r="N21" s="990" t="str"/>
      <x:c r="O21" s="990" t="str">
        <x:v>D13의 말을 되돌리지는 않는다.
대신 그 말을 혼자 짊어지게 두지 않는다.</x:v>
      </x:c>
      <x:c r="P21" s="990" t="str">
        <x:v>SAM_BURDEN_RECOVERED</x:v>
      </x:c>
      <x:c r="Q21" s="990" t="str">
        <x:v>확정원고 후보</x:v>
      </x:c>
      <x:c r="R21" s="990" t="str"/>
    </x:row>
    <x:row r="22" ht="72" hidden="0" customHeight="1">
      <x:c r="A22" s="990" t="str">
        <x:v>W3D17_01</x:v>
      </x:c>
      <x:c r="B22" s="990" t="n">
        <x:v>17</x:v>
      </x:c>
      <x:c r="C22" s="990" t="str">
        <x:v>두 번째 경보가 오기 전</x:v>
      </x:c>
      <x:c r="D22" s="990" t="str">
        <x:v>사람/Main</x:v>
      </x:c>
      <x:c r="E22" s="990" t="str">
        <x:v>보리치는 풍속 그래프를 보고 고개를 저었다.
보리치 - 어제보다 짧게 끝날 수도 있어.
샘 - 좋은 소식?
보리치 - 더 세게 지나가면 짧을 수도 있지.
샘 - 앞으로 좋은 소식은 네가 말하지 마.</x:v>
      </x:c>
      <x:c r="F22" s="990" t="str">
        <x:v>계속한다.</x:v>
      </x:c>
      <x:c r="G22" s="990" t="str">
        <x:v>D17 Wave 예고 / 미발생 Target Pool 표시</x:v>
      </x:c>
      <x:c r="H22" s="990" t="str">
        <x:v>보리치가 아직 사고가 나지 않은 시설 네 곳을 띄웠다.
오늘 그중 두 곳이 시험대에 오른다.</x:v>
      </x:c>
      <x:c r="I22" s="990" t="str"/>
      <x:c r="J22" s="990" t="str"/>
      <x:c r="K22" s="990" t="str"/>
      <x:c r="L22" s="990" t="str"/>
      <x:c r="M22" s="990" t="str"/>
      <x:c r="N22" s="990" t="str"/>
      <x:c r="O22" s="990" t="str">
        <x:v>어제 수리한 시설이 오늘 Target이 될 수도 있었다.
플레이어에게 중요한 건 알고리즘보다 공개된 Target과 남은 시간이다.</x:v>
      </x:c>
      <x:c r="P22" s="990" t="str">
        <x:v>D17_BRIEF_DONE</x:v>
      </x:c>
      <x:c r="Q22" s="990" t="str">
        <x:v>확정원고 후보</x:v>
      </x:c>
      <x:c r="R22" s="990" t="str"/>
    </x:row>
    <x:row r="23" ht="108" hidden="0" customHeight="1">
      <x:c r="A23" s="990" t="str">
        <x:v>W3D17_02</x:v>
      </x:c>
      <x:c r="B23" s="990" t="n">
        <x:v>17</x:v>
      </x:c>
      <x:c r="C23" s="990" t="str">
        <x:v>지나 Final — 답을 맡기지 않고 같이 계산하는 일</x:v>
      </x:c>
      <x:c r="D23" s="990" t="str">
        <x:v>사람/Final</x:v>
      </x:c>
      <x:c r="E23" s="990" t="str">
        <x:v>지나는 거주구역 테이블에 식량, 비축수, 수송선 소모량을 나란히 적고 있었다.
지나 - 그래서, 이번에도 나한테 답 물으러 왔어?
제이 - 아니. 같이 계산하러.
지나가 잠깐 제이를 봤다.
항해 때라면 제이가 작업표를 내밀고 지나의 판단을 기다렸을 장면이었다.</x:v>
      </x:c>
      <x:c r="F23" s="990" t="str">
        <x:v>[2시간] 「비축이 남아 있을 때 움직이는 게 맞아. 같이 출항 조건을 계산하자.」</x:v>
      </x:c>
      <x:c r="G23" s="990" t="str">
        <x:v>시간 -2h / Will +2(Max5) / 지나 STAY→LEAVE / Full Route면 교감XP +6</x:v>
      </x:c>
      <x:c r="H23" s="990" t="str">
        <x:v>두 사람은 누구의 답이 맞는지 묻지 않고 숫자를 끝까지 맞췄다.
지나 - 예전엔 네가 이런 거 들고 오면 내가 정리해줬는데.
제이 - 이제는?
지나 - 이제는 네가 옆에서 같이 계산하네.
지나는 출항 쪽 조건에 자기 이름을 적었다.</x:v>
      </x:c>
      <x:c r="I23" s="990" t="str">
        <x:v>정착 조건을 다시 계산한다.</x:v>
      </x:c>
      <x:c r="J23" s="990" t="str">
        <x:v>거주지+오아시스 펌프·지하수 취수 유지 시 지나 STAY 가능 / Final 보상은 동일</x:v>
      </x:c>
      <x:c r="K23" s="990" t="str">
        <x:v>제이는 거주지와 오아시스 펌프, 지하수 취수 상태를 같은 표에 올렸다.
지나 - 이 정도면 다시 계산할 수는 있겠네.
지나는 정착이 감정이 아니라 실제 생활 조건이 될 수 있음을 인정했다.</x:v>
      </x:c>
      <x:c r="L23" s="990" t="str"/>
      <x:c r="M23" s="990" t="str"/>
      <x:c r="N23" s="990" t="str"/>
      <x:c r="O23" s="990" t="str">
        <x:v>과거 관계를 복원한 것이 아니라, 제이가 더 이상 답을 맡기지 않는 동료가 되었다.</x:v>
      </x:c>
      <x:c r="P23" s="990" t="str">
        <x:v>JINA_FINAL_DONE</x:v>
      </x:c>
      <x:c r="Q23" s="990" t="str">
        <x:v>확정원고 후보</x:v>
      </x:c>
      <x:c r="R23" s="990" t="str"/>
    </x:row>
    <x:row r="24" ht="30" hidden="0" customHeight="1">
      <x:c r="A24" s="998" t="str">
        <x:v>W3D17_05</x:v>
      </x:c>
      <x:c r="B24" s="998" t="n">
        <x:v>17</x:v>
      </x:c>
      <x:c r="C24" s="998" t="str">
        <x:v>두 번째 동시 Wave</x:v>
      </x:c>
      <x:c r="D24" s="998" t="str">
        <x:v>Emergency/Main</x:v>
      </x:c>
      <x:c r="E24" s="998" t="str">
        <x:v>정오가 되기 조금 전, 두 구역의 조명이 동시에 붉게 바뀌었다.
이번에는 놀라는 사람이 적었다.
샘 - Target 둘 확인.
페이 - 어제 안 터진 데들이네.
제이 - 첫 손상까지 네 시간.
샘 - 알고 있어.</x:v>
      </x:c>
      <x:c r="F24" s="998" t="str">
        <x:v>첫 Crisis를 직접 맡는다.</x:v>
      </x:c>
      <x:c r="G24" s="998" t="str">
        <x:v>선택 Crisis 해법 오픈 / 다른 Root Timer 진행</x:v>
      </x:c>
      <x:c r="H24" s="998" t="str">
        <x:v>첫날과 다른 건 경보 수가 아니라, 플레이어가 준비한 사람과 시설이었다.</x:v>
      </x:c>
      <x:c r="I24" s="998" t="str">
        <x:v>NPC를 분산 배치한다.</x:v>
      </x:c>
      <x:c r="J24" s="998" t="str">
        <x:v>Affinity/Will 비용 / 이동1h / Primary 완료시각 표시</x:v>
      </x:c>
      <x:c r="K24" s="998" t="str">
        <x:v>한 명에게 두 곳을 맡길 수 없다.
누구를 어디에 보내는지가 곧 피해량이 됐다.</x:v>
      </x:c>
      <x:c r="L24" s="998" t="str">
        <x:v>한쪽 Tick을 감수한다.</x:v>
      </x:c>
      <x:c r="M24" s="998" t="str">
        <x:v>해당 시설 첫 Tick 피해</x:v>
      </x:c>
      <x:c r="N24" s="998" t="str">
        <x:v>경보 하나는 그대로 두었다.
지금 더 중요한 곳이 있었다.</x:v>
      </x:c>
      <x:c r="O24" s="998" t="str">
        <x:v>D17이 끝나면 여섯 Target 중 네 곳이 CrisisSeen이 된다.
남은 두 곳은 D19에 돌아온다.</x:v>
      </x:c>
      <x:c r="P24" s="998" t="str">
        <x:v>WAVE2_RESOLVED</x:v>
      </x:c>
      <x:c r="Q24" s="998" t="str">
        <x:v>확정원고 후보</x:v>
      </x:c>
      <x:c r="R24" s="998" t="str"/>
    </x:row>
    <x:row r="25" ht="30" hidden="0" customHeight="1">
      <x:c r="A25" s="998" t="str">
        <x:v>W3D17_06</x:v>
      </x:c>
      <x:c r="B25" s="998" t="n">
        <x:v>17</x:v>
      </x:c>
      <x:c r="C25" s="998" t="str">
        <x:v>정신 차려, 샘</x:v>
      </x:c>
      <x:c r="D25" s="998" t="str">
        <x:v>사람/Emergency</x:v>
      </x:c>
      <x:c r="E25" s="998" t="str">
        <x:v>샘의 목소리가 갑자기 끊겼다.
경보는 떠 있는데 샘은 같은 명령을 두 번 반복했다.
샘 - …외부 인원부터.
제이 - 밖에 아무도 없어.
샘 - 외부 인원부터.
D13부터 쌓인 부담이 임계치를 넘은 경우에만 발생한다.</x:v>
      </x:c>
      <x:c r="F25" s="998" t="str">
        <x:v>[4시간] 교대를 넘겨받고 샘을 함교에서 빼낸다.</x:v>
      </x:c>
      <x:c r="G25" s="998" t="str">
        <x:v>시간 -4h / 샘 생존 / 붕괴 해소 / 다른 Crisis 타이머 계속</x:v>
      </x:c>
      <x:c r="H25" s="998" t="str">
        <x:v>제이는 샘의 손에서 통신기를 빼냈다.
샘 - 아직 안 끝났어.
제이 - 그래서 내가 할 거야.
샘 - 네가 뭘 알아.
제이 - 네가 지금 못 보고 있다는 건 알아.</x:v>
      </x:c>
      <x:c r="I25" s="998" t="str">
        <x:v>[고스탯 빠른 대응 / 조건 TBD] 샘을 즉시 현재로 돌려놓는다.</x:v>
      </x:c>
      <x:c r="J25" s="998" t="str">
        <x:v>1h 해결 후보 / 정확 Stat·Will 수치 TBD</x:v>
      </x:c>
      <x:c r="K25" s="998" t="str">
        <x:v>제이는 샘이 반복하는 문장을 끊고 지금 보이는 것만 하나씩 말하게 했다.
사람 수. 열린 경보. 남은 시간.
샘의 호흡이 그 숫자를 따라 조금씩 돌아왔다.</x:v>
      </x:c>
      <x:c r="L25" s="998" t="str">
        <x:v>방치한다.</x:v>
      </x:c>
      <x:c r="M25" s="998" t="str">
        <x:v>Deadline 실패 시 샘 사망·시설 사고 Branch 가능</x:v>
      </x:c>
      <x:c r="N25" s="998" t="str">
        <x:v>샘은 같은 명령을 반복했다.
시간은 그가 정신을 차릴 때까지 기다려주지 않았다.</x:v>
      </x:c>
      <x:c r="O25" s="998" t="str">
        <x:v>붕괴를 막아도 D13의 죽음이 사라지는 건 아니다.
샘은 다시 함교로 돌아오지만 그날의 한계는 기억에 남는다.</x:v>
      </x:c>
      <x:c r="P25" s="998" t="str">
        <x:v>SAM_COLLAPSE_EVENT</x:v>
      </x:c>
      <x:c r="Q25" s="998" t="str">
        <x:v>수치 일부 TBD</x:v>
      </x:c>
      <x:c r="R25" s="998" t="str">
        <x:v>빠른 해법 수치가 현재 설계에서 미확정이라 Narrative만 확정.</x:v>
      </x:c>
    </x:row>
    <x:row r="26" ht="84" hidden="0" customHeight="1">
      <x:c r="A26" s="990" t="str">
        <x:v>W3D18_01</x:v>
      </x:c>
      <x:c r="B26" s="990" t="n">
        <x:v>18</x:v>
      </x:c>
      <x:c r="C26" s="990" t="str">
        <x:v>폭풍 전 마지막 숨</x:v>
      </x:c>
      <x:c r="D26" s="990" t="str">
        <x:v>사람/Main</x:v>
      </x:c>
      <x:c r="E26" s="990" t="str">
        <x:v>보리치는 오늘 풍속 그래프를 말없이 보여줬다.
제이 - 내일이 제일 세네.
보리치 - 응.
제이 - 오늘은?
보리치 - 오늘은 우리가 뭘 할지 정할 수 있는 마지막 날에 가까워.</x:v>
      </x:c>
      <x:c r="F26" s="990" t="str">
        <x:v>계속한다.</x:v>
      </x:c>
      <x:c r="G26" s="990" t="str">
        <x:v>D18 Final/재점검/수리 선택지 오픈</x:v>
      </x:c>
      <x:c r="H26" s="990" t="str">
        <x:v>오늘은 신규 Wave가 없었다.
그래서 세 시간 분석, 두 시간 대화, 시설 수리 하나가 서로 같은 무게로 보였다.</x:v>
      </x:c>
      <x:c r="I26" s="990" t="str"/>
      <x:c r="J26" s="990" t="str"/>
      <x:c r="K26" s="990" t="str"/>
      <x:c r="L26" s="990" t="str"/>
      <x:c r="M26" s="990" t="str"/>
      <x:c r="N26" s="990" t="str"/>
      <x:c r="O26" s="990" t="str">
        <x:v>내일은 선택지가 아니라 경보가 먼저 뜬다.</x:v>
      </x:c>
      <x:c r="P26" s="990" t="str">
        <x:v>D18_OPEN</x:v>
      </x:c>
      <x:c r="Q26" s="990" t="str">
        <x:v>확정원고 후보</x:v>
      </x:c>
      <x:c r="R26" s="990" t="str"/>
    </x:row>
    <x:row r="27" ht="30" hidden="0" customHeight="1">
      <x:c r="A27" s="998" t="str">
        <x:v>W3D18_02</x:v>
      </x:c>
      <x:c r="B27" s="998" t="n">
        <x:v>18</x:v>
      </x:c>
      <x:c r="C27" s="998" t="str">
        <x:v>행성 거주 가능성을 다시 묻는다</x:v>
      </x:c>
      <x:c r="D27" s="998" t="str">
        <x:v>비인물+사람/Analysis</x:v>
      </x:c>
      <x:c r="E27" s="998" t="str">
        <x:v>연구실 화면에는 W1의 결론과 W2의 기록이 나란히 놓였다.
오아시스 펌프·취수정 보존 상태. 거주지 생활 기반. 십 년치 표본. 시험재배 기록.
보리치 - 질문부터 다시 쓰자.
제이 - '여기 살 수 있나?'
보리치 - 아니.
보리치 - '지금 가진 조건으로 다시 검증할 근거가 생겼나.'</x:v>
      </x:c>
      <x:c r="F27" s="998" t="str">
        <x:v>[3시간] 보존된 자료와 새 기록을 다시 분석한다.</x:v>
      </x:c>
      <x:c r="G27" s="998" t="str">
        <x:v>시간 -3h / Sustainability LOW 잠금 해제 / 조건에 따라 MEDIUM 또는 HIGH</x:v>
      </x:c>
      <x:c r="H27" s="998" t="str">
        <x:v>숫자는 W1의 결론을 지우지 않았다.
그때의 지하수와 오아시스 펌프 취수 방식은 장기 거주를 보장하지 못했다.
대신 사람들이 무엇을 보존했고 무엇을 새로 만들었는지가 새 조건으로 들어왔다.</x:v>
      </x:c>
      <x:c r="I27" s="998" t="str">
        <x:v>재점검을 미룬다.</x:v>
      </x:c>
      <x:c r="J27" s="998" t="str">
        <x:v>Sustainability LOW 유지 / D20 마지막 기회</x:v>
      </x:c>
      <x:c r="K27" s="998" t="str">
        <x:v>제이 - 오늘은 배부터 보자.
보리치 - 그래.
연구실이 살아 있다면 내일까지 다시 볼 수 있다.</x:v>
      </x:c>
      <x:c r="L27" s="998" t="str"/>
      <x:c r="M27" s="998" t="str"/>
      <x:c r="N27" s="998" t="str"/>
      <x:c r="O27" s="998" t="str">
        <x:v>MEDIUM이든 HIGH든 '행성 전체가 안전하다'는 결론은 나오지 않는다.
정착을 실제 미래로 검토할 근거가 생겼는지만 달라진다.</x:v>
      </x:c>
      <x:c r="P27" s="998" t="str">
        <x:v>SUSTAINABILITY_RECHECK_DONE</x:v>
      </x:c>
      <x:c r="Q27" s="998" t="str">
        <x:v>확정원고 후보</x:v>
      </x:c>
      <x:c r="R27" s="998" t="str"/>
    </x:row>
    <x:row r="28" ht="30" hidden="0" customHeight="1">
      <x:c r="A28" s="998" t="str">
        <x:v>W3D18_03</x:v>
      </x:c>
      <x:c r="B28" s="998" t="n">
        <x:v>18</x:v>
      </x:c>
      <x:c r="C28" s="998" t="str">
        <x:v>보리치 Final — 이번에는 끝까지 확인했다</x:v>
      </x:c>
      <x:c r="D28" s="998" t="str">
        <x:v>사람/Final</x:v>
      </x:c>
      <x:c r="E28" s="998" t="str">
        <x:v>분석이 끝난 뒤 보리치는 W1 보고서를 다시 열었다.
`현재 조건에서는 장기 거주를 보장할 수 없다.`
보리치 - 이 문장, 틀린 게 아니야.</x:v>
      </x:c>
      <x:c r="F28" s="998" t="str">
        <x:v>[1시간] 「틀리지 않았어도, 다시 볼 수는 있잖아.」</x:v>
      </x:c>
      <x:c r="G28" s="998" t="str">
        <x:v>시간 -1h / Will +2(Max5) / 보리치 LEAVE 유지 / Full Route면 기술XP +6</x:v>
      </x:c>
      <x:c r="H28" s="998" t="str">
        <x:v>제이 - 틀리지 않았어도, 다시 볼 수는 있잖아.
보리치 - 응.
보리치는 새 결과를 옛 보고서 옆에 저장했다.
보리치 - 그때도 봤어.
보리치 - 이번에는 끝까지 확인했어.
보리치 - 나는 아직 떠나고 싶어.
보리치 - 그래도 여기 남겠다는 사람한테 틀렸다고 말할 근거는 없어.</x:v>
      </x:c>
      <x:c r="I28" s="998" t="str">
        <x:v>분석 결과만 저장한다.</x:v>
      </x:c>
      <x:c r="J28" s="998" t="str">
        <x:v>Final 미완료 / Stance 변화 없음</x:v>
      </x:c>
      <x:c r="K28" s="998" t="str">
        <x:v>보리치는 결과 파일만 닫았다.
숫자는 남았지만 자기 과거와 연결하는 말은 하지 않았다.</x:v>
      </x:c>
      <x:c r="L28" s="998" t="str"/>
      <x:c r="M28" s="998" t="str"/>
      <x:c r="N28" s="998" t="str"/>
      <x:c r="O28" s="998" t="str">
        <x:v>성장은 의견을 바꾸는 게 아니라, 지금 가진 증거만큼 정확히 말하는 사람이 되는 것이었다.</x:v>
      </x:c>
      <x:c r="P28" s="998" t="str">
        <x:v>BORICHI_FINAL_DONE</x:v>
      </x:c>
      <x:c r="Q28" s="998" t="str">
        <x:v>확정원고 후보</x:v>
      </x:c>
      <x:c r="R28" s="998" t="str"/>
    </x:row>
    <x:row r="29" ht="120" hidden="0" customHeight="1">
      <x:c r="A29" s="990" t="str">
        <x:v>W3D18_04_TRUE</x:v>
      </x:c>
      <x:c r="B29" s="990" t="n">
        <x:v>18</x:v>
      </x:c>
      <x:c r="C29" s="990" t="str">
        <x:v>디야 Final A — 아이에게 물어본다는 것</x:v>
      </x:c>
      <x:c r="D29" s="990" t="str">
        <x:v>사람/Final</x:v>
      </x:c>
      <x:c r="E29" s="990" t="str">
        <x:v>미라는 거주구역 창가에 붙어 폭풍이 가리는 하늘을 보고 있었다.
미라 - 디야, 바다는 진짜 끝이 안 보여?
디야 - 거의.
미라 - 모래보다 커?
디야 - 훨씬.
미라 - 보고 싶다.
디야의 손이 멈췄다.</x:v>
      </x:c>
      <x:c r="F29" s="990" t="str">
        <x:v>[1.5시간] 아이들과 다시 떠나는 미래를 이야기한다.</x:v>
      </x:c>
      <x:c r="G29" s="990" t="str">
        <x:v>시간 -2h / Will +2(Max5) / 디야 STAY→LEAVE / Full Route면 교감XP +6</x:v>
      </x:c>
      <x:c r="H29" s="990" t="str">
        <x:v>디야 - 내가 태어났을 때 지구는 이미 망가진 뒤였어.
디야 - 어른들은 자기들이 만든 걸 우리한테 버티라고 넘겼고.
제이 - 그래서 이번엔?
디야 - 집 때문에 애들을 또 위험에 묶어두진 않을 거야.
디야 - 장소는 다시 만들 수 있어. 애들한테 선택할 미래가 남는 게 먼저야.</x:v>
      </x:c>
      <x:c r="I29" s="990" t="str">
        <x:v>아직 말하지 않는다.</x:v>
      </x:c>
      <x:c r="J29" s="990" t="str">
        <x:v>변화 없음</x:v>
      </x:c>
      <x:c r="K29" s="990" t="str">
        <x:v>제이는 미라의 질문을 더 밀지 않았다.
디야도 대답을 재촉하지 않았다.</x:v>
      </x:c>
      <x:c r="L29" s="990" t="str"/>
      <x:c r="M29" s="990" t="str"/>
      <x:c r="N29" s="990" t="str"/>
      <x:c r="O29" s="990" t="str">
        <x:v>디야는 떠나고 싶어서 LEAVE가 된 것이 아니라, 아이들의 안전을 장소보다 먼저 두기로 했다.</x:v>
      </x:c>
      <x:c r="P29" s="990" t="str">
        <x:v>DIYA_TRUE_FINAL</x:v>
      </x:c>
      <x:c r="Q29" s="990" t="str">
        <x:v>확정원고 후보</x:v>
      </x:c>
      <x:c r="R29" s="990" t="str"/>
    </x:row>
    <x:row r="30" ht="108" hidden="0" customHeight="1">
      <x:c r="A30" s="990" t="str">
        <x:v>W3D18_04_HIDDEN</x:v>
      </x:c>
      <x:c r="B30" s="990" t="n">
        <x:v>18</x:v>
      </x:c>
      <x:c r="C30" s="990" t="str">
        <x:v>디야 Final B — 이곳을 집으로 만드는 일</x:v>
      </x:c>
      <x:c r="D30" s="990" t="str">
        <x:v>사람/Final</x:v>
      </x:c>
      <x:c r="E30" s="990" t="str">
        <x:v>디야는 시험밭에서 가져온 작은 표식을 손에 들고 있었다.
`먹는 풀`
제이 - 아직도 그 이름이야?
디야 - 미라가 안 바꾼대.
제이 - 잘 자랐어?
디야 - '즉시 죽지는 않았다'더라.
제이 - 보리치 말투네.</x:v>
      </x:c>
      <x:c r="F30" s="990" t="str">
        <x:v>[1.5시간] 보존된 거주지와 시험재배 기록을 같이 본다.</x:v>
      </x:c>
      <x:c r="G30" s="990" t="str">
        <x:v>시간 -1.5h / Will +2(Max5) / 디야 STAY 유지 / Full Route면 교감XP +6</x:v>
      </x:c>
      <x:c r="H30" s="990" t="str">
        <x:v>디야 - 내가 태어났을 때 지구는 이미 폐허였어.
디야 - 그래서 애들한테 또 폐허부터 물려주긴 싫어.
제이 - 여기서 다시 만들 수 있다면?
디야 - 그럼 이번엔 우리가 제대로 만들자.
디야 - 안전해서 사는 곳이 아니라, 내일도 살려고 계속 고치는 곳으로.</x:v>
      </x:c>
      <x:c r="I30" s="990" t="str">
        <x:v>아직 결론을 미룬다.</x:v>
      </x:c>
      <x:c r="J30" s="990" t="str">
        <x:v>변화 없음</x:v>
      </x:c>
      <x:c r="K30" s="990" t="str">
        <x:v>제이 - 폭풍 끝난 다음에 다시 보자.
디야 - 그래.
디야는 표식을 버리지 않았다.</x:v>
      </x:c>
      <x:c r="L30" s="990" t="str"/>
      <x:c r="M30" s="990" t="str"/>
      <x:c r="N30" s="990" t="str"/>
      <x:c r="O30" s="990" t="str">
        <x:v>Hidden/Stay Route의 디야는 장소에 집착하는 것이 아니라, 다음 세대가 실제로 살아갈 기반을 만들기로 선택한다.</x:v>
      </x:c>
      <x:c r="P30" s="990" t="str">
        <x:v>DIYA_HIDDEN_FINAL</x:v>
      </x:c>
      <x:c r="Q30" s="990" t="str">
        <x:v>확정원고 후보</x:v>
      </x:c>
      <x:c r="R30" s="990" t="str"/>
    </x:row>
    <x:row r="31" ht="30" hidden="0" customHeight="1">
      <x:c r="A31" s="998" t="str">
        <x:v>W3D18_07</x:v>
      </x:c>
      <x:c r="B31" s="998" t="n">
        <x:v>18</x:v>
      </x:c>
      <x:c r="C31" s="998" t="str">
        <x:v>페이 Final — 한 시간만큼은</x:v>
      </x:c>
      <x:c r="D31" s="998" t="str">
        <x:v>사람+비인물/Final</x:v>
      </x:c>
      <x:c r="E31" s="998" t="str">
        <x:v>페이가 함교 방송 패널 앞에서 샘을 불렀다.
페이 - 한 시간만 빌려줘.
샘 - 뭘?
페이 - 배 전체.
샘 - 안 돼.
페이 - 아직 뭘 할지도 안 말했는데.
샘 - 그래서 더 안 돼.
엔진 보조전원과 함교 방송 회선이 둘 다 살아 있다면 선택지가 열린다.</x:v>
      </x:c>
      <x:c r="F31" s="998" t="str">
        <x:v>[함교 ≥1 / 엔진 ≥1 / 1시간] 공연을 시작한다.</x:v>
      </x:c>
      <x:c r="G31" s="998" t="str">
        <x:v>시간 -1h / Will +3(Max5) / Full Route면 기술XP +6 / 페이 LEAVE</x:v>
      </x:c>
      <x:c r="H31" s="998" t="str">
        <x:v>처음엔 경고음 채널에서 작은 박자만 났다.
곧 D9의 신시 소리가 함교를 지나 거주구역까지 퍼졌다.
누군가는 웃었고 아이들은 통로에서 뛰었다.
한 시간이 끝나자 페이가 패널에서 손을 뗐다.
페이 - 한 시간만큼은, 살아 있었어.
제이 - 폭풍 중에도?
페이 - 그러니까 더.</x:v>
      </x:c>
      <x:c r="I31" s="998" t="str">
        <x:v>공연을 포기한다.</x:v>
      </x:c>
      <x:c r="J31" s="998" t="str">
        <x:v>Final 미완료 / 시간 소모 없음</x:v>
      </x:c>
      <x:c r="K31" s="998" t="str">
        <x:v>함교나 엔진이 죽어 있거나 플레이어가 시간을 쓰지 않으면 공연은 열리지 않는다.
대체 공연은 없다.</x:v>
      </x:c>
      <x:c r="L31" s="998" t="str"/>
      <x:c r="M31" s="998" t="str"/>
      <x:c r="N31" s="998" t="str"/>
      <x:c r="O31" s="998" t="str">
        <x:v>페이는 배를 다시 봤다.
페이 - 배가 꼭 감옥인 건 아니네.</x:v>
      </x:c>
      <x:c r="P31" s="998" t="str">
        <x:v>FAYE_FINAL_DONE</x:v>
      </x:c>
      <x:c r="Q31" s="998" t="str">
        <x:v>확정원고 후보</x:v>
      </x:c>
      <x:c r="R31" s="998" t="str"/>
    </x:row>
    <x:row r="32" ht="108" hidden="0" customHeight="1">
      <x:c r="A32" s="990" t="str">
        <x:v>W3D19_01</x:v>
      </x:c>
      <x:c r="B32" s="990" t="n">
        <x:v>19</x:v>
      </x:c>
      <x:c r="C32" s="990" t="str">
        <x:v>오늘만 넘기면 된다</x:v>
      </x:c>
      <x:c r="D32" s="990" t="str">
        <x:v>사람/Main</x:v>
      </x:c>
      <x:c r="E32" s="990" t="str">
        <x:v>08:00.
폭풍 소리는 배 바깥이 아니라 벽 안에서 나는 것 같았다.
보리치 - 오늘이 최고점이야.
샘 - 지나면?
보리치 - 약해질 가능성이 높아.
샘 - 가능성.
보리치 - 오늘은 그 단어에 만족해.</x:v>
      </x:c>
      <x:c r="F32" s="990" t="str">
        <x:v>계속한다.</x:v>
      </x:c>
      <x:c r="G32" s="990" t="str">
        <x:v>09:00 Boss Target 공개 예약</x:v>
      </x:c>
      <x:c r="H32" s="990" t="str">
        <x:v>샘은 함교 화면에 한 문장만 남겼다.
`오늘만 넘기면 된다.`</x:v>
      </x:c>
      <x:c r="I32" s="990" t="str"/>
      <x:c r="J32" s="990" t="str"/>
      <x:c r="K32" s="990" t="str"/>
      <x:c r="L32" s="990" t="str"/>
      <x:c r="M32" s="990" t="str"/>
      <x:c r="N32" s="990" t="str"/>
      <x:c r="O32" s="990" t="str">
        <x:v>09:00이 되면 Freezer와 남은 두 Target이 공개된다.</x:v>
      </x:c>
      <x:c r="P32" s="990" t="str">
        <x:v>D19_BOSS_BRIEF</x:v>
      </x:c>
      <x:c r="Q32" s="990" t="str">
        <x:v>확정원고 후보</x:v>
      </x:c>
      <x:c r="R32" s="990" t="str"/>
    </x:row>
    <x:row r="33" ht="84" hidden="0" customHeight="1">
      <x:c r="A33" s="990" t="str">
        <x:v>W3D19_05</x:v>
      </x:c>
      <x:c r="B33" s="990" t="n">
        <x:v>19</x:v>
      </x:c>
      <x:c r="C33" s="990" t="str">
        <x:v>09:00 — 세 곳을 미리 본다</x:v>
      </x:c>
      <x:c r="D33" s="990" t="str">
        <x:v>System/Emergency</x:v>
      </x:c>
      <x:c r="E33" s="990" t="str">
        <x:v>세 개의 아이콘이 동시에 붉어졌다.
냉동창고.
그리고 아직 이번 폭풍에서 사고가 나지 않았던 두 시설.
경보는 10시에 시작한다.
딱 한 시간 남았다.</x:v>
      </x:c>
      <x:c r="F33" s="990" t="str">
        <x:v>NPC에게 Target을 맡긴다.</x:v>
      </x:c>
      <x:c r="G33" s="990" t="str">
        <x:v>각 NPC Affinity/Will 요구 / 이동1h / 10:00 도착 여부 / Primary 효과 표시</x:v>
      </x:c>
      <x:c r="H33" s="990" t="str">
        <x:v>제이는 사람 이름을 시설 옆에 하나씩 놓았다.
한 사람은 한 곳에만 있을 수 있다.</x:v>
      </x:c>
      <x:c r="I33" s="990" t="str">
        <x:v>배치를 바꾸지 않는다.</x:v>
      </x:c>
      <x:c r="J33" s="990" t="str">
        <x:v>현재 위치 그대로 / 자동 Primary 대응 표시</x:v>
      </x:c>
      <x:c r="K33" s="990" t="str">
        <x:v>좋은 배치일 수도, 한 시간을 아끼려다 나중에 네 시간을 쓰는 선택일 수도 있었다.</x:v>
      </x:c>
      <x:c r="L33" s="990" t="str">
        <x:v>Affinity≥4인 인물에게 무리한 부탁을 한다.</x:v>
      </x:c>
      <x:c r="M33" s="990" t="str">
        <x:v>해당 authored 특수 Support / 완료 후 Affinity -1</x:v>
      </x:c>
      <x:c r="N33" s="990" t="str">
        <x:v>제이 - 한 번만 더 무리해 줄 수 있어?
그동안 쌓은 신뢰를 실제로 쓰는 순간이다.</x:v>
      </x:c>
      <x:c r="O33" s="990" t="str">
        <x:v>10:00.
세 경보가 동시에 시작된다.</x:v>
      </x:c>
      <x:c r="P33" s="990" t="str">
        <x:v>D19_ASSIGNMENT_LOCK</x:v>
      </x:c>
      <x:c r="Q33" s="990" t="str">
        <x:v>확정원고 후보</x:v>
      </x:c>
      <x:c r="R33" s="990" t="str"/>
    </x:row>
    <x:row r="34" ht="30" hidden="0" customHeight="1">
      <x:c r="A34" s="998" t="str">
        <x:v>W3D19_06</x:v>
      </x:c>
      <x:c r="B34" s="998" t="n">
        <x:v>19</x:v>
      </x:c>
      <x:c r="C34" s="998" t="str">
        <x:v>10:00 — 세 개의 경보</x:v>
      </x:c>
      <x:c r="D34" s="998" t="str">
        <x:v>Emergency/Boss</x:v>
      </x:c>
      <x:c r="E34" s="998" t="str">
        <x:v>Freezer의 여섯 시간 카운트다운이 시작됐다.
나머지 두 Crisis는 네 시간 뒤 첫 손상을 예고했다.
세 개의 시간이 서로 다른 속도로 줄었다.
샘 - 우선순위 말해.
제이 - 지금 정해.</x:v>
      </x:c>
      <x:c r="F34" s="998" t="str">
        <x:v>한 Crisis를 직접 해결한다.</x:v>
      </x:c>
      <x:c r="G34" s="998" t="str">
        <x:v>해당 시설 4h / Stat 2h / Stat+Will 1h 선택지 표시</x:v>
      </x:c>
      <x:c r="H34" s="998" t="str">
        <x:v>제이가 한 화면을 열자 다른 두 시간은 계속 줄었다.</x:v>
      </x:c>
      <x:c r="I34" s="998" t="str">
        <x:v>NPC 진행상황을 믿고 다른 곳으로 간다.</x:v>
      </x:c>
      <x:c r="J34" s="998" t="str">
        <x:v>NPC 작업 완료시각 / Jay 시간0</x:v>
      </x:c>
      <x:c r="K34" s="998" t="str">
        <x:v>통신기 너머로 공구 소리와 짧은 보고가 들렸다.
사람에게 투자한 시간이 지금 제이의 시간을 돌려주고 있었다.</x:v>
      </x:c>
      <x:c r="L34" s="998" t="str">
        <x:v>한 Tick을 감수하고 Freezer를 우선한다.</x:v>
      </x:c>
      <x:c r="M34" s="998" t="str">
        <x:v>14:00 일반 Crisis 피해 / Freezer 성공 시 Integrity 2</x:v>
      </x:c>
      <x:c r="N34" s="998" t="str">
        <x:v>시설 하나가 손상되는 동안 제이는 냉동창고 카운트다운을 붙잡았다.</x:v>
      </x:c>
      <x:c r="O34" s="998" t="str">
        <x:v>16:00까지 Freezer를 살리면 Integrity 2.
실패하면 장거리 항해가 불가능해진다.</x:v>
      </x:c>
      <x:c r="P34" s="998" t="str">
        <x:v>D19_BOSS_ACTIVE</x:v>
      </x:c>
      <x:c r="Q34" s="998" t="str">
        <x:v>확정원고 후보</x:v>
      </x:c>
      <x:c r="R34" s="998" t="str"/>
    </x:row>
    <x:row r="35" ht="30" hidden="0" customHeight="1">
      <x:c r="A35" s="998" t="str">
        <x:v>W3D19_03</x:v>
      </x:c>
      <x:c r="B35" s="998" t="n">
        <x:v>19</x:v>
      </x:c>
      <x:c r="C35" s="998" t="str">
        <x:v>벤자민 Crisis Final — 살아 있는 사람을 고치는 시간</x:v>
      </x:c>
      <x:c r="D35" s="998" t="str">
        <x:v>사람+Emergency/Final</x:v>
      </x:c>
      <x:c r="E35" s="998" t="str">
        <x:v>벤자민이 비상 프레임 고정핀을 망치로 두 번 두드렸다.
벤자민 - 너 손 떨린다.
제이 - 안 떨어.
벤자민 - 그럼 배가 떠는 건가 보네.
지금 1시간을 쓰면 벤자민은 그동안 다른 Crisis를 맡을 수 없다.</x:v>
      </x:c>
      <x:c r="F35" s="998" t="str">
        <x:v>[1시간] 벤자민과 비상 보강을 같이 한다.</x:v>
      </x:c>
      <x:c r="G35" s="998" t="str">
        <x:v>시간 -1h / Will +3(Max5) / Full Route면 강인함XP +6 / 다른 Root Timer 계속</x:v>
      </x:c>
      <x:c r="H35" s="998" t="str">
        <x:v>둘은 말보다 먼저 손을 움직였다.
제이 - 넌 어떻게 계속 고쳐?
벤자민 - 고장났으니까.
제이 - 사람 얘기야.
벤자민의 손이 잠깐 멈췄다.
벤자민 - 죽은 사람은 내가 기억해.
벤자민 - 살아 있는 사람은 지금 고쳐.
벤자민 - 둘 중 하나 버리라는 말 아니야. 순서를 말하는 거야.</x:v>
      </x:c>
      <x:c r="I35" s="998" t="str">
        <x:v>지금은 벤자민을 Crisis에 남긴다.</x:v>
      </x:c>
      <x:c r="J35" s="998" t="str">
        <x:v>시간 소모 없음 / Specialist 유지 / Final 미사용</x:v>
      </x:c>
      <x:c r="K35" s="998" t="str">
        <x:v>제이 - 나중에 얘기하자.
벤자민 - 그래.
벤자민은 바로 다음 패널을 열었다.</x:v>
      </x:c>
      <x:c r="L35" s="998" t="str"/>
      <x:c r="M35" s="998" t="str"/>
      <x:c r="N35" s="998" t="str"/>
      <x:c r="O35" s="998" t="str">
        <x:v>Final을 썼다면 한 시간이 끝날 때 제이는 다시 선택할 수 있을 정도의 정신을 되찾는다.</x:v>
      </x:c>
      <x:c r="P35" s="998" t="str">
        <x:v>BENJAMIN_CRISIS_FINAL_USED</x:v>
      </x:c>
      <x:c r="Q35" s="998" t="str">
        <x:v>확정원고 후보</x:v>
      </x:c>
      <x:c r="R35" s="998" t="str"/>
    </x:row>
    <x:row r="36" ht="30" hidden="0" customHeight="1">
      <x:c r="A36" s="998" t="str">
        <x:v>W3D19_07</x:v>
      </x:c>
      <x:c r="B36" s="998" t="n">
        <x:v>19</x:v>
      </x:c>
      <x:c r="C36" s="998" t="str">
        <x:v>Global Hull 0 — 배 전체가 꺾인다</x:v>
      </x:c>
      <x:c r="D36" s="998" t="str">
        <x:v>Emergency/Forced Phase</x:v>
      </x:c>
      <x:c r="E36" s="998" t="str">
        <x:v>한 구역의 경보가 아니라 배 전체 조명이 꺼졌다.
바닥이 크게 기울고 프레임이 안쪽으로 우는 소리를 냈다.
페이 - Hull 제로.
벤자민 - 전부 멈춰!
기존 Crisis 카운트다운이 일시 정지된다.
남은 시간은 네 시간.</x:v>
      </x:c>
      <x:c r="F36" s="998" t="str">
        <x:v>[기술 ≥8 / 2시간] 비상 프레임을 다시 세운다.</x:v>
      </x:c>
      <x:c r="G36" s="998" t="str">
        <x:v>시간 -2h / Hull 0→4 / 다른 Root Timer PAUSE</x:v>
      </x:c>
      <x:c r="H36" s="998" t="str">
        <x:v>제이는 무너진 하중을 다른 프레임으로 넘겼다.
배가 수평을 찾자 멈췄던 경보 시간이 재개됐다.</x:v>
      </x:c>
      <x:c r="I36" s="998" t="str">
        <x:v>[의지 -2 / 4시간] 아무도 밖으로 보내지 않고 전원이 버틴다.</x:v>
      </x:c>
      <x:c r="J36" s="998" t="str">
        <x:v>시간 -4h / 의지 -2 / Hull 0→1 / 전원 생존 / Root Timer PAUSE</x:v>
      </x:c>
      <x:c r="K36" s="998" t="str">
        <x:v>사람들이 통로와 프레임을 직접 붙잡았다.
전문 수리가 아니라, 무너지지 않게 네 시간을 버틴 것이었다.</x:v>
      </x:c>
      <x:c r="L36" s="998" t="str">
        <x:v>[벤자민/페이 Available] 전문가에게 맡긴다.</x:v>
      </x:c>
      <x:c r="M36" s="998" t="str">
        <x:v>1명 2h→Hull4 / 둘 1h→Hull4 / Jay 시간0 / Root Timer PAUSE</x:v>
      </x:c>
      <x:c r="N36" s="998" t="str">
        <x:v>전문가가 살아 있고 비어 있다면 지금까지 살려둔 사람이 배 전체를 살린다.</x:v>
      </x:c>
      <x:c r="O36" s="998" t="str">
        <x:v>이날 두 번째 Hull 0은 복구 기회 없이 Bad1로 이어진다.</x:v>
      </x:c>
      <x:c r="P36" s="998" t="str">
        <x:v>GLOBAL_HULL_RECOVERED</x:v>
      </x:c>
      <x:c r="Q36" s="998" t="str">
        <x:v>확정원고 후보</x:v>
      </x:c>
      <x:c r="R36" s="998" t="str">
        <x:v>기술10/Will 보완 1h 선택도 실제 UI에 함께 노출.</x:v>
      </x:c>
    </x:row>
    <x:row r="37" ht="108" hidden="0" customHeight="1">
      <x:c r="A37" s="990" t="str">
        <x:v>W3D20_01</x:v>
      </x:c>
      <x:c r="B37" s="990" t="n">
        <x:v>20</x:v>
      </x:c>
      <x:c r="C37" s="990" t="str">
        <x:v>폭풍이 약해진다</x:v>
      </x:c>
      <x:c r="D37" s="990" t="str">
        <x:v>사람/Main</x:v>
      </x:c>
      <x:c r="E37" s="990" t="str">
        <x:v>아침이 되자 처음으로 배 바깥 소리가 조금 멀어졌다.
보리치 - 약해지고 있어.
샘 - 확실해?
보리치 - 오늘은 확실하다고 말할게.
샘이 웃었다.
샘 - 그 말 기다렸어.</x:v>
      </x:c>
      <x:c r="F37" s="990" t="str">
        <x:v>[1시간] D19 피해와 남은 Recovery를 확인한다.</x:v>
      </x:c>
      <x:c r="G37" s="990" t="str">
        <x:v>시간 -1h / D20 신규 Wave 없음 / 최종 수리·Epilogue 오픈</x:v>
      </x:c>
      <x:c r="H37" s="990" t="str">
        <x:v>오늘 새 경보는 없다.
대신 어제 생긴 상처는 그대로 남아 있다.
폭풍이 약해진다고 배가 저절로 고쳐지는 건 아니다.</x:v>
      </x:c>
      <x:c r="I37" s="990" t="str"/>
      <x:c r="J37" s="990" t="str"/>
      <x:c r="K37" s="990" t="str"/>
      <x:c r="L37" s="990" t="str"/>
      <x:c r="M37" s="990" t="str"/>
      <x:c r="N37" s="990" t="str"/>
      <x:c r="O37" s="990" t="str">
        <x:v>내일이면 문을 열 수 있다.
오늘은 그 전에 무엇을 마지막으로 정리할지 고르는 날이다.</x:v>
      </x:c>
      <x:c r="P37" s="990" t="str">
        <x:v>STORM_WEAKENING_CONFIRMED</x:v>
      </x:c>
      <x:c r="Q37" s="990" t="str">
        <x:v>확정원고 후보</x:v>
      </x:c>
      <x:c r="R37" s="990" t="str"/>
    </x:row>
    <x:row r="38" ht="108" hidden="0" customHeight="1">
      <x:c r="A38" s="990" t="str">
        <x:v>W3D20_03</x:v>
      </x:c>
      <x:c r="B38" s="990" t="n">
        <x:v>20</x:v>
      </x:c>
      <x:c r="C38" s="990" t="str">
        <x:v>샘 Epilogue — 살아남은 뒤의 선장</x:v>
      </x:c>
      <x:c r="D38" s="990" t="str">
        <x:v>사람/Epilogue</x:v>
      </x:c>
      <x:c r="E38" s="990" t="str">
        <x:v>샘은 D15에 접어둔 빈 종이를 다시 꺼냈다.
이번에는 이름을 쓰지 않았다.
샘 - 내일 사람들이 말하겠지.
제이 - 무슨 답 나올 것 같아?
샘 - 모르겠어.
제이 - 괜찮아?
샘 - 이제는.</x:v>
      </x:c>
      <x:c r="F38" s="990" t="str">
        <x:v>[1.5시간] 샘과 내일의 집결 순서를 정리한다.</x:v>
      </x:c>
      <x:c r="G38" s="990" t="str">
        <x:v>시간 -1.5h / Stance 추가변화 없음 / 감정 마무리</x:v>
      </x:c>
      <x:c r="H38" s="990" t="str">
        <x:v>샘 - 나는 떠날 거야.
제이 - 알아.
샘 - 그래도 남겠다는 사람을 태워갈 순 없잖아.
제이 - 반대도 그렇고.
샘 - 응.
샘은 빈 종이를 정말 빈 채로 두었다.</x:v>
      </x:c>
      <x:c r="I38" s="990" t="str"/>
      <x:c r="J38" s="990" t="str"/>
      <x:c r="K38" s="990" t="str"/>
      <x:c r="L38" s="990" t="str"/>
      <x:c r="M38" s="990" t="str"/>
      <x:c r="N38" s="990" t="str"/>
      <x:c r="O38" s="990" t="str">
        <x:v>샘은 모두의 답을 대신 내리는 사람이 아니라, 각자의 답을 실행 가능한 계획으로 바꾸는 선장이 되었다.</x:v>
      </x:c>
      <x:c r="P38" s="990" t="str">
        <x:v>SAM_EPILOGUE_DONE</x:v>
      </x:c>
      <x:c r="Q38" s="990" t="str">
        <x:v>확정원고 후보</x:v>
      </x:c>
      <x:c r="R38" s="990" t="str"/>
    </x:row>
    <x:row r="39" ht="120" hidden="0" customHeight="1">
      <x:c r="A39" s="990" t="str">
        <x:v>W3D20_BEN</x:v>
      </x:c>
      <x:c r="B39" s="990" t="n">
        <x:v>20</x:v>
      </x:c>
      <x:c r="C39" s="990" t="str">
        <x:v>벤자민 Epilogue — 이름을 가져가는 법</x:v>
      </x:c>
      <x:c r="D39" s="990" t="str">
        <x:v>사람/Epilogue</x:v>
      </x:c>
      <x:c r="E39" s="990" t="str">
        <x:v>벤자민은 약혼자의 이름이 새겨진 휴대용 기록판을 무릎 위에 올려두고 있었다.
제이 - 어디 둘 거야?
벤자민 - 아직 모르겠어.
제이 - 묘지에?
벤자민 - 아니.
대답은 생각보다 빨랐다.</x:v>
      </x:c>
      <x:c r="F39" s="990" t="str">
        <x:v>「들고 가도 되는 거잖아.」</x:v>
      </x:c>
      <x:c r="G39" s="990" t="str">
        <x:v>조건에 따라 벤자민 STAY→UNDECIDED / 페이 공연까지 봤다면 LEAVE 가능</x:v>
      </x:c>
      <x:c r="H39" s="990" t="str">
        <x:v>제이 - 들고 가도 되는 거잖아.
벤자민 - 이제 알겠어.
벤자민 - 그 사람을 여기 두고 간다고 잊는 건 아니더라.
벤자민 - 이름은 내가 가져가는 거지.
페이 공연까지 봤다면 덧붙인다.
벤자민 - 배에서도 사람이 살긴 하더라.</x:v>
      </x:c>
      <x:c r="I39" s="990" t="str">
        <x:v>아직 묘지에 두기로 한다.</x:v>
      </x:c>
      <x:c r="J39" s="990" t="str">
        <x:v>벤자민 STAY 유지 가능</x:v>
      </x:c>
      <x:c r="K39" s="990" t="str">
        <x:v>벤자민 - 아직은 여기 둘래.
제이 - 그래.
벤자민 - 그게 기억을 버린다는 뜻도, 들고 가야 한다는 뜻도 아니니까.</x:v>
      </x:c>
      <x:c r="L39" s="990" t="str"/>
      <x:c r="M39" s="990" t="str"/>
      <x:c r="N39" s="990" t="str"/>
      <x:c r="O39" s="990" t="str">
        <x:v>D19가 행동의 절정이었다면 D20은 그 행동의 의미를 말로 정리하는 날이다.</x:v>
      </x:c>
      <x:c r="P39" s="990" t="str">
        <x:v>BENJAMIN_EPILOGUE</x:v>
      </x:c>
      <x:c r="Q39" s="990" t="str">
        <x:v>확정원고 후보</x:v>
      </x:c>
      <x:c r="R39" s="990" t="str"/>
    </x:row>
    <x:row r="40" ht="84" hidden="0" customHeight="1">
      <x:c r="A40" s="990" t="str">
        <x:v>W3D21_01</x:v>
      </x:c>
      <x:c r="B40" s="990" t="n">
        <x:v>21</x:v>
      </x:c>
      <x:c r="C40" s="990" t="str">
        <x:v>문을 다시 연다</x:v>
      </x:c>
      <x:c r="D40" s="990" t="str">
        <x:v>비인물+사람/Main</x:v>
      </x:c>
      <x:c r="E40" s="990" t="str">
        <x:v>잠금 장치를 풀었는데도 아무도 바로 레버를 당기지 않았다.
샘 - 밖에 사람 없어?
페이 - 그 말 이제 습관 됐네.
샘 - 좋은 습관이야.
제이가 레버를 내렸다.</x:v>
      </x:c>
      <x:c r="F40" s="990" t="str">
        <x:v>[1시간] 외부 문을 연다.</x:v>
      </x:c>
      <x:c r="G40" s="990" t="str">
        <x:v>시간 -1h / Emergency 생성 종료 / 최종 결정 단계 진입</x:v>
      </x:c>
      <x:c r="H40" s="990" t="str">
        <x:v>문이 열리자 빛이 먼저 들어왔다.
표식 몇 개는 사라졌고 남은 것들은 반쯤 묻혀 있었다.
그래도 하늘은 보였다.</x:v>
      </x:c>
      <x:c r="I40" s="990" t="str"/>
      <x:c r="J40" s="990" t="str"/>
      <x:c r="K40" s="990" t="str"/>
      <x:c r="L40" s="990" t="str"/>
      <x:c r="M40" s="990" t="str"/>
      <x:c r="N40" s="990" t="str"/>
      <x:c r="O40" s="990" t="str">
        <x:v>사람들이 하나씩 밖으로 나왔다.
살아남았다는 사실이 처음으로 경보가 아닌 풍경으로 보였다.</x:v>
      </x:c>
      <x:c r="P40" s="990" t="str">
        <x:v>DAY21_OUTSIDE_OPEN</x:v>
      </x:c>
      <x:c r="Q40" s="990" t="str">
        <x:v>확정원고 후보</x:v>
      </x:c>
      <x:c r="R40" s="990" t="str"/>
    </x:row>
    <x:row r="41" ht="30" hidden="0" customHeight="1">
      <x:c r="A41" s="998" t="str">
        <x:v>W3D21_02</x:v>
      </x:c>
      <x:c r="B41" s="998" t="n">
        <x:v>21</x:v>
      </x:c>
      <x:c r="C41" s="998" t="str">
        <x:v>배와 행성을 마지막으로 확인한다</x:v>
      </x:c>
      <x:c r="D41" s="998" t="str">
        <x:v>비인물/Main</x:v>
      </x:c>
      <x:c r="E41" s="998" t="str">
        <x:v>제이는 먼저 수송선을 봤다.
떠날 수 있는가. 수리하면 떠날 수 있는가. 아예 떠날 수 없는가.
그 다음 오아시스 펌프·취수정과 거주지 기록을 봤다.
여기서 살아갈 근거가 있는가.
마지막으로 사람 이름을 봤다.</x:v>
      </x:c>
      <x:c r="F41" s="998" t="str">
        <x:v>[2시간] 최종 상태를 확인한다.</x:v>
      </x:c>
      <x:c r="G41" s="998" t="str">
        <x:v>시간 -2h / ShipCondition·Sustainability·생존자·Stance·실행인력 결과 표시</x:v>
      </x:c>
      <x:c r="H41" s="998" t="str">
        <x:v>숫자는 이미 정해져 있었다.
오늘 새로 선택해서 고칠 수 있는 판정이 아니었다.
21일 동안 고친 것, 버린 것, 살린 사람, 끝까지 들은 말이 한 화면에 모였다.</x:v>
      </x:c>
      <x:c r="I41" s="998" t="str"/>
      <x:c r="J41" s="998" t="str"/>
      <x:c r="K41" s="998" t="str"/>
      <x:c r="L41" s="998" t="str"/>
      <x:c r="M41" s="998" t="str"/>
      <x:c r="N41" s="998" t="str"/>
      <x:c r="O41" s="998" t="str">
        <x:v>제이는 사람들을 불렀다.
마지막 결과는 버튼 하나가 아니라 지금까지 남아 있는 것들에서 나온다.</x:v>
      </x:c>
      <x:c r="P41" s="998" t="str">
        <x:v>ENDING_STATE_LOCKED</x:v>
      </x:c>
      <x:c r="Q41" s="998" t="str">
        <x:v>확정원고 후보</x:v>
      </x:c>
      <x:c r="R41" s="998" t="str"/>
    </x:row>
    <x:row r="42" ht="30" hidden="0" customHeight="1">
      <x:c r="A42" s="998" t="str">
        <x:v>W3D21_03</x:v>
      </x:c>
      <x:c r="B42" s="998" t="n">
        <x:v>21</x:v>
      </x:c>
      <x:c r="C42" s="998" t="str">
        <x:v>마지막 자유 대화</x:v>
      </x:c>
      <x:c r="D42" s="998" t="str">
        <x:v>사람/Optional</x:v>
      </x:c>
      <x:c r="E42" s="998" t="str">
        <x:v>집결까지 시간이 조금 남았다.
살아 있는 사람 한 명과 마지막으로 이야기할 수 있다.</x:v>
      </x:c>
      <x:c r="F42" s="998" t="str">
        <x:v>[2시간] 한 사람을 찾아간다.</x:v>
      </x:c>
      <x:c r="G42" s="998" t="str">
        <x:v>시간 -2h / 해당 인물 최종 감정 Variant 확인 / 수치 변화 없음</x:v>
      </x:c>
      <x:c r="H42" s="998" t="str">
        <x:v>이 대화는 엔딩을 뒤집지 않는다.
그 사람이 왜 지금의 답을 내렸는지 마지막으로 읽는 장면이다.</x:v>
      </x:c>
      <x:c r="I42" s="998" t="str">
        <x:v>바로 집결한다.</x:v>
      </x:c>
      <x:c r="J42" s="998" t="str">
        <x:v>시간 소모 없음</x:v>
      </x:c>
      <x:c r="K42" s="998" t="str">
        <x:v>제이는 더 묻지 않았다.
이미 들은 말만으로도 충분할 수 있다.</x:v>
      </x:c>
      <x:c r="L42" s="998" t="str"/>
      <x:c r="M42" s="998" t="str"/>
      <x:c r="N42" s="998" t="str"/>
      <x:c r="O42" s="998" t="str">
        <x:v>집결 시간이 되면 모든 생존자의 최종 Stance가 Ending Sequence에 반영된다.</x:v>
      </x:c>
      <x:c r="P42" s="998" t="str">
        <x:v>FINAL_FREE_TALK</x:v>
      </x:c>
      <x:c r="Q42" s="998" t="str">
        <x:v>확정원고 후보</x:v>
      </x:c>
      <x:c r="R42" s="998" t="str"/>
    </x:row>
    <x:row r="43" ht="30" hidden="0" customHeight="1">
      <x:c r="A43" s="998" t="str">
        <x:v>W3D21_04</x:v>
      </x:c>
      <x:c r="B43" s="998" t="n">
        <x:v>21</x:v>
      </x:c>
      <x:c r="C43" s="998" t="str">
        <x:v>그래서 우리는 어디에서 살아갈 것인가</x:v>
      </x:c>
      <x:c r="D43" s="998" t="str">
        <x:v>Event/Ending</x:v>
      </x:c>
      <x:c r="E43" s="998" t="str">
        <x:v>사람들이 수송선 앞에 모였다.
샘은 진행을 맡았지만 답을 먼저 말하지 않았다.
샘 - 배 상태부터 말할게.
그 다음 보리치가 행성 데이터를 읽고, 각자가 자기 답을 말한다.
플레이어가 마지막에 '떠난다/남는다' 버튼을 눌러 과거 상태를 덮어쓰지 않는다.</x:v>
      </x:c>
      <x:c r="F43" s="998" t="str">
        <x:v>결과를 확인한다.</x:v>
      </x:c>
      <x:c r="G43" s="998" t="str">
        <x:v>현재 상태에 맞는 Ending Sequence 자동 재생</x:v>
      </x:c>
      <x:c r="H43" s="998" t="str">
        <x:v>제이는 마지막 선택지를 고르지 않는다.
대신 지난 21일 동안 고른 선택들이 이제 하나의 결과가 된다.</x:v>
      </x:c>
      <x:c r="I43" s="998" t="str"/>
      <x:c r="J43" s="998" t="str"/>
      <x:c r="K43" s="998" t="str"/>
      <x:c r="L43" s="998" t="str"/>
      <x:c r="M43" s="998" t="str"/>
      <x:c r="N43" s="998" t="str"/>
      <x:c r="O43" s="998" t="str">
        <x:v>세부 원고는 30_EndingNarrative에서 Ending별로 분기한다.</x:v>
      </x:c>
      <x:c r="P43" s="998" t="str">
        <x:v>ENDING_EVALUATED</x:v>
      </x:c>
      <x:c r="Q43" s="998" t="str">
        <x:v>확정원고 후보</x:v>
      </x:c>
      <x:c r="R43" s="998" t="str">
        <x:v>Bad1/2는 선행 시점에서 이미 종료 가능.</x:v>
      </x:c>
    </x:row>
    <x:row r="44" ht="15" hidden="0" customHeight="1">
      <x:c r="A44" s="990"/>
      <x:c r="B44" s="990"/>
      <x:c r="C44" s="990"/>
      <x:c r="D44" s="990"/>
      <x:c r="E44" s="990"/>
      <x:c r="F44" s="990"/>
      <x:c r="G44" s="990"/>
      <x:c r="H44" s="990"/>
      <x:c r="I44" s="990"/>
      <x:c r="J44" s="990"/>
      <x:c r="K44" s="990"/>
      <x:c r="L44" s="990"/>
      <x:c r="M44" s="990"/>
      <x:c r="N44" s="990"/>
      <x:c r="O44" s="990"/>
      <x:c r="P44" s="990"/>
      <x:c r="Q44" s="990"/>
      <x:c r="R44" s="990"/>
    </x:row>
    <x:row r="45" ht="26" hidden="0" customHeight="1">
      <x:c r="A45" s="1007" t="str">
        <x:v>3. W3 Emergency 공통 UI 원고</x:v>
      </x:c>
      <x:c r="B45" s="1007"/>
      <x:c r="C45" s="1007"/>
      <x:c r="D45" s="1007"/>
      <x:c r="E45" s="1007"/>
      <x:c r="F45" s="1007"/>
      <x:c r="G45" s="1007"/>
      <x:c r="H45" s="1007"/>
      <x:c r="I45" s="1007"/>
      <x:c r="J45" s="1007"/>
      <x:c r="K45" s="1007"/>
      <x:c r="L45" s="1007"/>
      <x:c r="M45" s="1007"/>
      <x:c r="N45" s="1007"/>
      <x:c r="O45" s="1007"/>
      <x:c r="P45" s="1007"/>
      <x:c r="Q45" s="1007"/>
      <x:c r="R45" s="1007"/>
    </x:row>
    <x:row r="46" ht="30" hidden="0" customHeight="1">
      <x:c r="A46" s="1012" t="str">
        <x:v>Target</x:v>
      </x:c>
      <x:c r="B46" s="1012" t="str">
        <x:v>도입 Variant</x:v>
      </x:c>
      <x:c r="C46" s="1012" t="str">
        <x:v>기본 4h</x:v>
      </x:c>
      <x:c r="D46" s="1012" t="str">
        <x:v>Stat 2h</x:v>
      </x:c>
      <x:c r="E46" s="1012" t="str">
        <x:v>한계돌파 1h</x:v>
      </x:c>
      <x:c r="F46" s="1012" t="str">
        <x:v>Primary NPC</x:v>
      </x:c>
      <x:c r="G46" s="1012" t="str">
        <x:v>Tick/Deadline</x:v>
      </x:c>
      <x:c r="H46" s="1012" t="str">
        <x:v>Hover 핵심</x:v>
      </x:c>
      <x:c r="I46" s="1012" t="str">
        <x:v>상태</x:v>
      </x:c>
      <x:c r="J46" s="1012"/>
      <x:c r="K46" s="1012"/>
      <x:c r="L46" s="1012"/>
      <x:c r="M46" s="1012"/>
      <x:c r="N46" s="1012"/>
      <x:c r="O46" s="1012"/>
      <x:c r="P46" s="1012"/>
      <x:c r="Q46" s="1012"/>
      <x:c r="R46" s="1012"/>
    </x:row>
    <x:row r="47" ht="36" hidden="0" customHeight="1">
      <x:c r="A47" s="990" t="str">
        <x:v>함교</x:v>
      </x:c>
      <x:c r="B47" s="990" t="str">
        <x:v>보고가 서로 덮이고 항법·통신 화면이 번갈아 끊긴다.</x:v>
      </x:c>
      <x:c r="C47" s="990" t="str">
        <x:v>[4시간] 수동 보고망과 항법계통을 하나씩 복구한다.</x:v>
      </x:c>
      <x:c r="D47" s="990" t="str">
        <x:v>[교감≥7] 보고 순서를 다시 세운다 / [기술≥7] 항법 버스를 우회한다.</x:v>
      </x:c>
      <x:c r="E47" s="990" t="str">
        <x:v>[교감/기술≥9 또는 의지 보완] 임시 지휘체계를 즉시 강행한다.</x:v>
      </x:c>
      <x:c r="F47" s="990" t="str">
        <x:v>샘 2h</x:v>
      </x:c>
      <x:c r="G47" s="990" t="str">
        <x:v>4h Tick: 함교-1 + Hull-1</x:v>
      </x:c>
      <x:c r="H47" s="990" t="str">
        <x:v>시간/Will/XP + 해결 후 향후 Tick 중단</x:v>
      </x:c>
      <x:c r="I47" s="990" t="str">
        <x:v>확정방향</x:v>
      </x:c>
      <x:c r="J47" s="990"/>
      <x:c r="K47" s="990"/>
      <x:c r="L47" s="990"/>
      <x:c r="M47" s="990"/>
      <x:c r="N47" s="990"/>
      <x:c r="O47" s="990"/>
      <x:c r="P47" s="990"/>
      <x:c r="Q47" s="990"/>
      <x:c r="R47" s="990"/>
    </x:row>
    <x:row r="48" ht="30" hidden="0" customHeight="1">
      <x:c r="A48" s="998" t="str">
        <x:v>엔진</x:v>
      </x:c>
      <x:c r="B48" s="998" t="str">
        <x:v>공학 구역 압력이 떨어지고 배관 안에서 금속이 찢어지는 소리가 난다.</x:v>
      </x:c>
      <x:c r="C48" s="998" t="str">
        <x:v>[4시간] 손상 구간을 차례로 봉합한다.</x:v>
      </x:c>
      <x:c r="D48" s="998" t="str">
        <x:v>[기술≥7 / 2시간] 파손 지점을 정확히 찾아 막는다.</x:v>
      </x:c>
      <x:c r="E48" s="998" t="str">
        <x:v>[기술≥9 또는 의지 보완 / 1시간] 압력을 유지한 채 우회 봉합한다.</x:v>
      </x:c>
      <x:c r="F48" s="998" t="str">
        <x:v>벤자민/페이 2h</x:v>
      </x:c>
      <x:c r="G48" s="998" t="str">
        <x:v>4h Tick: 엔진-1 + 산소-1 + Hull-1</x:v>
      </x:c>
      <x:c r="H48" s="998" t="str">
        <x:v>직접 Stat 해결 시 기술XP+1 후보</x:v>
      </x:c>
      <x:c r="I48" s="998" t="str">
        <x:v>확정방향</x:v>
      </x:c>
      <x:c r="J48" s="998"/>
      <x:c r="K48" s="998"/>
      <x:c r="L48" s="998"/>
      <x:c r="M48" s="998"/>
      <x:c r="N48" s="998"/>
      <x:c r="O48" s="998"/>
      <x:c r="P48" s="998"/>
      <x:c r="Q48" s="998"/>
      <x:c r="R48" s="998"/>
    </x:row>
    <x:row r="49" ht="24" hidden="0" customHeight="1">
      <x:c r="A49" s="990" t="str">
        <x:v>산소</x:v>
      </x:c>
      <x:c r="B49" s="990" t="str">
        <x:v>구역별 산소 수치가 서로 다른 속도로 떨어진다.</x:v>
      </x:c>
      <x:c r="C49" s="990" t="str">
        <x:v>[4시간] 구역을 봉쇄하고 천천히 재가압한다.</x:v>
      </x:c>
      <x:c r="D49" s="990" t="str">
        <x:v>[기술≥7] 분배 우회 / [강인함≥7] 저산소 구역 수동밸브.</x:v>
      </x:c>
      <x:c r="E49" s="990" t="str">
        <x:v>[기술/강인함≥9 또는 의지 보완] 순환 즉시 복구.</x:v>
      </x:c>
      <x:c r="F49" s="990" t="str">
        <x:v>벤자민/페이 2h</x:v>
      </x:c>
      <x:c r="G49" s="990" t="str">
        <x:v>4h Tick: 엔진-1 + 산소-1</x:v>
      </x:c>
      <x:c r="H49" s="990" t="str">
        <x:v>기계와 몸 두 해법을 동일 UI에서 비교</x:v>
      </x:c>
      <x:c r="I49" s="990" t="str">
        <x:v>확정방향</x:v>
      </x:c>
      <x:c r="J49" s="990"/>
      <x:c r="K49" s="990"/>
      <x:c r="L49" s="990"/>
      <x:c r="M49" s="990"/>
      <x:c r="N49" s="990"/>
      <x:c r="O49" s="990"/>
      <x:c r="P49" s="990"/>
      <x:c r="Q49" s="990"/>
      <x:c r="R49" s="990"/>
    </x:row>
    <x:row r="50" ht="30" hidden="0" customHeight="1">
      <x:c r="A50" s="998" t="str">
        <x:v>연구</x:v>
      </x:c>
      <x:c r="B50" s="998" t="str">
        <x:v>격리 경보와 냉각 경보가 동시에 올라온다. 연구실 하나의 문제가 냉동·온실까지 번질 수 있다.</x:v>
      </x:c>
      <x:c r="C50" s="998" t="str">
        <x:v>[4시간] 격리구역을 하나씩 닫고 환경제어를 재설정한다.</x:v>
      </x:c>
      <x:c r="D50" s="998" t="str">
        <x:v>[기술≥7 / 2시간] 냉각·격리 계통을 분리한다.</x:v>
      </x:c>
      <x:c r="E50" s="998" t="str">
        <x:v>[기술≥9 또는 의지 보완 / 1시간] 비상 격리 루프를 강제한다.</x:v>
      </x:c>
      <x:c r="F50" s="998" t="str">
        <x:v>보리치 2h</x:v>
      </x:c>
      <x:c r="G50" s="998" t="str">
        <x:v>4h Tick: 연구-1 + 냉동-1 + 온실-1</x:v>
      </x:c>
      <x:c r="H50" s="998" t="str">
        <x:v>한 Tick의 파급을 Hover에서 명시</x:v>
      </x:c>
      <x:c r="I50" s="998" t="str">
        <x:v>확정방향</x:v>
      </x:c>
      <x:c r="J50" s="998"/>
      <x:c r="K50" s="998"/>
      <x:c r="L50" s="998"/>
      <x:c r="M50" s="998"/>
      <x:c r="N50" s="998"/>
      <x:c r="O50" s="998"/>
      <x:c r="P50" s="998"/>
      <x:c r="Q50" s="998"/>
      <x:c r="R50" s="998"/>
    </x:row>
    <x:row r="51" ht="30" hidden="0" customHeight="1">
      <x:c r="A51" s="998" t="str">
        <x:v>온실</x:v>
      </x:c>
      <x:c r="B51" s="998" t="str">
        <x:v>급수와 조명이 번갈아 꺼지고 잎이 순식간에 처진다.</x:v>
      </x:c>
      <x:c r="C51" s="998" t="str">
        <x:v>[4시간] 수동 급수·조명을 연결한다.</x:v>
      </x:c>
      <x:c r="D51" s="998" t="str">
        <x:v>[기술≥7 / 2시간] 급수·조명 회로를 재연결한다.</x:v>
      </x:c>
      <x:c r="E51" s="998" t="str">
        <x:v>[기술≥9 또는 의지 보완 / 1시간] 최소 생육 루프만 살린다.</x:v>
      </x:c>
      <x:c r="F51" s="998" t="str">
        <x:v>보리치 2h / 디야 Support</x:v>
      </x:c>
      <x:c r="G51" s="998" t="str">
        <x:v>4h Tick: 온실-1 / 0이면 24h Recovery</x:v>
      </x:c>
      <x:c r="H51" s="998" t="str">
        <x:v>전용 미니게임 없이 일반 시설 Crisis</x:v>
      </x:c>
      <x:c r="I51" s="998" t="str">
        <x:v>확정방향</x:v>
      </x:c>
      <x:c r="J51" s="998"/>
      <x:c r="K51" s="998"/>
      <x:c r="L51" s="998"/>
      <x:c r="M51" s="998"/>
      <x:c r="N51" s="998"/>
      <x:c r="O51" s="998"/>
      <x:c r="P51" s="998"/>
      <x:c r="Q51" s="998"/>
      <x:c r="R51" s="998"/>
    </x:row>
    <x:row r="52" ht="24" hidden="0" customHeight="1">
      <x:c r="A52" s="990" t="str">
        <x:v>거주구역</x:v>
      </x:c>
      <x:c r="B52" s="990" t="str">
        <x:v>사람들이 한 통로로 몰리면서 안내가 서로 충돌한다.</x:v>
      </x:c>
      <x:c r="C52" s="990" t="str">
        <x:v>[4시간] 주민을 구획별로 옮기며 정리한다.</x:v>
      </x:c>
      <x:c r="D52" s="990" t="str">
        <x:v>[교감≥7] 설득해 분산 / [강인함≥7] 위험 통로 직접 순회.</x:v>
      </x:c>
      <x:c r="E52" s="990" t="str">
        <x:v>[교감≥9 또는 의지 보완] 하나의 대피명령을 즉시 세운다.</x:v>
      </x:c>
      <x:c r="F52" s="990" t="str">
        <x:v>지나/디야 2h</x:v>
      </x:c>
      <x:c r="G52" s="990" t="str">
        <x:v>4h Tick: 거주-1 / 0이면 즉시 Bad1</x:v>
      </x:c>
      <x:c r="H52" s="990" t="str">
        <x:v>사람을 움직이는 능력을 생존력으로 표시</x:v>
      </x:c>
      <x:c r="I52" s="990" t="str">
        <x:v>확정방향</x:v>
      </x:c>
      <x:c r="J52" s="990"/>
      <x:c r="K52" s="990"/>
      <x:c r="L52" s="990"/>
      <x:c r="M52" s="990"/>
      <x:c r="N52" s="990"/>
      <x:c r="O52" s="990"/>
      <x:c r="P52" s="990"/>
      <x:c r="Q52" s="990"/>
      <x:c r="R52" s="990"/>
    </x:row>
    <x:row r="53" ht="30" hidden="0" customHeight="1">
      <x:c r="A53" s="998" t="str">
        <x:v>냉동창고</x:v>
      </x:c>
      <x:c r="B53" s="998" t="str">
        <x:v>냉각 코어 온도가 빨간 선을 넘는다. Tick 대신 여섯 시간 Deadline으로 움직인다.</x:v>
      </x:c>
      <x:c r="C53" s="998" t="str">
        <x:v>[4시간] 냉각 회로를 차근차근 재구성한다.</x:v>
      </x:c>
      <x:c r="D53" s="998" t="str">
        <x:v>[기술≥8 / 2시간] 예비 냉각라인을 연결한다.</x:v>
      </x:c>
      <x:c r="E53" s="998" t="str">
        <x:v>[기술≥10 또는 의지 보완 / 1시간] 보호회로를 강제 우회한다.</x:v>
      </x:c>
      <x:c r="F53" s="998" t="str">
        <x:v>벤자민/페이 2h</x:v>
      </x:c>
      <x:c r="G53" s="998" t="str">
        <x:v>6h Deadline / 성공 Freezer=2 / 실패 영구정지</x:v>
      </x:c>
      <x:c r="H53" s="998" t="str">
        <x:v>Hover에 장거리 항해 불가 위험 공개</x:v>
      </x:c>
      <x:c r="I53" s="998" t="str">
        <x:v>확정</x:v>
      </x:c>
      <x:c r="J53" s="998"/>
      <x:c r="K53" s="998"/>
      <x:c r="L53" s="998"/>
      <x:c r="M53" s="998"/>
      <x:c r="N53" s="998"/>
      <x:c r="O53" s="998"/>
      <x:c r="P53" s="998"/>
      <x:c r="Q53" s="998"/>
      <x:c r="R53" s="998"/>
    </x:row>
    <x:row r="54" ht="15" hidden="0" customHeight="1">
      <x:c r="A54" s="990"/>
      <x:c r="B54" s="990"/>
      <x:c r="C54" s="990"/>
      <x:c r="D54" s="990"/>
      <x:c r="E54" s="990"/>
      <x:c r="F54" s="990"/>
      <x:c r="G54" s="990"/>
      <x:c r="H54" s="990"/>
      <x:c r="I54" s="990"/>
      <x:c r="J54" s="990"/>
      <x:c r="K54" s="990"/>
      <x:c r="L54" s="990"/>
      <x:c r="M54" s="990"/>
      <x:c r="N54" s="990"/>
      <x:c r="O54" s="990"/>
      <x:c r="P54" s="990"/>
      <x:c r="Q54" s="990"/>
      <x:c r="R54" s="990"/>
    </x:row>
    <x:row r="55" ht="26" hidden="0" customHeight="1">
      <x:c r="A55" s="1007" t="str">
        <x:v>4. D15 첫날 Character Check 짧은 Variant</x:v>
      </x:c>
      <x:c r="B55" s="1007"/>
      <x:c r="C55" s="1007"/>
      <x:c r="D55" s="1007"/>
      <x:c r="E55" s="1007"/>
      <x:c r="F55" s="1007"/>
      <x:c r="G55" s="1007"/>
      <x:c r="H55" s="1007"/>
      <x:c r="I55" s="1007"/>
      <x:c r="J55" s="1007"/>
      <x:c r="K55" s="1007"/>
      <x:c r="L55" s="1007"/>
      <x:c r="M55" s="1007"/>
      <x:c r="N55" s="1007"/>
      <x:c r="O55" s="1007"/>
      <x:c r="P55" s="1007"/>
      <x:c r="Q55" s="1007"/>
      <x:c r="R55" s="1007"/>
    </x:row>
    <x:row r="56" ht="30" hidden="0" customHeight="1">
      <x:c r="A56" s="1012" t="str">
        <x:v>인물</x:v>
      </x:c>
      <x:c r="B56" s="1012" t="str">
        <x:v>짧은 로그</x:v>
      </x:c>
      <x:c r="C56" s="1012" t="str">
        <x:v>후반 연결</x:v>
      </x:c>
      <x:c r="D56" s="1012"/>
      <x:c r="E56" s="1012"/>
      <x:c r="F56" s="1012"/>
      <x:c r="G56" s="1012"/>
      <x:c r="H56" s="1012"/>
      <x:c r="I56" s="1012"/>
      <x:c r="J56" s="1012"/>
      <x:c r="K56" s="1012"/>
      <x:c r="L56" s="1012"/>
      <x:c r="M56" s="1012"/>
      <x:c r="N56" s="1012"/>
      <x:c r="O56" s="1012"/>
      <x:c r="P56" s="1012"/>
      <x:c r="Q56" s="1012"/>
      <x:c r="R56" s="1012"/>
    </x:row>
    <x:row r="57" ht="48" hidden="0" customHeight="1">
      <x:c r="A57" s="990" t="str">
        <x:v>샘</x:v>
      </x:c>
      <x:c r="B57" s="990" t="str">
        <x:v>샘 - 다음 경보 전에 위치표부터 다시 만들자.
제이 - 좀 쉬고.
샘 - 위치표 만들면서 쉴게.</x:v>
      </x:c>
      <x:c r="C57" s="990" t="str">
        <x:v>D16 Final/부담</x:v>
      </x:c>
      <x:c r="D57" s="990"/>
      <x:c r="E57" s="990"/>
      <x:c r="F57" s="990"/>
      <x:c r="G57" s="990"/>
      <x:c r="H57" s="990"/>
      <x:c r="I57" s="990"/>
      <x:c r="J57" s="990"/>
      <x:c r="K57" s="990"/>
      <x:c r="L57" s="990"/>
      <x:c r="M57" s="990"/>
      <x:c r="N57" s="990"/>
      <x:c r="O57" s="990"/>
      <x:c r="P57" s="990"/>
      <x:c r="Q57" s="990"/>
      <x:c r="R57" s="990"/>
    </x:row>
    <x:row r="58" ht="48" hidden="0" customHeight="1">
      <x:c r="A58" s="990" t="str">
        <x:v>지나</x:v>
      </x:c>
      <x:c r="B58" s="990" t="str">
        <x:v>지나 - 애들 앞에서는 경보음 좀 줄일 수 없어?
페이 - 그거 줄이면 어른도 못 들어.
지나 - 알아. 그냥 싫어서 그래.</x:v>
      </x:c>
      <x:c r="C58" s="990" t="str">
        <x:v>D17 Final</x:v>
      </x:c>
      <x:c r="D58" s="990"/>
      <x:c r="E58" s="990"/>
      <x:c r="F58" s="990"/>
      <x:c r="G58" s="990"/>
      <x:c r="H58" s="990"/>
      <x:c r="I58" s="990"/>
      <x:c r="J58" s="990"/>
      <x:c r="K58" s="990"/>
      <x:c r="L58" s="990"/>
      <x:c r="M58" s="990"/>
      <x:c r="N58" s="990"/>
      <x:c r="O58" s="990"/>
      <x:c r="P58" s="990"/>
      <x:c r="Q58" s="990"/>
      <x:c r="R58" s="990"/>
    </x:row>
    <x:row r="59" ht="48" hidden="0" customHeight="1">
      <x:c r="A59" s="990" t="str">
        <x:v>페이</x:v>
      </x:c>
      <x:c r="B59" s="990" t="str">
        <x:v>페이 - 이 배, 고치면 고장나고 고치면 고장나네.
제이 - 원래 기계가 그렇지.
페이 - 아니. 얘는 성격이 나빠.</x:v>
      </x:c>
      <x:c r="C59" s="990" t="str">
        <x:v>D18 공연</x:v>
      </x:c>
      <x:c r="D59" s="990"/>
      <x:c r="E59" s="990"/>
      <x:c r="F59" s="990"/>
      <x:c r="G59" s="990"/>
      <x:c r="H59" s="990"/>
      <x:c r="I59" s="990"/>
      <x:c r="J59" s="990"/>
      <x:c r="K59" s="990"/>
      <x:c r="L59" s="990"/>
      <x:c r="M59" s="990"/>
      <x:c r="N59" s="990"/>
      <x:c r="O59" s="990"/>
      <x:c r="P59" s="990"/>
      <x:c r="Q59" s="990"/>
      <x:c r="R59" s="990"/>
    </x:row>
    <x:row r="60" ht="30" hidden="0" customHeight="1">
      <x:c r="A60" s="998" t="str">
        <x:v>벤자민</x:v>
      </x:c>
      <x:c r="B60" s="998" t="str">
        <x:v>벤자민 - 공구함 여기 둬. 다음엔 뛰어갈 시간도 아까워.
제이 - 다음이 있다고 단정하네.
벤자민 - 없으면 좋은 거고.</x:v>
      </x:c>
      <x:c r="C60" s="998" t="str">
        <x:v>D19 Crisis</x:v>
      </x:c>
      <x:c r="D60" s="998"/>
      <x:c r="E60" s="998"/>
      <x:c r="F60" s="998"/>
      <x:c r="G60" s="998"/>
      <x:c r="H60" s="998"/>
      <x:c r="I60" s="998"/>
      <x:c r="J60" s="998"/>
      <x:c r="K60" s="998"/>
      <x:c r="L60" s="998"/>
      <x:c r="M60" s="998"/>
      <x:c r="N60" s="998"/>
      <x:c r="O60" s="998"/>
      <x:c r="P60" s="998"/>
      <x:c r="Q60" s="998"/>
      <x:c r="R60" s="998"/>
    </x:row>
    <x:row r="61" ht="36" hidden="0" customHeight="1">
      <x:c r="A61" s="990" t="str">
        <x:v>보리치</x:v>
      </x:c>
      <x:c r="B61" s="990" t="str">
        <x:v>보리치 - 첫 Wave 기록 저장했어.
제이 - 벌써 다음 거 비교하려고?
보리치 - 이번엔 남겨야 하니까.</x:v>
      </x:c>
      <x:c r="C61" s="990" t="str">
        <x:v>D18 Final</x:v>
      </x:c>
      <x:c r="D61" s="990"/>
      <x:c r="E61" s="990"/>
      <x:c r="F61" s="990"/>
      <x:c r="G61" s="990"/>
      <x:c r="H61" s="990"/>
      <x:c r="I61" s="990"/>
      <x:c r="J61" s="990"/>
      <x:c r="K61" s="990"/>
      <x:c r="L61" s="990"/>
      <x:c r="M61" s="990"/>
      <x:c r="N61" s="990"/>
      <x:c r="O61" s="990"/>
      <x:c r="P61" s="990"/>
      <x:c r="Q61" s="990"/>
      <x:c r="R61" s="990"/>
    </x:row>
    <x:row r="62" ht="48" hidden="0" customHeight="1">
      <x:c r="A62" s="990" t="str">
        <x:v>디야</x:v>
      </x:c>
      <x:c r="B62" s="990" t="str">
        <x:v>디야 - 물통이 여섯 개 부족해.
제이 - 경보 끝난 지 십 분 됐어.
디야 - 그러니까 이제 물통 볼 시간이잖아.</x:v>
      </x:c>
      <x:c r="C62" s="990" t="str">
        <x:v>D18 Final</x:v>
      </x:c>
      <x:c r="D62" s="990"/>
      <x:c r="E62" s="990"/>
      <x:c r="F62" s="990"/>
      <x:c r="G62" s="990"/>
      <x:c r="H62" s="990"/>
      <x:c r="I62" s="990"/>
      <x:c r="J62" s="990"/>
      <x:c r="K62" s="990"/>
      <x:c r="L62" s="990"/>
      <x:c r="M62" s="990"/>
      <x:c r="N62" s="990"/>
      <x:c r="O62" s="990"/>
      <x:c r="P62" s="990"/>
      <x:c r="Q62" s="990"/>
      <x:c r="R62" s="990"/>
    </x:row>
  </x:sheetData>
  <x:mergeCells>
    <x:mergeCell ref="A1:R1"/>
    <x:mergeCell ref="A2:R2"/>
    <x:mergeCell ref="A4:R4"/>
    <x:mergeCell ref="A13:R13"/>
    <x:mergeCell ref="A45:R45"/>
    <x:mergeCell ref="A55:R55"/>
  </x:mergeCells>
  <x:conditionalFormatting sqref="I47:I62">
    <x:cfRule type="expression" dxfId="336" priority="1">
      <x:formula>OR(I47="완료",I47="확정",I47="확정방향",I47="방향 확정",LEFT(I47,2)="확정")</x:formula>
    </x:cfRule>
    <x:cfRule type="expression" dxfId="337" priority="2">
      <x:formula>OR(I47="TBD",I47="대기",ISNUMBER(SEARCH("TEMP",I47)))</x:formula>
    </x:cfRule>
    <x:cfRule type="expression" dxfId="338" priority="3">
      <x:formula>OR(I47="폐기",I47="HISTORICAL",ISNUMBER(SEARCH("폐기",I47)))</x:formula>
    </x:cfRule>
    <x:cfRule type="expression" dxfId="339" priority="4">
      <x:formula>OR(I47="NEXT",I47="진행")</x:formula>
    </x:cfRule>
  </x:conditionalFormatting>
  <x:conditionalFormatting sqref="Q15:Q62">
    <x:cfRule type="expression" dxfId="340" priority="5">
      <x:formula>OR(Q15="완료",Q15="확정",Q15="확정방향",Q15="방향 확정",LEFT(Q15,2)="확정")</x:formula>
    </x:cfRule>
    <x:cfRule type="expression" dxfId="341" priority="6">
      <x:formula>OR(Q15="TBD",Q15="대기",ISNUMBER(SEARCH("TEMP",Q15)))</x:formula>
    </x:cfRule>
    <x:cfRule type="expression" dxfId="342" priority="7">
      <x:formula>OR(Q15="폐기",Q15="HISTORICAL",ISNUMBER(SEARCH("폐기",Q15)))</x:formula>
    </x:cfRule>
    <x:cfRule type="expression" dxfId="343" priority="8">
      <x:formula>OR(Q15="NEXT",Q15="진행")</x:formula>
    </x:cfRule>
  </x:conditionalFormatting>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34" hidden="0" customWidth="1"/>
    <x:col min="3" max="3" width="38" hidden="0" customWidth="1"/>
    <x:col min="4" max="4" width="58" hidden="0" customWidth="1"/>
    <x:col min="5" max="5" width="40" hidden="0" customWidth="1"/>
    <x:col min="6" max="6" width="46" hidden="0" customWidth="1"/>
    <x:col min="7" max="7" width="38" hidden="0" customWidth="1"/>
    <x:col min="8" max="8" width="20" hidden="0" customWidth="1"/>
    <x:col min="9" max="9" width="8" hidden="0" customWidth="1"/>
    <x:col min="10" max="10" width="8" hidden="0" customWidth="1"/>
    <x:col min="11" max="11" width="8" hidden="0" customWidth="1"/>
    <x:col min="12" max="12" width="8" hidden="0" customWidth="1"/>
  </x:cols>
  <x:sheetData>
    <x:row r="1" ht="30" hidden="0" customHeight="1">
      <x:c r="A1" s="1030" t="str">
        <x:v>Ending Narrative v0.1 — Bad / Normal / True / Hidden Result Sequences</x:v>
      </x:c>
      <x:c r="B1" s="1014"/>
      <x:c r="C1" s="1014"/>
      <x:c r="D1" s="1014"/>
      <x:c r="E1" s="1014"/>
      <x:c r="F1" s="1014"/>
      <x:c r="G1" s="1014"/>
      <x:c r="H1" s="1014"/>
      <x:c r="I1" s="1018"/>
      <x:c r="J1" s="1018"/>
      <x:c r="K1" s="1018"/>
      <x:c r="L1" s="1018"/>
    </x:row>
    <x:row r="2" ht="42" hidden="0" customHeight="1">
      <x:c r="A2" s="1031" t="str">
        <x:v>D21에는 '떠난다/남는다' 최종 선택 버튼을 두지 않는다. Ending Evaluator가 Survival → Ship → Sustainability → 실행 인력 → Stance를 읽은 뒤 아래 결과 장면 중 하나를 재생한다. Bad1/Bad2는 각각 즉시/D14→15 시점에 먼저 종료될 수 있다.</x:v>
      </x:c>
      <x:c r="B2" s="565"/>
      <x:c r="C2" s="565"/>
      <x:c r="D2" s="565"/>
      <x:c r="E2" s="565"/>
      <x:c r="F2" s="565"/>
      <x:c r="G2" s="565"/>
      <x:c r="H2" s="565"/>
      <x:c r="I2" s="108"/>
      <x:c r="J2" s="108"/>
      <x:c r="K2" s="108"/>
      <x:c r="L2" s="108"/>
    </x:row>
    <x:row r="3" ht="15" hidden="0" customHeight="1">
      <x:c r="A3" s="990"/>
      <x:c r="B3" s="990"/>
      <x:c r="C3" s="990"/>
      <x:c r="D3" s="990"/>
      <x:c r="E3" s="990"/>
      <x:c r="F3" s="990"/>
      <x:c r="G3" s="990"/>
      <x:c r="H3" s="990"/>
    </x:row>
    <x:row r="4" ht="26" hidden="0" customHeight="1">
      <x:c r="A4" s="1032" t="str">
        <x:v>1. Ending 결과 원고</x:v>
      </x:c>
      <x:c r="B4" s="1019"/>
      <x:c r="C4" s="1019"/>
      <x:c r="D4" s="1019"/>
      <x:c r="E4" s="1019"/>
      <x:c r="F4" s="1019"/>
      <x:c r="G4" s="1019"/>
      <x:c r="H4" s="1019"/>
      <x:c r="I4" s="1022"/>
      <x:c r="J4" s="1022"/>
      <x:c r="K4" s="1022"/>
      <x:c r="L4" s="1022"/>
    </x:row>
    <x:row r="5" ht="30" hidden="0" customHeight="1">
      <x:c r="A5" s="1012" t="str">
        <x:v>Ending</x:v>
      </x:c>
      <x:c r="B5" s="1012" t="str">
        <x:v>판정 요약</x:v>
      </x:c>
      <x:c r="C5" s="1012" t="str">
        <x:v>시작 장면</x:v>
      </x:c>
      <x:c r="D5" s="1012" t="str">
        <x:v>핵심 대화/본문</x:v>
      </x:c>
      <x:c r="E5" s="1012" t="str">
        <x:v>마지막 이미지</x:v>
      </x:c>
      <x:c r="F5" s="1012" t="str">
        <x:v>마지막 문장 후보</x:v>
      </x:c>
      <x:c r="G5" s="1012" t="str">
        <x:v>Variant</x:v>
      </x:c>
      <x:c r="H5" s="1012" t="str">
        <x:v>상태</x:v>
      </x:c>
    </x:row>
    <x:row r="6" ht="30" hidden="0" customHeight="1">
      <x:c r="A6" s="998" t="str">
        <x:v>Bad 1</x:v>
      </x:c>
      <x:c r="B6" s="998" t="str">
        <x:v>치명 Emergency 실패 / Jay 사망 / Living0 / 같은 날 2차 Hull0 등</x:v>
      </x:c>
      <x:c r="C6" s="998" t="str">
        <x:v>해당 위기의 Deadline이 끝나는 순간 다른 미래 판정을 건너뛰고 즉시 재생.</x:v>
      </x:c>
      <x:c r="D6" s="998" t="str">
        <x:v>경보가 멎은 게 아니었다.
더 이상 경보를 울릴 전원이 남지 않은 쪽에 가까웠다.
사람들이 마지막으로 부른 이름이나, 마지막으로 붙잡은 문은 실패 원인에 따라 달라진다.
이 Ending에서는 '무엇을 선택할 것인가'라는 질문 자체가 사라진다.</x:v>
      </x:c>
      <x:c r="E6" s="998" t="str">
        <x:v>꺼진 패널 / 무너진 거주구역 / 멈춘 시간 표시 중 실패 원인에 맞는 이미지.</x:v>
      </x:c>
      <x:c r="F6" s="998" t="str">
        <x:v>우리는 어디에서 살지를 정하기 전에, 오늘을 끝까지 살아내지 못했다.</x:v>
      </x:c>
      <x:c r="G6" s="998" t="str">
        <x:v>원인별 2~3문장만 교체. 과도한 사망 묘사 금지.</x:v>
      </x:c>
      <x:c r="H6" s="998" t="str">
        <x:v>부분확정</x:v>
      </x:c>
    </x:row>
    <x:row r="7" ht="120" hidden="0" customHeight="1">
      <x:c r="A7" s="990" t="str">
        <x:v>Bad 2</x:v>
      </x:c>
      <x:c r="B7" s="990" t="str">
        <x:v>D14 종료 시 ShelterReady=FALSE</x:v>
      </x:c>
      <x:c r="C7" s="990" t="str">
        <x:v>D14 문이 닫힌 뒤, W3 첫날이 시작되기 전 폭풍 첫 충격.</x:v>
      </x:c>
      <x:c r="D7" s="990" t="str">
        <x:v>첫 충격이 왔을 때 문제는 선택의 어려움이 아니었다.
산소가 모자랐고, 전력이 버티지 못했고, 사람들이 들어갈 구역이 준비되지 않았다.
샘 - 이건… 버티는 계획이 아니야.
페이가 꺼지는 패널을 다시 올렸지만 다른 곳이 먼저 내려갔다.
폭풍은 아직 시작에 가까웠다.</x:v>
      </x:c>
      <x:c r="E7" s="990" t="str">
        <x:v>닫힌 문 안에서 여러 시설 경고가 동시에 켜지고 Shelter 최소선이 붉게 무너짐.</x:v>
      </x:c>
      <x:c r="F7" s="990" t="str">
        <x:v>밖으로 나갈 수도, 안에서 버틸 수도 없는 문을 우리가 먼저 닫아버렸다.</x:v>
      </x:c>
      <x:c r="G7" s="990" t="str">
        <x:v>부족한 Gate(Hull/Engine/Oxygen/Living)에 따라 경고문 Variant.</x:v>
      </x:c>
      <x:c r="H7" s="990" t="str">
        <x:v>TEMP 확정 후보</x:v>
      </x:c>
    </x:row>
    <x:row r="8" ht="120" hidden="0" customHeight="1">
      <x:c r="A8" s="990" t="str">
        <x:v>Bad 3</x:v>
      </x:c>
      <x:c r="B8" s="990" t="str">
        <x:v>NOT DeparturePossible AND NOT SettlementPossible</x:v>
      </x:c>
      <x:c r="C8" s="990" t="str">
        <x:v>D21 상태 확인에서 배도 행성도 장기 미래가 되지 못한다고 판정.</x:v>
      </x:c>
      <x:c r="D8" s="990" t="str">
        <x:v>샘 - 배는 못 떠나.
보리치 - 여기도 아직 장기 거주를 말할 근거가 없어.
두 문장은 짧았고, 그래서 더 오래 남았다.
폭풍은 끝났다.
오늘 당장 숨을 쉴 공기도, 먹을 것도 남아 있다.
하지만 '다음'을 설명할 계획은 없었다.</x:v>
      </x:c>
      <x:c r="E8" s="990" t="str">
        <x:v>열린 수송선 문과 반쯤 묻힌 정착지 사이에 사람들이 서 있음. 어느 쪽으로도 움직이지 않음.</x:v>
      </x:c>
      <x:c r="F8" s="990" t="str">
        <x:v>우리는 폭풍에서 살아남았다. 그 뒤를 살아갈 방법까지 남기지는 못했다.</x:v>
      </x:c>
      <x:c r="G8" s="990" t="str">
        <x:v>즉시 전멸이 아니라 '물리적 미래 상실'의 결말.</x:v>
      </x:c>
      <x:c r="H8" s="990" t="str">
        <x:v>TEMP 확정 후보</x:v>
      </x:c>
    </x:row>
    <x:row r="9" ht="108" hidden="0" customHeight="1">
      <x:c r="A9" s="990" t="str">
        <x:v>Bad 4</x:v>
      </x:c>
      <x:c r="B9" s="990" t="str">
        <x:v>물리적 미래는 있으나 DepartureCrew와 SettlementCore 모두 불성립</x:v>
      </x:c>
      <x:c r="C9" s="990" t="str">
        <x:v>배 상태나 행성 근거 중 최소 하나는 살아 있지만, 그것을 실행할 핵심 인적 조합이 없음.</x:v>
      </x:c>
      <x:c r="D9" s="990" t="str">
        <x:v>계획은 있었다.
함교에는 항로가 남았고, 연구실에는 정착 기록이 남았을 수도 있다.
문제는 그 계획을 실제로 이어갈 사람이었다.
누군가 해야 할 일을 말하면, 다음 단계에서 반드시 비어 있는 이름이 나왔다.
샘이 없거나, 기술자가 없거나, 공동체를 묶을 사람이 없었다.</x:v>
      </x:c>
      <x:c r="E9" s="990" t="str">
        <x:v>정상 작동하는 일부 장비 옆의 빈 작업자리들.</x:v>
      </x:c>
      <x:c r="F9" s="990" t="str">
        <x:v>갈 곳이 없는 것은 아니었다. 그곳까지 함께 갈 공동체가 남지 않았다.</x:v>
      </x:c>
      <x:c r="G9" s="990" t="str">
        <x:v>작업명 '공동체 기능 붕괴'. 최종 제목은 TBD.</x:v>
      </x:c>
      <x:c r="H9" s="990" t="str">
        <x:v>TEMP 확정 후보</x:v>
      </x:c>
    </x:row>
    <x:row r="10" ht="108" hidden="0" customHeight="1">
      <x:c r="A10" s="990" t="str">
        <x:v>Normal 1</x:v>
      </x:c>
      <x:c r="B10" s="990" t="str">
        <x:v>DeparturePossible + DepartureCrew / N2·N3·특수 미충족</x:v>
      </x:c>
      <x:c r="C10" s="990" t="str">
        <x:v>정착을 실행할 충분한 근거가 없거나 하나의 공동체 선택으로 이어지지 않아 출항이 유일/우세한 계획이 됨.</x:v>
      </x:c>
      <x:c r="D10" s="990" t="str">
        <x:v>보리치가 마지막 자료를 닫았다.
보리치 - 남는다는 결론을 낼 만큼은 아니야.
샘 - 그럼 배를 고친다.
ShipCondition이 '수리 필요'라면 출항은 며칠 또는 몇 주 뒤로 미뤄진다.
누군가는 모래를 한 번 더 돌아보고, 누군가는 바로 배 안으로 들어간다.</x:v>
      </x:c>
      <x:c r="E10" s="990" t="str">
        <x:v>정착지에서 가져온 작은 물건들이 수송선 내부에 놓이고 문이 다시 닫힘.</x:v>
      </x:c>
      <x:c r="F10" s="990" t="str">
        <x:v>우리는 이곳을 실패한 집으로 부르지 않았다. 다만 다음 집을 찾으러 떠났다.</x:v>
      </x:c>
      <x:c r="G10" s="990" t="str">
        <x:v>Ship 보통/좋음이면 즉시 출항, 수리필요면 후속 수리 몽타주.</x:v>
      </x:c>
      <x:c r="H10" s="990" t="str">
        <x:v>TEMP 정교화</x:v>
      </x:c>
    </x:row>
    <x:row r="11" ht="132" hidden="0" customHeight="1">
      <x:c r="A11" s="990" t="str">
        <x:v>Normal 2</x:v>
      </x:c>
      <x:c r="B11" s="990" t="str">
        <x:v>출항·정착 모두 실행 가능 + STAY/LEAVE 모두 존재 + N3 미충족</x:v>
      </x:c>
      <x:c r="C11" s="990" t="str">
        <x:v>샘이 한 장의 명단을 둘로 나누지 않고, 각자가 자기 이름을 직접 옮기게 함.</x:v>
      </x:c>
      <x:c r="D11" s="990" t="str">
        <x:v>샘 - 떠나는 쪽은 내가 맡을게.
디야 - 남는 쪽은 우리가 준비할게.
누가 어느 편인지는 최종 Stance에 따라 달라진다.
벤자민은 기록판을 어느 쪽 짐에 넣을지 오래 고민할 수 있고, 페이는 살아 있는 AUDIO_LINK가 있다면 마지막으로 짧은 전자음을 틀 수 있다.
작별은 싸움이 아니라 일정표가 된다. 식량을 어떻게 나누고, 어떤 기록을 복사하고, 언제 다시 통신할지.</x:v>
      </x:c>
      <x:c r="E11" s="990" t="str">
        <x:v>수송선 문 앞에서 떠나는 사람과 남는 사람이 마지막 짐을 서로 건네줌.</x:v>
      </x:c>
      <x:c r="F11" s="990" t="str">
        <x:v>같은 답을 내리지 못했지만, 서로의 답을 실패라고 부르지는 않았다.</x:v>
      </x:c>
      <x:c r="G11" s="990" t="str">
        <x:v>최종 생존자/Stance에 따라 이름과 대사 동적 삽입.</x:v>
      </x:c>
      <x:c r="H11" s="990" t="str">
        <x:v>TEMP 확정 후보</x:v>
      </x:c>
    </x:row>
    <x:row r="12" ht="30" hidden="0" customHeight="1">
      <x:c r="A12" s="998" t="str">
        <x:v>Normal 3</x:v>
      </x:c>
      <x:c r="B12" s="998" t="str">
        <x:v>SettlementPossible + SettlementCore + 거주 우세 또는 출항 실행 불가</x:v>
      </x:c>
      <x:c r="C12" s="998" t="str">
        <x:v>정착 계획이 실제로 실행 가능한 미래로 남고, Stay가 우세하거나 출항 쪽 실행조건이 부족함.</x:v>
      </x:c>
      <x:c r="D12" s="998" t="str">
        <x:v>디야 - 일단 집부터 다시 세우자.
지나가 살아 있다면 아이들 공간을 먼저 확인한다.
벤자민이나 페이는 살아남은 수송선 장비를 정착지 기반으로 옮길 목록을 만든다.
떠나고 싶던 사람이 남아 있다면 그 마음까지 사라지는 건 아니다.
샘 - 배는 버리지 않을 거야.
출항 가능성이 남아 있다면 수송선은 '언젠가 떠날 수 있는 선택'으로 보존된다.</x:v>
      </x:c>
      <x:c r="E12" s="998" t="str">
        <x:v>폭풍에 눕혀진 천막을 다시 세우고, 수송선에서 전선·상자를 밖으로 가져오는 모습.</x:v>
      </x:c>
      <x:c r="F12" s="998" t="str">
        <x:v>우리는 여기에 갇힌 것이 아니라, 오늘 여기에서 다시 시작하기로 했다.</x:v>
      </x:c>
      <x:c r="G12" s="998" t="str">
        <x:v>Departure 불가형은 마지막 문장 앞에서 '선택의 폭은 좁았지만' Variant 추가.</x:v>
      </x:c>
      <x:c r="H12" s="998" t="str">
        <x:v>TEMP 정교화</x:v>
      </x:c>
    </x:row>
    <x:row r="13" ht="324" hidden="0" customHeight="1">
      <x:c r="A13" s="990" t="str">
        <x:v>True</x:v>
      </x:c>
      <x:c r="B13" s="990" t="str">
        <x:v>핵심6 전원 생존 + DepartureReady + TrueStanceSet</x:v>
      </x:c>
      <x:c r="C13" s="990" t="str">
        <x:v>배는 지금 떠날 수 있고, 핵심6 전원이 살아 있다. TrueStanceSet은 Sam/Borichi/Faye가 LEAVE이고, Jina/Diya/Benjamin이 LEAVE 또는 UNDECIDED로 출항을 막지 않는 상태를 허용한다.</x:v>
      </x:c>
      <x:c r="D13" s="990" t="str">
        <x:v>샘 - 배는 떠날 수 있어.
보리치 - 나는 떠나는 쪽이야.
페이 - 나도.
지나는 미라를 보고 한참 있다가 말했다.
지나 - 이번엔 숫자까지 같이 봤어. 떠날 수 있어.
디야 - 애들을 또 위험에 묶어둘 생각은 없어.
미라 - 근데 바다는 진짜 보여?
디야 - 가서 확인해 보자.
벤자민은 약혼자의 이름이 적힌 기록판을 들었다.
벤자민 - 그 사람을 기억하는 건 여기 남는 거랑 같은 말이 아니더라.
샘 - 그럼 출항 준비할게.
누구도 같은 이유로 떠나는 것은 아니었지만, 이번에는 서로의 이유를 알고 있었다.</x:v>
      </x:c>
      <x:c r="E13" s="990" t="str">
        <x:v>핵심6와 미라가 모두 수송선에 오르고, 열린 문 너머로 정착지가 마지막까지 보이다가 천천히 닫힘.</x:v>
      </x:c>
      <x:c r="F13" s="990" t="str">
        <x:v>같은 답이어서 함께 떠난 것이 아니었다. 서로 다른 이유를 끝까지 들은 뒤에도, 함께 가기로 했기 때문이다.</x:v>
      </x:c>
      <x:c r="G13" s="990" t="str">
        <x:v>Benjamin은 LEAVE 또는 UNDECIDED 모두 가능. 대사는 조건에 맞춰 약화/강화.</x:v>
      </x:c>
      <x:c r="H13" s="990" t="str">
        <x:v>확정방향</x:v>
      </x:c>
    </x:row>
    <x:row r="14" ht="30" hidden="0" customHeight="1">
      <x:c r="A14" s="998" t="str">
        <x:v>Hidden</x:v>
      </x:c>
      <x:c r="B14" s="998" t="str">
        <x:v>Sustainability HIGH + DepartureReady + HiddenEvidence</x:v>
      </x:c>
      <x:c r="C14" s="998" t="str">
        <x:v>가장 먼저 '배는 떠날 수 있다'를 명시한 뒤, 그럼에도 재검증된 정착을 선택.</x:v>
      </x:c>
      <x:c r="D14" s="998" t="str">
        <x:v>샘 - 배는 떠날 수 있어. 지금도.
그 말이 먼저 나와야 했다.
보리치가 새 분석 결과를 읽었다.
보리치 - 예전 결론은 틀리지 않았어. 조건이 달라졌어.
보리치 - 나는 여전히 떠나는 쪽이 편해.
보리치 - 그래도 여기 남는 게 틀린 선택이라고 말할 근거는 없어.
디야가 살아 있다면 시험밭 표식을 들어 보인다.
디야 - 내가 받은 건 폐허였어. 애들한텐 그걸 그대로 넘기고 싶지 않아.
디야 - 여기서 살 수 있는 근거가 생겼다면, 이번엔 우리가 제대로 만들자.
Faye/Benjamin 중 STAY인 인물이 수송선의 부품을 정착지에 어떻게 연결할지 먼저 말한다.
샘은 마지막으로 함교를 본다.
샘 - 배는 버리지 말자.
제이 - 떠날 수 있게?
샘 - 선택할 수 있게.</x:v>
      </x:c>
      <x:c r="E14" s="998" t="str">
        <x:v>출항 가능한 수송선 문이 열린 채 남아 있고, 사람들이 배에서 장비를 꺼내 정착지 쪽으로 옮김. 시험밭의 작은 표식이 다시 세워짐.</x:v>
      </x:c>
      <x:c r="F14" s="998" t="str">
        <x:v>떠날 수 없어서 남은 것이 아니었다. 떠날 수 있는 배를 뒤에 두고도, 우리는 여기에서 다음 날을 만들기 시작했다.</x:v>
      </x:c>
      <x:c r="G14" s="998" t="str">
        <x:v>Sam/Borichi 개인 LEAVE 성향은 유지되지만 공동체의 검증된 정착 계획에 합류. '언젠가 떠날 선택'도 보존.</x:v>
      </x:c>
      <x:c r="H14" s="998" t="str">
        <x:v>확정방향</x:v>
      </x:c>
    </x:row>
    <x:row r="15" ht="15" hidden="0" customHeight="1">
      <x:c r="A15" s="990"/>
      <x:c r="B15" s="990"/>
      <x:c r="C15" s="990"/>
      <x:c r="D15" s="990"/>
      <x:c r="E15" s="990"/>
      <x:c r="F15" s="990"/>
      <x:c r="G15" s="990"/>
      <x:c r="H15" s="990"/>
    </x:row>
    <x:row r="16" ht="26" hidden="0" customHeight="1">
      <x:c r="A16" s="1032" t="str">
        <x:v>2. D21 생존자 최종 한 줄 — Ending Sequence 동적 삽입용</x:v>
      </x:c>
      <x:c r="B16" s="1019"/>
      <x:c r="C16" s="1019"/>
      <x:c r="D16" s="1019"/>
      <x:c r="E16" s="1019"/>
      <x:c r="F16" s="1019"/>
      <x:c r="G16" s="1019"/>
      <x:c r="H16" s="1019"/>
      <x:c r="I16" s="1022"/>
      <x:c r="J16" s="1022"/>
      <x:c r="K16" s="1022"/>
      <x:c r="L16" s="1022"/>
    </x:row>
    <x:row r="17" ht="30" hidden="0" customHeight="1">
      <x:c r="A17" s="1012" t="str">
        <x:v>인물</x:v>
      </x:c>
      <x:c r="B17" s="1012" t="str">
        <x:v>Stance</x:v>
      </x:c>
      <x:c r="C17" s="1012" t="str">
        <x:v>최종 한 줄 후보</x:v>
      </x:c>
      <x:c r="D17" s="1012" t="str">
        <x:v>사용 맥락</x:v>
      </x:c>
      <x:c r="E17" s="1012" t="str">
        <x:v>상태</x:v>
      </x:c>
      <x:c r="F17" s="1012"/>
      <x:c r="G17" s="1012"/>
      <x:c r="H17" s="1012"/>
    </x:row>
    <x:row r="18" ht="24" hidden="0" customHeight="1">
      <x:c r="A18" s="990" t="str">
        <x:v>샘</x:v>
      </x:c>
      <x:c r="B18" s="990" t="str">
        <x:v>LEAVE</x:v>
      </x:c>
      <x:c r="C18" s="990" t="str">
        <x:v>샘 - 나는 떠날 거야. 하지만 그건 내 답이지, 명령은 아니야.</x:v>
      </x:c>
      <x:c r="D18" s="990" t="str">
        <x:v>Normal2/True/Hidden/Final Talk</x:v>
      </x:c>
      <x:c r="E18" s="990" t="str">
        <x:v>확정방향</x:v>
      </x:c>
      <x:c r="F18" s="990"/>
      <x:c r="G18" s="990"/>
      <x:c r="H18" s="990"/>
    </x:row>
    <x:row r="19" ht="24" hidden="0" customHeight="1">
      <x:c r="A19" s="990" t="str">
        <x:v>보리치</x:v>
      </x:c>
      <x:c r="B19" s="990" t="str">
        <x:v>LEAVE</x:v>
      </x:c>
      <x:c r="C19" s="990" t="str">
        <x:v>보리치 - 나는 다시 날아가고 싶어. 이번엔 봤다는 말을 미루지 않을 수 있을 것 같아.</x:v>
      </x:c>
      <x:c r="D19" s="990" t="str">
        <x:v>출항계/True</x:v>
      </x:c>
      <x:c r="E19" s="990" t="str">
        <x:v>확정방향</x:v>
      </x:c>
      <x:c r="F19" s="990"/>
      <x:c r="G19" s="990"/>
      <x:c r="H19" s="990"/>
    </x:row>
    <x:row r="20" ht="24" hidden="0" customHeight="1">
      <x:c r="A20" s="990" t="str">
        <x:v>보리치</x:v>
      </x:c>
      <x:c r="B20" s="990" t="str">
        <x:v>LEAVE + Recheck</x:v>
      </x:c>
      <x:c r="C20" s="990" t="str">
        <x:v>보리치 - 나는 떠나고 싶어. 그래도 여기 남는 게 틀렸다고 말할 데이터는 없어.</x:v>
      </x:c>
      <x:c r="D20" s="990" t="str">
        <x:v>Hidden</x:v>
      </x:c>
      <x:c r="E20" s="990" t="str">
        <x:v>확정방향</x:v>
      </x:c>
      <x:c r="F20" s="990"/>
      <x:c r="G20" s="990"/>
      <x:c r="H20" s="990"/>
    </x:row>
    <x:row r="21" ht="24" hidden="0" customHeight="1">
      <x:c r="A21" s="990" t="str">
        <x:v>지나</x:v>
      </x:c>
      <x:c r="B21" s="990" t="str">
        <x:v>STAY</x:v>
      </x:c>
      <x:c r="C21" s="990" t="str">
        <x:v>지나 - 나는 여기서 산 시간이 네가 기억하는 여행보다 길어. 아직은 여기가 내 답이야.</x:v>
      </x:c>
      <x:c r="D21" s="990" t="str">
        <x:v>Normal3/Hidden-side</x:v>
      </x:c>
      <x:c r="E21" s="990" t="str">
        <x:v>초안</x:v>
      </x:c>
      <x:c r="F21" s="990"/>
      <x:c r="G21" s="990"/>
      <x:c r="H21" s="990"/>
    </x:row>
    <x:row r="22" ht="24" hidden="0" customHeight="1">
      <x:c r="A22" s="990" t="str">
        <x:v>지나</x:v>
      </x:c>
      <x:c r="B22" s="990" t="str">
        <x:v>UNDECIDED</x:v>
      </x:c>
      <x:c r="C22" s="990" t="str">
        <x:v>지나 - 찬성은 못 해. 그래도 네 선택을 막지는 않을게.</x:v>
      </x:c>
      <x:c r="D22" s="990" t="str">
        <x:v>True/N2</x:v>
      </x:c>
      <x:c r="E22" s="990" t="str">
        <x:v>확정</x:v>
      </x:c>
      <x:c r="F22" s="990"/>
      <x:c r="G22" s="990"/>
      <x:c r="H22" s="990"/>
    </x:row>
    <x:row r="23" ht="24" hidden="0" customHeight="1">
      <x:c r="A23" s="990" t="str">
        <x:v>페이</x:v>
      </x:c>
      <x:c r="B23" s="990" t="str">
        <x:v>STAY</x:v>
      </x:c>
      <x:c r="C23" s="990" t="str">
        <x:v>페이 - 배가 살아남는다고 내가 꼭 다시 타야 하는 건 아니잖아.</x:v>
      </x:c>
      <x:c r="D23" s="990" t="str">
        <x:v>N3/Hidden</x:v>
      </x:c>
      <x:c r="E23" s="990" t="str">
        <x:v>초안</x:v>
      </x:c>
      <x:c r="F23" s="990"/>
      <x:c r="G23" s="990"/>
      <x:c r="H23" s="990"/>
    </x:row>
    <x:row r="24" ht="24" hidden="0" customHeight="1">
      <x:c r="A24" s="990" t="str">
        <x:v>페이</x:v>
      </x:c>
      <x:c r="B24" s="990" t="str">
        <x:v>LEAVE</x:v>
      </x:c>
      <x:c r="C24" s="990" t="str">
        <x:v>페이 - 이번엔 도착해서도 음악부터 만들 거야. 수리 끝나고가 아니라.</x:v>
      </x:c>
      <x:c r="D24" s="990" t="str">
        <x:v>N2/True</x:v>
      </x:c>
      <x:c r="E24" s="990" t="str">
        <x:v>초안</x:v>
      </x:c>
      <x:c r="F24" s="990"/>
      <x:c r="G24" s="990"/>
      <x:c r="H24" s="990"/>
    </x:row>
    <x:row r="25" ht="15" hidden="0" customHeight="1">
      <x:c r="A25" s="990" t="str">
        <x:v>벤자민</x:v>
      </x:c>
      <x:c r="B25" s="990" t="str">
        <x:v>STAY</x:v>
      </x:c>
      <x:c r="C25" s="990" t="str">
        <x:v>벤자민 - 아직은 이름들이 있는 곳에 있고 싶어.</x:v>
      </x:c>
      <x:c r="D25" s="990" t="str">
        <x:v>N3/Hidden</x:v>
      </x:c>
      <x:c r="E25" s="990" t="str">
        <x:v>초안</x:v>
      </x:c>
      <x:c r="F25" s="990"/>
      <x:c r="G25" s="990"/>
      <x:c r="H25" s="990"/>
    </x:row>
    <x:row r="26" ht="24" hidden="0" customHeight="1">
      <x:c r="A26" s="990" t="str">
        <x:v>벤자민</x:v>
      </x:c>
      <x:c r="B26" s="990" t="str">
        <x:v>UNDECIDED</x:v>
      </x:c>
      <x:c r="C26" s="990" t="str">
        <x:v>벤자민 - 이름을 어디에 두는지는 이제 좀 덜 중요해졌어.</x:v>
      </x:c>
      <x:c r="D26" s="990" t="str">
        <x:v>True/N2</x:v>
      </x:c>
      <x:c r="E26" s="990" t="str">
        <x:v>초안</x:v>
      </x:c>
      <x:c r="F26" s="990"/>
      <x:c r="G26" s="990"/>
      <x:c r="H26" s="990"/>
    </x:row>
    <x:row r="27" ht="24" hidden="0" customHeight="1">
      <x:c r="A27" s="990" t="str">
        <x:v>벤자민</x:v>
      </x:c>
      <x:c r="B27" s="990" t="str">
        <x:v>LEAVE</x:v>
      </x:c>
      <x:c r="C27" s="990" t="str">
        <x:v>지나 - 여기서 산 십 년은 네가 기억하는 석 달의 항해보다 길어. 그래도 이제는 네 계산도 같이 볼 수 있어.</x:v>
      </x:c>
      <x:c r="D27" s="990" t="str">
        <x:v>True/N2</x:v>
      </x:c>
      <x:c r="E27" s="990" t="str">
        <x:v>확정방향</x:v>
      </x:c>
      <x:c r="F27" s="990"/>
      <x:c r="G27" s="990"/>
      <x:c r="H27" s="990"/>
    </x:row>
    <x:row r="28" ht="24" hidden="0" customHeight="1">
      <x:c r="A28" s="990" t="str">
        <x:v>디야</x:v>
      </x:c>
      <x:c r="B28" s="990" t="str">
        <x:v>STAY</x:v>
      </x:c>
      <x:c r="C28" s="990" t="str">
        <x:v>디야 - 내일도 여기 있을 생각으로 고치는 곳이 집이야. 난 아직 여기 고칠 게 많아.</x:v>
      </x:c>
      <x:c r="D28" s="990" t="str">
        <x:v>N3/Hidden</x:v>
      </x:c>
      <x:c r="E28" s="990" t="str">
        <x:v>확정방향</x:v>
      </x:c>
      <x:c r="F28" s="990"/>
      <x:c r="G28" s="990"/>
      <x:c r="H28" s="990"/>
    </x:row>
    <x:row r="29" ht="24" hidden="0" customHeight="1">
      <x:c r="A29" s="990" t="str">
        <x:v>디야</x:v>
      </x:c>
      <x:c r="B29" s="990" t="str">
        <x:v>UNDECIDED</x:v>
      </x:c>
      <x:c r="C29" s="990" t="str">
        <x:v>디야 - 내가 아이들 대신 답을 내리지는 않을게. 내 답하고 달라도.</x:v>
      </x:c>
      <x:c r="D29" s="990" t="str">
        <x:v>True/N2</x:v>
      </x:c>
      <x:c r="E29" s="990" t="str">
        <x:v>확정방향</x:v>
      </x:c>
      <x:c r="F29" s="990"/>
      <x:c r="G29" s="990"/>
      <x:c r="H29" s="990"/>
    </x:row>
    <x:row r="30" ht="15" hidden="0" customHeight="1">
      <x:c r="A30" s="990"/>
      <x:c r="B30" s="990"/>
      <x:c r="C30" s="990"/>
      <x:c r="D30" s="990"/>
      <x:c r="E30" s="990"/>
      <x:c r="F30" s="990"/>
      <x:c r="G30" s="990"/>
      <x:c r="H30" s="990"/>
    </x:row>
    <x:row r="31" ht="26" hidden="0" customHeight="1">
      <x:c r="A31" s="1032" t="str">
        <x:v>3. Ending UI 연출 규칙</x:v>
      </x:c>
      <x:c r="B31" s="1019"/>
      <x:c r="C31" s="1019" t="str">
        <x:v>벤자민 - 아직은 그 사람 이름이 있는 곳에 있고 싶어.</x:v>
      </x:c>
      <x:c r="D31" s="1019"/>
      <x:c r="E31" s="1019"/>
      <x:c r="F31" s="1019"/>
      <x:c r="G31" s="1019"/>
      <x:c r="H31" s="1019"/>
      <x:c r="I31" s="1022"/>
      <x:c r="J31" s="1022"/>
      <x:c r="K31" s="1022"/>
      <x:c r="L31" s="1022"/>
    </x:row>
    <x:row r="32" ht="30" hidden="0" customHeight="1">
      <x:c r="A32" s="1012" t="str">
        <x:v>단계</x:v>
      </x:c>
      <x:c r="B32" s="1012" t="str">
        <x:v>오른쪽 로그 UI</x:v>
      </x:c>
      <x:c r="C32" s="1012" t="str">
        <x:v>벤자민 - 그 사람을 어디에 두는지는 이제 좀 덜 중요해졌어.</x:v>
      </x:c>
      <x:c r="D32" s="1012"/>
      <x:c r="E32" s="1012"/>
      <x:c r="F32" s="1012"/>
      <x:c r="G32" s="1012"/>
      <x:c r="H32" s="1012"/>
    </x:row>
    <x:row r="33" ht="24" hidden="0" customHeight="1">
      <x:c r="A33" s="990" t="str">
        <x:v>1</x:v>
      </x:c>
      <x:c r="B33" s="990" t="str">
        <x:v>D21 최종 상태 확인 결과가 로그에 먼저 남는다: 배 / 행성 / 생존 인력 / 각 인물 Stance.</x:v>
      </x:c>
      <x:c r="C33" s="990" t="str">
        <x:v>벤자민 - 이름은 내가 가져가면 돼. 그걸 이제 알겠어.</x:v>
      </x:c>
      <x:c r="D33" s="990"/>
      <x:c r="E33" s="990"/>
      <x:c r="F33" s="990"/>
      <x:c r="G33" s="990"/>
      <x:c r="H33" s="990"/>
    </x:row>
    <x:row r="34" ht="36" hidden="0" customHeight="1">
      <x:c r="A34" s="990" t="str">
        <x:v>2</x:v>
      </x:c>
      <x:c r="B34" s="990" t="str">
        <x:v>'결과를 확인한다' 클릭 후 Ending 이름을 먼저 크게 띄우지 않고, 결과 장면을 본문으로 읽는다.</x:v>
      </x:c>
      <x:c r="C34" s="990" t="str">
        <x:v>디야 - 애들한테 또 폐허만 넘길 생각은 없어. 여기서 다시 만들 수 있으면 난 남아.</x:v>
      </x:c>
      <x:c r="D34" s="990"/>
      <x:c r="E34" s="990"/>
      <x:c r="F34" s="990"/>
      <x:c r="G34" s="990"/>
      <x:c r="H34" s="990"/>
    </x:row>
    <x:row r="35" ht="24" hidden="0" customHeight="1">
      <x:c r="A35" s="990" t="str">
        <x:v>3</x:v>
      </x:c>
      <x:c r="B35" s="990" t="str">
        <x:v>핵심 Character 한 줄은 생존·Stance에 맞춰 동적으로 삽입.</x:v>
      </x:c>
      <x:c r="C35" s="990" t="str">
        <x:v>디야 - 집 때문에 애들을 위험에 묶는 것도 어른들 욕하면서 똑같이 하는 거잖아. 떠날 수 있으면 떠나.</x:v>
      </x:c>
      <x:c r="D35" s="990"/>
      <x:c r="E35" s="990"/>
      <x:c r="F35" s="990"/>
      <x:c r="G35" s="990"/>
      <x:c r="H35" s="990"/>
    </x:row>
    <x:row r="36" ht="36" hidden="0" customHeight="1">
      <x:c r="A36" s="990" t="str">
        <x:v>4</x:v>
      </x:c>
      <x:c r="B36" s="990" t="str">
        <x:v>마지막 문장 뒤에 Ending 명칭/기록을 노출. 재도전 공략용으로 해금 조건은 별도 도감 UI에서만 다룰 수 있음.</x:v>
      </x:c>
      <x:c r="C36" s="990"/>
      <x:c r="D36" s="990"/>
      <x:c r="E36" s="990"/>
      <x:c r="F36" s="990"/>
      <x:c r="G36" s="990"/>
      <x:c r="H36" s="990"/>
    </x:row>
    <x:row r="37" ht="24" hidden="0" customHeight="1">
      <x:c r="A37" s="990" t="str">
        <x:v>5</x:v>
      </x:c>
      <x:c r="B37" s="990" t="str">
        <x:v>True/Hidden도 '정답 축하' 톤보다 그 Route가 만든 사람들의 선택을 보여주는 데 집중.</x:v>
      </x:c>
      <x:c r="C37" s="990"/>
      <x:c r="D37" s="990"/>
      <x:c r="E37" s="990"/>
      <x:c r="F37" s="990"/>
      <x:c r="G37" s="990"/>
      <x:c r="H37" s="990"/>
    </x:row>
  </x:sheetData>
  <x:mergeCells>
    <x:mergeCell ref="A1:L1"/>
    <x:mergeCell ref="A2:L2"/>
    <x:mergeCell ref="A4:L4"/>
    <x:mergeCell ref="A16:L16"/>
    <x:mergeCell ref="A31:L31"/>
  </x:mergeCells>
  <x:conditionalFormatting sqref="E18:E37">
    <x:cfRule type="expression" dxfId="344" priority="1">
      <x:formula>OR(E18="완료",E18="확정",E18="확정방향",E18="방향 확정",LEFT(E18,2)="확정")</x:formula>
    </x:cfRule>
    <x:cfRule type="expression" dxfId="345" priority="2">
      <x:formula>OR(E18="TBD",E18="대기",ISNUMBER(SEARCH("TEMP",E18)))</x:formula>
    </x:cfRule>
    <x:cfRule type="expression" dxfId="346" priority="3">
      <x:formula>OR(E18="폐기",E18="HISTORICAL",ISNUMBER(SEARCH("폐기",E18)))</x:formula>
    </x:cfRule>
    <x:cfRule type="expression" dxfId="347" priority="4">
      <x:formula>OR(E18="NEXT",E18="진행")</x:formula>
    </x:cfRule>
  </x:conditionalFormatting>
  <x:conditionalFormatting sqref="H6:H37">
    <x:cfRule type="expression" dxfId="348" priority="5">
      <x:formula>OR(H6="완료",H6="확정",H6="확정방향",H6="방향 확정",LEFT(H6,2)="확정")</x:formula>
    </x:cfRule>
    <x:cfRule type="expression" dxfId="349" priority="6">
      <x:formula>OR(H6="TBD",H6="대기",ISNUMBER(SEARCH("TEMP",H6)))</x:formula>
    </x:cfRule>
    <x:cfRule type="expression" dxfId="350" priority="7">
      <x:formula>OR(H6="폐기",H6="HISTORICAL",ISNUMBER(SEARCH("폐기",H6)))</x:formula>
    </x:cfRule>
    <x:cfRule type="expression" dxfId="351" priority="8">
      <x:formula>OR(H6="NEXT",H6="진행")</x:formula>
    </x:cfRule>
  </x:conditionalFormatting>
  <x:pageMargins left="0.7" right="0.7" top="0.75" bottom="0.75" header="0.3" footer="0.3"/>
</x:worksheet>
</file>

<file path=xl/worksheets/sheet31.xml><?xml version="1.0" encoding="utf-8"?>
<x:worksheet xmlns:x="http://schemas.openxmlformats.org/spreadsheetml/2006/main">
  <x:sheetFormatPr defaultRowHeight="15"/>
  <x:cols>
    <x:col min="1" max="1" width="24" hidden="0" customWidth="1"/>
    <x:col min="2" max="2" width="48" hidden="0" customWidth="1"/>
    <x:col min="3" max="3" width="48" hidden="0" customWidth="1"/>
    <x:col min="4" max="4" width="48" hidden="0" customWidth="1"/>
    <x:col min="5" max="5" width="44" hidden="0" customWidth="1"/>
    <x:col min="6" max="6" width="35" hidden="0" customWidth="1"/>
    <x:col min="7" max="7" width="48" hidden="0" customWidth="1"/>
  </x:cols>
  <x:sheetData>
    <x:row r="1">
      <x:c r="A1" s="1045" t="str">
        <x:v>SandPlanet ContentDesign v3.1 — Canon + Ship Baseline Sync</x:v>
      </x:c>
      <x:c r="B1" s="1045"/>
      <x:c r="C1" s="1045"/>
      <x:c r="D1" s="1045"/>
      <x:c r="E1" s="1045"/>
      <x:c r="F1" s="1045"/>
      <x:c r="G1" s="1045"/>
    </x:row>
    <x:row r="3">
      <x:c r="A3" s="1049" t="str">
        <x:v>영역</x:v>
      </x:c>
      <x:c r="B3" s="1049" t="str">
        <x:v>현재 기준</x:v>
      </x:c>
      <x:c r="C3" s="1049" t="str">
        <x:v>W1</x:v>
      </x:c>
      <x:c r="D3" s="1049" t="str">
        <x:v>W2</x:v>
      </x:c>
      <x:c r="E3" s="1049" t="str">
        <x:v>W3/Ending</x:v>
      </x:c>
      <x:c r="F3" s="1049" t="str">
        <x:v>금지/주의</x:v>
      </x:c>
      <x:c r="G3" s="1049" t="str">
        <x:v>비고</x:v>
      </x:c>
    </x:row>
    <x:row r="4" ht="82" customHeight="1">
      <x:c r="A4" s="14" t="str">
        <x:v>Source of Truth</x:v>
      </x:c>
      <x:c r="B4" s="14" t="str">
        <x:v>이 파일은 엔딩 역산·수송선 밸런스·Action Budget의 설계 Source of Truth.</x:v>
      </x:c>
      <x:c r="C4" s="14" t="str">
        <x:v>계산 전 W1 수리/Character 비용 확인</x:v>
      </x:c>
      <x:c r="D4" s="14" t="str">
        <x:v>W2 Repair/Preserve/Route 조건 확인</x:v>
      </x:c>
      <x:c r="E4" s="14" t="str">
        <x:v>EndingEvaluator·FacilityTransition과 Master/Runtime 대조</x:v>
      </x:c>
      <x:c r="F4" s="14" t="str">
        <x:v>ContentDesign만 보고 Runtime 존재 여부를 추정하지 않음</x:v>
      </x:c>
      <x:c r="G4" s="14" t="str">
        <x:v>Git: prototype-foundation / Assets/SandPlanet/Data/Design/SandPlanet_ContentDesign.xlsx</x:v>
      </x:c>
    </x:row>
    <x:row r="5" ht="82" customHeight="1">
      <x:c r="A5" s="14" t="str">
        <x:v>검증 순서</x:v>
      </x:c>
      <x:c r="B5" s="14" t="str">
        <x:v>수치/루트 계산 전 ContentDesign → 최신 Master → Git Runtime/Validator 순서로 확인.</x:v>
      </x:c>
      <x:c r="C5" s="14" t="str">
        <x:v>Master의 Interaction/Quest 상태와 비교</x:v>
      </x:c>
      <x:c r="D5" s="14" t="str">
        <x:v>아직 Master에 미이식된 W2 설계는 별도 표시</x:v>
      </x:c>
      <x:c r="E5" s="14" t="str">
        <x:v>Runtime 서비스/Ending evaluator 구현과 비교</x:v>
      </x:c>
      <x:c r="F5" s="14" t="str">
        <x:v>과거 파일/다른 채팅 버전을 암묵적으로 섞지 않음</x:v>
      </x:c>
      <x:c r="G5" s="14" t="str">
        <x:v>불일치 발견 시 계산 전에 먼저 동기화</x:v>
      </x:c>
    </x:row>
    <x:row r="6" ht="82" customHeight="1">
      <x:c r="A6" s="14" t="str">
        <x:v>수송선 Baseline</x:v>
      </x:c>
      <x:c r="B6" s="14" t="str">
        <x:v>v3.0의 시설 Integrity·Repair Profile·Ending 역산을 보존.</x:v>
      </x:c>
      <x:c r="C6" s="14" t="str">
        <x:v>W1 Standard Repair 5회 = D3~D7 하루 1회</x:v>
      </x:c>
      <x:c r="D6" s="14" t="str">
        <x:v>W2 Standard Repair 7회 = D8~D14 하루 1회</x:v>
      </x:c>
      <x:c r="E6" s="14" t="str">
        <x:v>총 12 Standard Repair Slot → D15 시작값/W3 Buffer/ShipCondition으로 연결</x:v>
      </x:c>
      <x:c r="F6" s="14" t="str">
        <x:v>새 4축 수리 시스템을 임의로 재기획하지 않음</x:v>
      </x:c>
      <x:c r="G6" s="14" t="str">
        <x:v>08_ShipDesign / 13_FacilityTransition / 15_W3BossRebalance 우선</x:v>
      </x:c>
    </x:row>
    <x:row r="7" ht="82" customHeight="1">
      <x:c r="A7" s="14" t="str">
        <x:v>타임라인</x:v>
      </x:c>
      <x:c r="B7" s="14" t="str">
        <x:v>지구 출항→불시착 약 3개월. 불시착 이후 제이만 약 10년 공백.</x:v>
      </x:c>
      <x:c r="C7" s="14" t="str">
        <x:v>추락 전 관계는 최대 약 3개월 항해에서 형성</x:v>
      </x:c>
      <x:c r="D7" s="14" t="str">
        <x:v>과거 회상도 장기 우정처럼 쓰지 않음</x:v>
      </x:c>
      <x:c r="E7" s="14" t="str">
        <x:v>W3에서 '십 년의 정착 vs 석 달 항해' 대비 가능</x:v>
      </x:c>
      <x:c r="F7" s="14" t="str">
        <x:v>별도 설정 없이 추락 전 수년 관계 추가 금지</x:v>
      </x:c>
      <x:c r="G7" s="14" t="str">
        <x:v>Jay의 10년 공백 자체는 유지</x:v>
      </x:c>
    </x:row>
    <x:row r="8" ht="82" customHeight="1">
      <x:c r="A8" s="14" t="str">
        <x:v>지나</x:v>
      </x:c>
      <x:c r="B8" s="14" t="str">
        <x:v>제이의 친구가 아니라 항해 중 의지하던 연상의 실무자/큰언니 같은 사람.</x:v>
      </x:c>
      <x:c r="C8" s="14" t="str">
        <x:v>업무 신뢰와 시간차를 다시 맞춤</x:v>
      </x:c>
      <x:c r="D8" s="14" t="str">
        <x:v>미라 수색·발견을 통해 현재 Jay를 신뢰</x:v>
      </x:c>
      <x:c r="E8" s="14" t="str">
        <x:v>답을 맡기는 관계→함께 계산하는 동료. 조건에 따라 LEAVE/STAY 가능</x:v>
      </x:c>
      <x:c r="F8" s="14" t="str">
        <x:v>절친/동년배 친구/사적 추억 중심 금지</x:v>
      </x:c>
      <x:c r="G8" s="14" t="str">
        <x:v>Jina Route/Ending 조건 최신화</x:v>
      </x:c>
    </x:row>
    <x:row r="9" ht="82" customHeight="1">
      <x:c r="A9" s="14" t="str">
        <x:v>디야</x:v>
      </x:c>
      <x:c r="B9" s="14" t="str">
        <x:v>20대. 망가진 지구 출생의 염세주의자. 기성세대에 불만이 크고 아이들이 잘 지내는 것을 좋아함.</x:v>
      </x:c>
      <x:c r="C9" s="14" t="str">
        <x:v>푸른 지구 뜨개질=기억이 아니라 아이들에게 보여주고 싶은 가능성</x:v>
      </x:c>
      <x:c r="D9" s="14" t="str">
        <x:v>보존/철수 모두 아이 기준으로 성립</x:v>
      </x:c>
      <x:c r="E9" s="14" t="str">
        <x:v>STAY/LEAVE 모두 다음 세대에게 같은 실패를 반복하지 않는 가치에서 갈라짐</x:v>
      </x:c>
      <x:c r="F9" s="14" t="str">
        <x:v>단순 낙관적 '집 사랑' 캐릭터로 축소 금지</x:v>
      </x:c>
      <x:c r="G9" s="14" t="str">
        <x:v>True/Hidden/Normal3 문구 동기화</x:v>
      </x:c>
    </x:row>
    <x:row r="10" ht="82" customHeight="1">
      <x:c r="A10" s="14" t="str">
        <x:v>벤자민</x:v>
      </x:c>
      <x:c r="B10" s="14" t="str">
        <x:v>배우자/자녀 없음. 불시착 때 약혼자 한 사람을 잃음.</x:v>
      </x:c>
      <x:c r="C10" s="14" t="str">
        <x:v>한 무덤/약혼자의 이름</x:v>
      </x:c>
      <x:c r="D10" s="14" t="str">
        <x:v>묘비·기록 보존 vs 안전 우선 철수</x:v>
      </x:c>
      <x:c r="E10" s="14" t="str">
        <x:v>장소를 떠나는 것과 약혼자를 잊는 것은 다름</x:v>
      </x:c>
      <x:c r="F10" s="14" t="str">
        <x:v>아내/아이/두 가족 무덤으로 되돌리지 않음</x:v>
      </x:c>
      <x:c r="G10" s="14" t="str">
        <x:v>기존 시스템 ID/Route명은 필요 시 Legacy 유지</x:v>
      </x:c>
    </x:row>
    <x:row r="11" ht="82" customHeight="1">
      <x:c r="A11" s="14" t="str">
        <x:v>미라</x:v>
      </x:c>
      <x:c r="B11" s="14" t="str">
        <x:v>모래폭풍으로 발자국이 사라져 실종 → Jay가 수색해 발견.</x:v>
      </x:c>
      <x:c r="C11" s="14" t="str">
        <x:v>평범한 아이로 Seed</x:v>
      </x:c>
      <x:c r="D11" s="14" t="str">
        <x:v>D10 수색은 시간 경쟁/지나 신뢰 Pivot. 실패·지나 희생 Branch 폐기</x:v>
      </x:c>
      <x:c r="E11" s="14" t="str">
        <x:v>지나·디야의 다음 세대 아크와 연결</x:v>
      </x:c>
      <x:c r="F11" s="14" t="str">
        <x:v>모래지옥/싱크홀에 빨려드는 사건 금지</x:v>
      </x:c>
      <x:c r="G11" s="14" t="str">
        <x:v>D13 야간조의 별도 모래 함몰 사고와 구분</x:v>
      </x:c>
    </x:row>
    <x:row r="12" ht="82" customHeight="1">
      <x:c r="A12" s="14" t="str">
        <x:v>오아시스</x:v>
      </x:c>
      <x:c r="B12" s="14" t="str">
        <x:v>호수/연못이 아니라 지하수를 퍼 올리는 급수 펌프 자체. 취수정·배관·계측부 포함.</x:v>
      </x:c>
      <x:c r="C12" s="14" t="str">
        <x:v>D3~D6 펌프 유입량·흡입 깊이·수질·지하수/지반 조사</x:v>
      </x:c>
      <x:c r="D12" s="14" t="str">
        <x:v>Oasis 보존 Proxy = 펌프·취수정·배관 보존</x:v>
      </x:c>
      <x:c r="E12" s="14" t="str">
        <x:v>정착 계산에서 거주지+펌프+지하수 취수 조건으로 해석</x:v>
      </x:c>
      <x:c r="F12" s="14" t="str">
        <x:v>열린 수면/물가/호수 수위 묘사 금지</x:v>
      </x:c>
      <x:c r="G12" s="14" t="str">
        <x:v>Oasis 변수명은 기존 계산 호환을 위해 유지</x:v>
      </x:c>
    </x:row>
    <x:row r="13" ht="82" customHeight="1">
      <x:c r="A13" s="14" t="str">
        <x:v>시간 단위</x:v>
      </x:c>
      <x:c r="B13" s="14" t="str">
        <x:v>현재 Unity Runtime TimeDelta는 정수 시간 기준.</x:v>
      </x:c>
      <x:c r="C13" s="14" t="str">
        <x:v>W1 Master로 이식된 1.5h Seed는 2h TEMP로 운용</x:v>
      </x:c>
      <x:c r="D13" s="14" t="str">
        <x:v>구 ContentDesign의 일부 1.5h 수치는 과거 밸런스 단위로 남아 있음</x:v>
      </x:c>
      <x:c r="E13" s="14" t="str">
        <x:v>Master 이식 시 정수시간 변환 여부를 반드시 확인</x:v>
      </x:c>
      <x:c r="F13" s="14" t="str">
        <x:v>1.5h 값을 Runtime에 그대로 넣지 않음</x:v>
      </x:c>
      <x:c r="G13" s="14" t="str">
        <x:v>이번 v3.1은 수송선/엔딩 역산 수치를 재계산하지 않고 Canon 동기화 우선</x:v>
      </x:c>
    </x:row>
    <x:row r="15">
      <x:c r="A15" s="1052" t="str">
        <x:v>수송선 핵심 Baseline</x:v>
      </x:c>
      <x:c r="B15" s="1052" t="str">
        <x:v>값</x:v>
      </x:c>
      <x:c r="C15" s="1052" t="str">
        <x:v>근거</x:v>
      </x:c>
      <x:c r="D15" s="1052" t="str">
        <x:v>상태</x:v>
      </x:c>
      <x:c r="F15" s="1052" t="str">
        <x:v>관련 시트</x:v>
      </x:c>
      <x:c r="G15" s="1052" t="str">
        <x:v>용도</x:v>
      </x:c>
    </x:row>
    <x:row r="16">
      <x:c r="A16" t="str">
        <x:v>W1 Standard Repair Slots</x:v>
      </x:c>
      <x:c r="B16" t="n">
        <x:v>5</x:v>
      </x:c>
      <x:c r="C16" t="str">
        <x:v>D3~D7 하루 1회</x:v>
      </x:c>
      <x:c r="D16" t="str">
        <x:v>보존</x:v>
      </x:c>
      <x:c r="F16" t="str">
        <x:v>08_ShipDesign</x:v>
      </x:c>
      <x:c r="G16" t="str">
        <x:v>시설 역할/시작값/ShipCondition</x:v>
      </x:c>
    </x:row>
    <x:row r="17">
      <x:c r="A17" t="str">
        <x:v>W2 Standard Repair Slots</x:v>
      </x:c>
      <x:c r="B17" t="n">
        <x:v>7</x:v>
      </x:c>
      <x:c r="C17" t="str">
        <x:v>D8~D14 하루 1회</x:v>
      </x:c>
      <x:c r="D17" t="str">
        <x:v>보존</x:v>
      </x:c>
      <x:c r="F17" t="str">
        <x:v>13_FacilityTransition</x:v>
      </x:c>
      <x:c r="G17" t="str">
        <x:v>W1/W2 수리→D15 시작값</x:v>
      </x:c>
    </x:row>
    <x:row r="18">
      <x:c r="A18" t="str">
        <x:v>총 Standard Repair Slots</x:v>
      </x:c>
      <x:c r="B18" t="n">
        <x:v>12</x:v>
      </x:c>
      <x:c r="C18" t="str">
        <x:v>W1+W2</x:v>
      </x:c>
      <x:c r="D18" t="str">
        <x:v>보존</x:v>
      </x:c>
      <x:c r="F18" t="str">
        <x:v>15_W3BossRebalance</x:v>
      </x:c>
      <x:c r="G18" t="str">
        <x:v>최신 W3 Boss/Wave 밸런스</x:v>
      </x:c>
    </x:row>
    <x:row r="19">
      <x:c r="A19" t="str">
        <x:v>5-Max Facility Repair</x:v>
      </x:c>
      <x:c r="B19" t="n">
        <x:v>1</x:v>
      </x:c>
      <x:c r="C19" t="str">
        <x:v>1회 = Integrity +1</x:v>
      </x:c>
      <x:c r="D19" t="str">
        <x:v>TEMP 기존값</x:v>
      </x:c>
      <x:c r="F19" t="str">
        <x:v>18_EndingEvaluator</x:v>
      </x:c>
      <x:c r="G19" t="str">
        <x:v>최종 Ending 판정</x:v>
      </x:c>
    </x:row>
    <x:row r="20">
      <x:c r="A20" t="str">
        <x:v>Hull Repair</x:v>
      </x:c>
      <x:c r="B20" t="n">
        <x:v>4</x:v>
      </x:c>
      <x:c r="C20" t="str">
        <x:v>1회 = Hull +4</x:v>
      </x:c>
      <x:c r="D20" t="str">
        <x:v>TEMP 기존값</x:v>
      </x:c>
      <x:c r="F20" t="str">
        <x:v>20_W1ReverseAudit</x:v>
      </x:c>
      <x:c r="G20" t="str">
        <x:v>W1 시간/Focus/Repair 역산</x:v>
      </x:c>
    </x:row>
    <x:row r="21">
      <x:c r="A21" t="str">
        <x:v>초기 Hull</x:v>
      </x:c>
      <x:c r="B21" t="n">
        <x:v>5</x:v>
      </x:c>
      <x:c r="C21" t="str">
        <x:v>Max20</x:v>
      </x:c>
      <x:c r="D21" t="str">
        <x:v>보존</x:v>
      </x:c>
      <x:c r="F21" t="str">
        <x:v>28_W2_NarrativeAuthoring</x:v>
      </x:c>
      <x:c r="G21" t="str">
        <x:v>W2 사건·Character 원고</x:v>
      </x:c>
    </x:row>
    <x:row r="22">
      <x:c r="A22" t="str">
        <x:v>초기 5-Max 주요시설</x:v>
      </x:c>
      <x:c r="B22" t="n">
        <x:v>2</x:v>
      </x:c>
      <x:c r="C22" t="str">
        <x:v>Bridge/Engine/Oxygen/Research/Living</x:v>
      </x:c>
      <x:c r="D22" t="str">
        <x:v>보존</x:v>
      </x:c>
      <x:c r="F22" t="str">
        <x:v>29_W3_NarrativeAuthoring</x:v>
      </x:c>
      <x:c r="G22" t="str">
        <x:v>W3 Final/Future 원고</x:v>
      </x:c>
    </x:row>
  </x:sheetData>
  <x:mergeCells>
    <x:mergeCell ref="A1:G1"/>
  </x:mergeCells>
  <x:pageMargins left="0.7" right="0.7" top="0.75" bottom="0.75" header="0.3" footer="0.3"/>
</x:worksheet>
</file>